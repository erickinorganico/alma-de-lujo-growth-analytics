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OneDrive\Documentos\ChatGPT\Alma de Lujo 2\client\"/>
    </mc:Choice>
  </mc:AlternateContent>
  <xr:revisionPtr revIDLastSave="0" documentId="13_ncr:1_{881BAF8E-68E3-45B1-B656-40CDA08056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ICIO" sheetId="1" r:id="rId1"/>
    <sheet name="CONFIG" sheetId="2" r:id="rId2"/>
    <sheet name="CATALOGO" sheetId="3" r:id="rId3"/>
    <sheet name="VENTAS" sheetId="4" r:id="rId4"/>
    <sheet name="STOCK" sheetId="5" r:id="rId5"/>
    <sheet name="CAJA" sheetId="6" r:id="rId6"/>
    <sheet name="DECISIONES" sheetId="7" r:id="rId7"/>
    <sheet name="AUX_CALC_91D" sheetId="8" state="hidden" r:id="rId8"/>
    <sheet name="FLUJO_13_SEMANAS" sheetId="9" r:id="rId9"/>
  </sheets>
  <definedNames>
    <definedName name="_xlnm.Print_Area" localSheetId="7">AUX_CALC_91D!$A$1:$F$96</definedName>
    <definedName name="_xlnm.Print_Area" localSheetId="5">CAJA!$A$1:$F$20</definedName>
    <definedName name="_xlnm.Print_Area" localSheetId="2">CATALOGO!$A$1:$U$20</definedName>
    <definedName name="_xlnm.Print_Area" localSheetId="1">CONFIG!$A$1:$C$19</definedName>
    <definedName name="_xlnm.Print_Area" localSheetId="6">DECISIONES!$A$1:$S$20</definedName>
    <definedName name="_xlnm.Print_Area" localSheetId="8">FLUJO_13_SEMANAS!$A$1:$N$31</definedName>
    <definedName name="_xlnm.Print_Area" localSheetId="0">INICIO!$A$1:$H$30</definedName>
    <definedName name="_xlnm.Print_Area" localSheetId="4">STOCK!$A$1:$S$20</definedName>
    <definedName name="_xlnm.Print_Area" localSheetId="3">VENTAS!$A$1:$I$285</definedName>
    <definedName name="SKU_LIST">CATALOGO!$A$6:$A$105</definedName>
    <definedName name="_xlnm.Print_Titles" localSheetId="7">AUX_CALC_91D!$1:$5</definedName>
    <definedName name="_xlnm.Print_Titles" localSheetId="5">CAJA!$1:$5</definedName>
    <definedName name="_xlnm.Print_Titles" localSheetId="2">CATALOGO!$1:$5</definedName>
    <definedName name="_xlnm.Print_Titles" localSheetId="6">DECISIONES!$1:$5</definedName>
    <definedName name="_xlnm.Print_Titles" localSheetId="8">FLUJO_13_SEMANAS!$1:$5</definedName>
    <definedName name="_xlnm.Print_Titles" localSheetId="4">STOCK!$1:$5</definedName>
    <definedName name="_xlnm.Print_Titles" localSheetId="3">VENTAS!$1:$5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9" l="1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S105" i="5"/>
  <c r="R105" i="5"/>
  <c r="Q105" i="5"/>
  <c r="L105" i="5"/>
  <c r="K105" i="5"/>
  <c r="S104" i="5"/>
  <c r="R104" i="5"/>
  <c r="Q104" i="5"/>
  <c r="L104" i="5"/>
  <c r="K104" i="5"/>
  <c r="S103" i="5"/>
  <c r="R103" i="5"/>
  <c r="Q103" i="5"/>
  <c r="L103" i="5"/>
  <c r="K103" i="5"/>
  <c r="S102" i="5"/>
  <c r="R102" i="5"/>
  <c r="Q102" i="5"/>
  <c r="L102" i="5"/>
  <c r="K102" i="5"/>
  <c r="S101" i="5"/>
  <c r="R101" i="5"/>
  <c r="Q101" i="5"/>
  <c r="L101" i="5"/>
  <c r="K101" i="5"/>
  <c r="S100" i="5"/>
  <c r="R100" i="5"/>
  <c r="Q100" i="5"/>
  <c r="L100" i="5"/>
  <c r="K100" i="5"/>
  <c r="S99" i="5"/>
  <c r="R99" i="5"/>
  <c r="Q99" i="5"/>
  <c r="L99" i="5"/>
  <c r="K99" i="5"/>
  <c r="S98" i="5"/>
  <c r="R98" i="5"/>
  <c r="Q98" i="5"/>
  <c r="L98" i="5"/>
  <c r="K98" i="5"/>
  <c r="S97" i="5"/>
  <c r="R97" i="5"/>
  <c r="Q97" i="5"/>
  <c r="L97" i="5"/>
  <c r="K97" i="5"/>
  <c r="S96" i="5"/>
  <c r="R96" i="5"/>
  <c r="Q96" i="5"/>
  <c r="L96" i="5"/>
  <c r="K96" i="5"/>
  <c r="S95" i="5"/>
  <c r="R95" i="5"/>
  <c r="Q95" i="5"/>
  <c r="L95" i="5"/>
  <c r="K95" i="5"/>
  <c r="S94" i="5"/>
  <c r="R94" i="5"/>
  <c r="Q94" i="5"/>
  <c r="L94" i="5"/>
  <c r="K94" i="5"/>
  <c r="S93" i="5"/>
  <c r="R93" i="5"/>
  <c r="Q93" i="5"/>
  <c r="L93" i="5"/>
  <c r="K93" i="5"/>
  <c r="S92" i="5"/>
  <c r="R92" i="5"/>
  <c r="Q92" i="5"/>
  <c r="L92" i="5"/>
  <c r="K92" i="5"/>
  <c r="S91" i="5"/>
  <c r="R91" i="5"/>
  <c r="Q91" i="5"/>
  <c r="L91" i="5"/>
  <c r="K91" i="5"/>
  <c r="S90" i="5"/>
  <c r="R90" i="5"/>
  <c r="Q90" i="5"/>
  <c r="L90" i="5"/>
  <c r="K90" i="5"/>
  <c r="S89" i="5"/>
  <c r="R89" i="5"/>
  <c r="Q89" i="5"/>
  <c r="L89" i="5"/>
  <c r="K89" i="5"/>
  <c r="S88" i="5"/>
  <c r="R88" i="5"/>
  <c r="Q88" i="5"/>
  <c r="L88" i="5"/>
  <c r="K88" i="5"/>
  <c r="S87" i="5"/>
  <c r="R87" i="5"/>
  <c r="Q87" i="5"/>
  <c r="L87" i="5"/>
  <c r="K87" i="5"/>
  <c r="S86" i="5"/>
  <c r="R86" i="5"/>
  <c r="Q86" i="5"/>
  <c r="L86" i="5"/>
  <c r="K86" i="5"/>
  <c r="S85" i="5"/>
  <c r="R85" i="5"/>
  <c r="Q85" i="5"/>
  <c r="L85" i="5"/>
  <c r="K85" i="5"/>
  <c r="S84" i="5"/>
  <c r="R84" i="5"/>
  <c r="Q84" i="5"/>
  <c r="L84" i="5"/>
  <c r="K84" i="5"/>
  <c r="S83" i="5"/>
  <c r="R83" i="5"/>
  <c r="Q83" i="5"/>
  <c r="L83" i="5"/>
  <c r="K83" i="5"/>
  <c r="S82" i="5"/>
  <c r="R82" i="5"/>
  <c r="Q82" i="5"/>
  <c r="L82" i="5"/>
  <c r="K82" i="5"/>
  <c r="S81" i="5"/>
  <c r="R81" i="5"/>
  <c r="Q81" i="5"/>
  <c r="L81" i="5"/>
  <c r="K81" i="5"/>
  <c r="S80" i="5"/>
  <c r="R80" i="5"/>
  <c r="Q80" i="5"/>
  <c r="L80" i="5"/>
  <c r="K80" i="5"/>
  <c r="S79" i="5"/>
  <c r="R79" i="5"/>
  <c r="Q79" i="5"/>
  <c r="L79" i="5"/>
  <c r="K79" i="5"/>
  <c r="S78" i="5"/>
  <c r="R78" i="5"/>
  <c r="Q78" i="5"/>
  <c r="L78" i="5"/>
  <c r="K78" i="5"/>
  <c r="S77" i="5"/>
  <c r="R77" i="5"/>
  <c r="Q77" i="5"/>
  <c r="L77" i="5"/>
  <c r="K77" i="5"/>
  <c r="S76" i="5"/>
  <c r="R76" i="5"/>
  <c r="Q76" i="5"/>
  <c r="L76" i="5"/>
  <c r="K76" i="5"/>
  <c r="S75" i="5"/>
  <c r="R75" i="5"/>
  <c r="Q75" i="5"/>
  <c r="L75" i="5"/>
  <c r="K75" i="5"/>
  <c r="S74" i="5"/>
  <c r="R74" i="5"/>
  <c r="Q74" i="5"/>
  <c r="L74" i="5"/>
  <c r="K74" i="5"/>
  <c r="S73" i="5"/>
  <c r="R73" i="5"/>
  <c r="Q73" i="5"/>
  <c r="L73" i="5"/>
  <c r="K73" i="5"/>
  <c r="S72" i="5"/>
  <c r="R72" i="5"/>
  <c r="Q72" i="5"/>
  <c r="L72" i="5"/>
  <c r="K72" i="5"/>
  <c r="S71" i="5"/>
  <c r="R71" i="5"/>
  <c r="Q71" i="5"/>
  <c r="L71" i="5"/>
  <c r="K71" i="5"/>
  <c r="S70" i="5"/>
  <c r="R70" i="5"/>
  <c r="Q70" i="5"/>
  <c r="L70" i="5"/>
  <c r="K70" i="5"/>
  <c r="S69" i="5"/>
  <c r="R69" i="5"/>
  <c r="Q69" i="5"/>
  <c r="L69" i="5"/>
  <c r="K69" i="5"/>
  <c r="S68" i="5"/>
  <c r="R68" i="5"/>
  <c r="Q68" i="5"/>
  <c r="L68" i="5"/>
  <c r="K68" i="5"/>
  <c r="S67" i="5"/>
  <c r="R67" i="5"/>
  <c r="Q67" i="5"/>
  <c r="L67" i="5"/>
  <c r="K67" i="5"/>
  <c r="S66" i="5"/>
  <c r="R66" i="5"/>
  <c r="Q66" i="5"/>
  <c r="L66" i="5"/>
  <c r="K66" i="5"/>
  <c r="S65" i="5"/>
  <c r="R65" i="5"/>
  <c r="Q65" i="5"/>
  <c r="L65" i="5"/>
  <c r="K65" i="5"/>
  <c r="S64" i="5"/>
  <c r="R64" i="5"/>
  <c r="Q64" i="5"/>
  <c r="L64" i="5"/>
  <c r="K64" i="5"/>
  <c r="S63" i="5"/>
  <c r="R63" i="5"/>
  <c r="Q63" i="5"/>
  <c r="L63" i="5"/>
  <c r="K63" i="5"/>
  <c r="S62" i="5"/>
  <c r="R62" i="5"/>
  <c r="Q62" i="5"/>
  <c r="L62" i="5"/>
  <c r="K62" i="5"/>
  <c r="S61" i="5"/>
  <c r="R61" i="5"/>
  <c r="Q61" i="5"/>
  <c r="L61" i="5"/>
  <c r="K61" i="5"/>
  <c r="S60" i="5"/>
  <c r="R60" i="5"/>
  <c r="Q60" i="5"/>
  <c r="L60" i="5"/>
  <c r="K60" i="5"/>
  <c r="S59" i="5"/>
  <c r="R59" i="5"/>
  <c r="Q59" i="5"/>
  <c r="L59" i="5"/>
  <c r="K59" i="5"/>
  <c r="S58" i="5"/>
  <c r="R58" i="5"/>
  <c r="Q58" i="5"/>
  <c r="L58" i="5"/>
  <c r="K58" i="5"/>
  <c r="S57" i="5"/>
  <c r="R57" i="5"/>
  <c r="Q57" i="5"/>
  <c r="L57" i="5"/>
  <c r="K57" i="5"/>
  <c r="S56" i="5"/>
  <c r="R56" i="5"/>
  <c r="Q56" i="5"/>
  <c r="L56" i="5"/>
  <c r="K56" i="5"/>
  <c r="S55" i="5"/>
  <c r="R55" i="5"/>
  <c r="Q55" i="5"/>
  <c r="L55" i="5"/>
  <c r="K55" i="5"/>
  <c r="S54" i="5"/>
  <c r="R54" i="5"/>
  <c r="Q54" i="5"/>
  <c r="L54" i="5"/>
  <c r="K54" i="5"/>
  <c r="S53" i="5"/>
  <c r="R53" i="5"/>
  <c r="Q53" i="5"/>
  <c r="L53" i="5"/>
  <c r="K53" i="5"/>
  <c r="S52" i="5"/>
  <c r="R52" i="5"/>
  <c r="Q52" i="5"/>
  <c r="L52" i="5"/>
  <c r="K52" i="5"/>
  <c r="S51" i="5"/>
  <c r="R51" i="5"/>
  <c r="Q51" i="5"/>
  <c r="L51" i="5"/>
  <c r="K51" i="5"/>
  <c r="S50" i="5"/>
  <c r="R50" i="5"/>
  <c r="Q50" i="5"/>
  <c r="L50" i="5"/>
  <c r="K50" i="5"/>
  <c r="S49" i="5"/>
  <c r="R49" i="5"/>
  <c r="Q49" i="5"/>
  <c r="L49" i="5"/>
  <c r="K49" i="5"/>
  <c r="S48" i="5"/>
  <c r="R48" i="5"/>
  <c r="Q48" i="5"/>
  <c r="L48" i="5"/>
  <c r="K48" i="5"/>
  <c r="S47" i="5"/>
  <c r="R47" i="5"/>
  <c r="Q47" i="5"/>
  <c r="L47" i="5"/>
  <c r="K47" i="5"/>
  <c r="S46" i="5"/>
  <c r="R46" i="5"/>
  <c r="Q46" i="5"/>
  <c r="L46" i="5"/>
  <c r="K46" i="5"/>
  <c r="S45" i="5"/>
  <c r="R45" i="5"/>
  <c r="Q45" i="5"/>
  <c r="L45" i="5"/>
  <c r="K45" i="5"/>
  <c r="S44" i="5"/>
  <c r="R44" i="5"/>
  <c r="Q44" i="5"/>
  <c r="L44" i="5"/>
  <c r="K44" i="5"/>
  <c r="S43" i="5"/>
  <c r="R43" i="5"/>
  <c r="Q43" i="5"/>
  <c r="L43" i="5"/>
  <c r="K43" i="5"/>
  <c r="S42" i="5"/>
  <c r="R42" i="5"/>
  <c r="Q42" i="5"/>
  <c r="L42" i="5"/>
  <c r="K42" i="5"/>
  <c r="S41" i="5"/>
  <c r="R41" i="5"/>
  <c r="Q41" i="5"/>
  <c r="L41" i="5"/>
  <c r="K41" i="5"/>
  <c r="S40" i="5"/>
  <c r="R40" i="5"/>
  <c r="Q40" i="5"/>
  <c r="L40" i="5"/>
  <c r="K40" i="5"/>
  <c r="S39" i="5"/>
  <c r="R39" i="5"/>
  <c r="Q39" i="5"/>
  <c r="L39" i="5"/>
  <c r="K39" i="5"/>
  <c r="S38" i="5"/>
  <c r="R38" i="5"/>
  <c r="Q38" i="5"/>
  <c r="L38" i="5"/>
  <c r="K38" i="5"/>
  <c r="S37" i="5"/>
  <c r="R37" i="5"/>
  <c r="Q37" i="5"/>
  <c r="L37" i="5"/>
  <c r="K37" i="5"/>
  <c r="S36" i="5"/>
  <c r="R36" i="5"/>
  <c r="Q36" i="5"/>
  <c r="L36" i="5"/>
  <c r="K36" i="5"/>
  <c r="S35" i="5"/>
  <c r="R35" i="5"/>
  <c r="Q35" i="5"/>
  <c r="L35" i="5"/>
  <c r="K35" i="5"/>
  <c r="S34" i="5"/>
  <c r="R34" i="5"/>
  <c r="Q34" i="5"/>
  <c r="L34" i="5"/>
  <c r="K34" i="5"/>
  <c r="S33" i="5"/>
  <c r="R33" i="5"/>
  <c r="Q33" i="5"/>
  <c r="L33" i="5"/>
  <c r="K33" i="5"/>
  <c r="S32" i="5"/>
  <c r="R32" i="5"/>
  <c r="Q32" i="5"/>
  <c r="L32" i="5"/>
  <c r="K32" i="5"/>
  <c r="S31" i="5"/>
  <c r="R31" i="5"/>
  <c r="Q31" i="5"/>
  <c r="L31" i="5"/>
  <c r="K31" i="5"/>
  <c r="S30" i="5"/>
  <c r="R30" i="5"/>
  <c r="Q30" i="5"/>
  <c r="L30" i="5"/>
  <c r="K30" i="5"/>
  <c r="S29" i="5"/>
  <c r="R29" i="5"/>
  <c r="Q29" i="5"/>
  <c r="L29" i="5"/>
  <c r="K29" i="5"/>
  <c r="S28" i="5"/>
  <c r="R28" i="5"/>
  <c r="Q28" i="5"/>
  <c r="L28" i="5"/>
  <c r="K28" i="5"/>
  <c r="S27" i="5"/>
  <c r="R27" i="5"/>
  <c r="Q27" i="5"/>
  <c r="L27" i="5"/>
  <c r="K27" i="5"/>
  <c r="S26" i="5"/>
  <c r="R26" i="5"/>
  <c r="Q26" i="5"/>
  <c r="L26" i="5"/>
  <c r="K26" i="5"/>
  <c r="S25" i="5"/>
  <c r="R25" i="5"/>
  <c r="Q25" i="5"/>
  <c r="L25" i="5"/>
  <c r="K25" i="5"/>
  <c r="S24" i="5"/>
  <c r="R24" i="5"/>
  <c r="Q24" i="5"/>
  <c r="L24" i="5"/>
  <c r="K24" i="5"/>
  <c r="S23" i="5"/>
  <c r="R23" i="5"/>
  <c r="Q23" i="5"/>
  <c r="L23" i="5"/>
  <c r="K23" i="5"/>
  <c r="S22" i="5"/>
  <c r="R22" i="5"/>
  <c r="Q22" i="5"/>
  <c r="L22" i="5"/>
  <c r="K22" i="5"/>
  <c r="S21" i="5"/>
  <c r="R21" i="5"/>
  <c r="Q21" i="5"/>
  <c r="L21" i="5"/>
  <c r="K21" i="5"/>
  <c r="S20" i="5"/>
  <c r="R20" i="5"/>
  <c r="Q20" i="5"/>
  <c r="L20" i="5"/>
  <c r="K20" i="5"/>
  <c r="S19" i="5"/>
  <c r="R19" i="5"/>
  <c r="Q19" i="5"/>
  <c r="L19" i="5"/>
  <c r="K19" i="5"/>
  <c r="S18" i="5"/>
  <c r="R18" i="5"/>
  <c r="Q18" i="5"/>
  <c r="L18" i="5"/>
  <c r="K18" i="5"/>
  <c r="S17" i="5"/>
  <c r="R17" i="5"/>
  <c r="Q17" i="5"/>
  <c r="L17" i="5"/>
  <c r="K17" i="5"/>
  <c r="S16" i="5"/>
  <c r="R16" i="5"/>
  <c r="Q16" i="5"/>
  <c r="L16" i="5"/>
  <c r="K16" i="5"/>
  <c r="S15" i="5"/>
  <c r="R15" i="5"/>
  <c r="Q15" i="5"/>
  <c r="L15" i="5"/>
  <c r="K15" i="5"/>
  <c r="Q14" i="5"/>
  <c r="L14" i="5"/>
  <c r="S13" i="5"/>
  <c r="R13" i="5"/>
  <c r="Q13" i="5"/>
  <c r="L13" i="5"/>
  <c r="S12" i="5"/>
  <c r="R12" i="5"/>
  <c r="Q12" i="5"/>
  <c r="L12" i="5"/>
  <c r="S11" i="5"/>
  <c r="R11" i="5"/>
  <c r="Q11" i="5"/>
  <c r="L11" i="5"/>
  <c r="S10" i="5"/>
  <c r="R10" i="5"/>
  <c r="Q10" i="5"/>
  <c r="L10" i="5"/>
  <c r="K10" i="5"/>
  <c r="S9" i="5"/>
  <c r="R9" i="5"/>
  <c r="Q9" i="5"/>
  <c r="L9" i="5"/>
  <c r="S8" i="5"/>
  <c r="R8" i="5"/>
  <c r="Q8" i="5"/>
  <c r="L8" i="5"/>
  <c r="K8" i="5"/>
  <c r="S7" i="5"/>
  <c r="R7" i="5"/>
  <c r="Q7" i="5"/>
  <c r="L7" i="5"/>
  <c r="Q6" i="5"/>
  <c r="L6" i="5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U105" i="3"/>
  <c r="T105" i="3"/>
  <c r="Q105" i="3"/>
  <c r="R105" i="3" s="1"/>
  <c r="P105" i="3"/>
  <c r="S105" i="3" s="1"/>
  <c r="U104" i="3"/>
  <c r="T104" i="3"/>
  <c r="Q104" i="3"/>
  <c r="R104" i="3" s="1"/>
  <c r="P104" i="3"/>
  <c r="S104" i="3" s="1"/>
  <c r="U103" i="3"/>
  <c r="T103" i="3"/>
  <c r="Q103" i="3" s="1"/>
  <c r="R103" i="3" s="1"/>
  <c r="P103" i="3"/>
  <c r="S103" i="3" s="1"/>
  <c r="U102" i="3"/>
  <c r="T102" i="3"/>
  <c r="Q102" i="3"/>
  <c r="R102" i="3" s="1"/>
  <c r="P102" i="3"/>
  <c r="S102" i="3" s="1"/>
  <c r="U101" i="3"/>
  <c r="T101" i="3"/>
  <c r="Q101" i="3"/>
  <c r="R101" i="3" s="1"/>
  <c r="P101" i="3"/>
  <c r="S101" i="3" s="1"/>
  <c r="U100" i="3"/>
  <c r="T100" i="3"/>
  <c r="Q100" i="3"/>
  <c r="R100" i="3" s="1"/>
  <c r="P100" i="3"/>
  <c r="S100" i="3" s="1"/>
  <c r="U99" i="3"/>
  <c r="T99" i="3"/>
  <c r="Q99" i="3"/>
  <c r="R99" i="3" s="1"/>
  <c r="P99" i="3"/>
  <c r="S99" i="3" s="1"/>
  <c r="U98" i="3"/>
  <c r="T98" i="3"/>
  <c r="Q98" i="3"/>
  <c r="R98" i="3" s="1"/>
  <c r="P98" i="3"/>
  <c r="S98" i="3" s="1"/>
  <c r="U97" i="3"/>
  <c r="T97" i="3"/>
  <c r="Q97" i="3" s="1"/>
  <c r="R97" i="3" s="1"/>
  <c r="P97" i="3"/>
  <c r="S97" i="3" s="1"/>
  <c r="U96" i="3"/>
  <c r="T96" i="3"/>
  <c r="Q96" i="3" s="1"/>
  <c r="R96" i="3" s="1"/>
  <c r="P96" i="3"/>
  <c r="S96" i="3" s="1"/>
  <c r="U95" i="3"/>
  <c r="T95" i="3"/>
  <c r="Q95" i="3" s="1"/>
  <c r="R95" i="3" s="1"/>
  <c r="P95" i="3"/>
  <c r="S95" i="3" s="1"/>
  <c r="U94" i="3"/>
  <c r="T94" i="3"/>
  <c r="Q94" i="3" s="1"/>
  <c r="R94" i="3" s="1"/>
  <c r="P94" i="3"/>
  <c r="S94" i="3" s="1"/>
  <c r="U93" i="3"/>
  <c r="T93" i="3"/>
  <c r="Q93" i="3"/>
  <c r="R93" i="3" s="1"/>
  <c r="P93" i="3"/>
  <c r="S93" i="3" s="1"/>
  <c r="U92" i="3"/>
  <c r="T92" i="3"/>
  <c r="Q92" i="3" s="1"/>
  <c r="R92" i="3" s="1"/>
  <c r="P92" i="3"/>
  <c r="S92" i="3" s="1"/>
  <c r="U91" i="3"/>
  <c r="T91" i="3"/>
  <c r="Q91" i="3" s="1"/>
  <c r="R91" i="3" s="1"/>
  <c r="P91" i="3"/>
  <c r="S91" i="3" s="1"/>
  <c r="U90" i="3"/>
  <c r="T90" i="3"/>
  <c r="Q90" i="3"/>
  <c r="R90" i="3" s="1"/>
  <c r="P90" i="3"/>
  <c r="S90" i="3" s="1"/>
  <c r="U89" i="3"/>
  <c r="T89" i="3"/>
  <c r="Q89" i="3" s="1"/>
  <c r="R89" i="3" s="1"/>
  <c r="P89" i="3"/>
  <c r="S89" i="3" s="1"/>
  <c r="U88" i="3"/>
  <c r="T88" i="3"/>
  <c r="Q88" i="3"/>
  <c r="R88" i="3" s="1"/>
  <c r="P88" i="3"/>
  <c r="S88" i="3" s="1"/>
  <c r="U87" i="3"/>
  <c r="T87" i="3"/>
  <c r="Q87" i="3"/>
  <c r="R87" i="3" s="1"/>
  <c r="P87" i="3"/>
  <c r="S87" i="3" s="1"/>
  <c r="U86" i="3"/>
  <c r="T86" i="3"/>
  <c r="Q86" i="3"/>
  <c r="R86" i="3" s="1"/>
  <c r="P86" i="3"/>
  <c r="S86" i="3" s="1"/>
  <c r="U85" i="3"/>
  <c r="T85" i="3"/>
  <c r="Q85" i="3" s="1"/>
  <c r="R85" i="3" s="1"/>
  <c r="P85" i="3"/>
  <c r="S85" i="3" s="1"/>
  <c r="U84" i="3"/>
  <c r="T84" i="3"/>
  <c r="Q84" i="3" s="1"/>
  <c r="R84" i="3" s="1"/>
  <c r="P84" i="3"/>
  <c r="S84" i="3" s="1"/>
  <c r="U83" i="3"/>
  <c r="T83" i="3"/>
  <c r="Q83" i="3"/>
  <c r="R83" i="3" s="1"/>
  <c r="P83" i="3"/>
  <c r="S83" i="3" s="1"/>
  <c r="U82" i="3"/>
  <c r="T82" i="3"/>
  <c r="Q82" i="3"/>
  <c r="R82" i="3" s="1"/>
  <c r="P82" i="3"/>
  <c r="S82" i="3" s="1"/>
  <c r="U81" i="3"/>
  <c r="T81" i="3"/>
  <c r="Q81" i="3" s="1"/>
  <c r="R81" i="3" s="1"/>
  <c r="P81" i="3"/>
  <c r="S81" i="3" s="1"/>
  <c r="U80" i="3"/>
  <c r="T80" i="3"/>
  <c r="Q80" i="3" s="1"/>
  <c r="R80" i="3" s="1"/>
  <c r="P80" i="3"/>
  <c r="S80" i="3" s="1"/>
  <c r="U79" i="3"/>
  <c r="T79" i="3"/>
  <c r="Q79" i="3"/>
  <c r="R79" i="3" s="1"/>
  <c r="P79" i="3"/>
  <c r="S79" i="3" s="1"/>
  <c r="U78" i="3"/>
  <c r="T78" i="3"/>
  <c r="Q78" i="3" s="1"/>
  <c r="R78" i="3" s="1"/>
  <c r="P78" i="3"/>
  <c r="S78" i="3" s="1"/>
  <c r="U77" i="3"/>
  <c r="T77" i="3"/>
  <c r="Q77" i="3"/>
  <c r="R77" i="3" s="1"/>
  <c r="P77" i="3"/>
  <c r="S77" i="3" s="1"/>
  <c r="U76" i="3"/>
  <c r="T76" i="3"/>
  <c r="Q76" i="3"/>
  <c r="R76" i="3" s="1"/>
  <c r="P76" i="3"/>
  <c r="S76" i="3" s="1"/>
  <c r="U75" i="3"/>
  <c r="T75" i="3"/>
  <c r="Q75" i="3"/>
  <c r="R75" i="3" s="1"/>
  <c r="P75" i="3"/>
  <c r="S75" i="3" s="1"/>
  <c r="U74" i="3"/>
  <c r="T74" i="3"/>
  <c r="Q74" i="3" s="1"/>
  <c r="R74" i="3" s="1"/>
  <c r="P74" i="3"/>
  <c r="S74" i="3" s="1"/>
  <c r="U73" i="3"/>
  <c r="T73" i="3"/>
  <c r="Q73" i="3" s="1"/>
  <c r="R73" i="3" s="1"/>
  <c r="P73" i="3"/>
  <c r="S73" i="3" s="1"/>
  <c r="U72" i="3"/>
  <c r="T72" i="3"/>
  <c r="Q72" i="3" s="1"/>
  <c r="R72" i="3" s="1"/>
  <c r="P72" i="3"/>
  <c r="S72" i="3" s="1"/>
  <c r="U71" i="3"/>
  <c r="T71" i="3"/>
  <c r="Q71" i="3"/>
  <c r="R71" i="3" s="1"/>
  <c r="P71" i="3"/>
  <c r="S71" i="3" s="1"/>
  <c r="U70" i="3"/>
  <c r="T70" i="3"/>
  <c r="Q70" i="3"/>
  <c r="R70" i="3" s="1"/>
  <c r="P70" i="3"/>
  <c r="S70" i="3" s="1"/>
  <c r="U69" i="3"/>
  <c r="T69" i="3"/>
  <c r="Q69" i="3" s="1"/>
  <c r="R69" i="3" s="1"/>
  <c r="P69" i="3"/>
  <c r="S69" i="3" s="1"/>
  <c r="U68" i="3"/>
  <c r="T68" i="3"/>
  <c r="Q68" i="3" s="1"/>
  <c r="R68" i="3" s="1"/>
  <c r="P68" i="3"/>
  <c r="S68" i="3" s="1"/>
  <c r="U67" i="3"/>
  <c r="T67" i="3"/>
  <c r="Q67" i="3" s="1"/>
  <c r="R67" i="3" s="1"/>
  <c r="P67" i="3"/>
  <c r="S67" i="3" s="1"/>
  <c r="U66" i="3"/>
  <c r="T66" i="3"/>
  <c r="Q66" i="3" s="1"/>
  <c r="R66" i="3" s="1"/>
  <c r="P66" i="3"/>
  <c r="S66" i="3" s="1"/>
  <c r="U65" i="3"/>
  <c r="T65" i="3"/>
  <c r="Q65" i="3" s="1"/>
  <c r="R65" i="3" s="1"/>
  <c r="P65" i="3"/>
  <c r="U64" i="3"/>
  <c r="T64" i="3"/>
  <c r="Q64" i="3"/>
  <c r="R64" i="3" s="1"/>
  <c r="P64" i="3"/>
  <c r="S64" i="3" s="1"/>
  <c r="U63" i="3"/>
  <c r="T63" i="3"/>
  <c r="Q63" i="3"/>
  <c r="R63" i="3" s="1"/>
  <c r="P63" i="3"/>
  <c r="S63" i="3" s="1"/>
  <c r="U62" i="3"/>
  <c r="T62" i="3"/>
  <c r="Q62" i="3"/>
  <c r="R62" i="3" s="1"/>
  <c r="P62" i="3"/>
  <c r="S62" i="3" s="1"/>
  <c r="U61" i="3"/>
  <c r="T61" i="3"/>
  <c r="Q61" i="3"/>
  <c r="R61" i="3" s="1"/>
  <c r="P61" i="3"/>
  <c r="S61" i="3" s="1"/>
  <c r="U60" i="3"/>
  <c r="T60" i="3"/>
  <c r="Q60" i="3"/>
  <c r="R60" i="3" s="1"/>
  <c r="P60" i="3"/>
  <c r="S60" i="3" s="1"/>
  <c r="U59" i="3"/>
  <c r="T59" i="3"/>
  <c r="Q59" i="3"/>
  <c r="R59" i="3" s="1"/>
  <c r="P59" i="3"/>
  <c r="S59" i="3" s="1"/>
  <c r="U58" i="3"/>
  <c r="T58" i="3"/>
  <c r="Q58" i="3"/>
  <c r="R58" i="3" s="1"/>
  <c r="P58" i="3"/>
  <c r="S58" i="3" s="1"/>
  <c r="U57" i="3"/>
  <c r="T57" i="3"/>
  <c r="Q57" i="3"/>
  <c r="R57" i="3" s="1"/>
  <c r="P57" i="3"/>
  <c r="S57" i="3" s="1"/>
  <c r="U56" i="3"/>
  <c r="T56" i="3"/>
  <c r="Q56" i="3"/>
  <c r="R56" i="3" s="1"/>
  <c r="P56" i="3"/>
  <c r="S56" i="3" s="1"/>
  <c r="U55" i="3"/>
  <c r="T55" i="3"/>
  <c r="Q55" i="3"/>
  <c r="R55" i="3" s="1"/>
  <c r="P55" i="3"/>
  <c r="S55" i="3" s="1"/>
  <c r="U54" i="3"/>
  <c r="T54" i="3"/>
  <c r="Q54" i="3"/>
  <c r="R54" i="3" s="1"/>
  <c r="P54" i="3"/>
  <c r="S54" i="3" s="1"/>
  <c r="U53" i="3"/>
  <c r="T53" i="3"/>
  <c r="Q53" i="3"/>
  <c r="R53" i="3" s="1"/>
  <c r="P53" i="3"/>
  <c r="S53" i="3" s="1"/>
  <c r="U52" i="3"/>
  <c r="T52" i="3"/>
  <c r="Q52" i="3"/>
  <c r="R52" i="3" s="1"/>
  <c r="P52" i="3"/>
  <c r="S52" i="3" s="1"/>
  <c r="U51" i="3"/>
  <c r="T51" i="3"/>
  <c r="Q51" i="3"/>
  <c r="R51" i="3" s="1"/>
  <c r="P51" i="3"/>
  <c r="S51" i="3" s="1"/>
  <c r="U50" i="3"/>
  <c r="T50" i="3"/>
  <c r="Q50" i="3"/>
  <c r="R50" i="3" s="1"/>
  <c r="P50" i="3"/>
  <c r="S50" i="3" s="1"/>
  <c r="U49" i="3"/>
  <c r="T49" i="3"/>
  <c r="Q49" i="3"/>
  <c r="R49" i="3" s="1"/>
  <c r="P49" i="3"/>
  <c r="S49" i="3" s="1"/>
  <c r="U48" i="3"/>
  <c r="T48" i="3"/>
  <c r="Q48" i="3"/>
  <c r="R48" i="3" s="1"/>
  <c r="P48" i="3"/>
  <c r="S48" i="3" s="1"/>
  <c r="U47" i="3"/>
  <c r="T47" i="3"/>
  <c r="Q47" i="3"/>
  <c r="R47" i="3" s="1"/>
  <c r="P47" i="3"/>
  <c r="S47" i="3" s="1"/>
  <c r="U46" i="3"/>
  <c r="T46" i="3"/>
  <c r="Q46" i="3"/>
  <c r="R46" i="3" s="1"/>
  <c r="P46" i="3"/>
  <c r="S46" i="3" s="1"/>
  <c r="U45" i="3"/>
  <c r="T45" i="3"/>
  <c r="Q45" i="3"/>
  <c r="R45" i="3" s="1"/>
  <c r="P45" i="3"/>
  <c r="S45" i="3" s="1"/>
  <c r="U44" i="3"/>
  <c r="T44" i="3"/>
  <c r="Q44" i="3"/>
  <c r="R44" i="3" s="1"/>
  <c r="P44" i="3"/>
  <c r="S44" i="3" s="1"/>
  <c r="U43" i="3"/>
  <c r="T43" i="3"/>
  <c r="Q43" i="3"/>
  <c r="R43" i="3" s="1"/>
  <c r="P43" i="3"/>
  <c r="S43" i="3" s="1"/>
  <c r="U42" i="3"/>
  <c r="T42" i="3"/>
  <c r="Q42" i="3"/>
  <c r="R42" i="3" s="1"/>
  <c r="P42" i="3"/>
  <c r="S42" i="3" s="1"/>
  <c r="U41" i="3"/>
  <c r="T41" i="3"/>
  <c r="Q41" i="3"/>
  <c r="R41" i="3" s="1"/>
  <c r="P41" i="3"/>
  <c r="S41" i="3" s="1"/>
  <c r="U40" i="3"/>
  <c r="T40" i="3"/>
  <c r="Q40" i="3"/>
  <c r="R40" i="3" s="1"/>
  <c r="P40" i="3"/>
  <c r="S40" i="3" s="1"/>
  <c r="U39" i="3"/>
  <c r="T39" i="3"/>
  <c r="Q39" i="3"/>
  <c r="R39" i="3" s="1"/>
  <c r="P39" i="3"/>
  <c r="S39" i="3" s="1"/>
  <c r="U38" i="3"/>
  <c r="T38" i="3"/>
  <c r="Q38" i="3"/>
  <c r="R38" i="3" s="1"/>
  <c r="P38" i="3"/>
  <c r="S38" i="3" s="1"/>
  <c r="U37" i="3"/>
  <c r="T37" i="3"/>
  <c r="Q37" i="3"/>
  <c r="R37" i="3" s="1"/>
  <c r="P37" i="3"/>
  <c r="S37" i="3" s="1"/>
  <c r="U36" i="3"/>
  <c r="T36" i="3"/>
  <c r="Q36" i="3"/>
  <c r="R36" i="3" s="1"/>
  <c r="P36" i="3"/>
  <c r="S36" i="3" s="1"/>
  <c r="U35" i="3"/>
  <c r="T35" i="3"/>
  <c r="Q35" i="3"/>
  <c r="R35" i="3" s="1"/>
  <c r="P35" i="3"/>
  <c r="S35" i="3" s="1"/>
  <c r="U34" i="3"/>
  <c r="T34" i="3"/>
  <c r="Q34" i="3"/>
  <c r="R34" i="3" s="1"/>
  <c r="P34" i="3"/>
  <c r="S34" i="3" s="1"/>
  <c r="U33" i="3"/>
  <c r="T33" i="3"/>
  <c r="Q33" i="3"/>
  <c r="R33" i="3" s="1"/>
  <c r="P33" i="3"/>
  <c r="S33" i="3" s="1"/>
  <c r="U32" i="3"/>
  <c r="T32" i="3"/>
  <c r="Q32" i="3"/>
  <c r="R32" i="3" s="1"/>
  <c r="P32" i="3"/>
  <c r="S32" i="3" s="1"/>
  <c r="U31" i="3"/>
  <c r="T31" i="3"/>
  <c r="Q31" i="3"/>
  <c r="R31" i="3" s="1"/>
  <c r="P31" i="3"/>
  <c r="S31" i="3" s="1"/>
  <c r="U30" i="3"/>
  <c r="T30" i="3"/>
  <c r="Q30" i="3"/>
  <c r="R30" i="3" s="1"/>
  <c r="P30" i="3"/>
  <c r="S30" i="3" s="1"/>
  <c r="U29" i="3"/>
  <c r="T29" i="3"/>
  <c r="Q29" i="3"/>
  <c r="R29" i="3" s="1"/>
  <c r="P29" i="3"/>
  <c r="S29" i="3" s="1"/>
  <c r="U28" i="3"/>
  <c r="T28" i="3"/>
  <c r="Q28" i="3"/>
  <c r="R28" i="3" s="1"/>
  <c r="P28" i="3"/>
  <c r="S28" i="3" s="1"/>
  <c r="U27" i="3"/>
  <c r="T27" i="3"/>
  <c r="Q27" i="3"/>
  <c r="R27" i="3" s="1"/>
  <c r="P27" i="3"/>
  <c r="S27" i="3" s="1"/>
  <c r="U26" i="3"/>
  <c r="T26" i="3"/>
  <c r="Q26" i="3"/>
  <c r="R26" i="3" s="1"/>
  <c r="P26" i="3"/>
  <c r="S26" i="3" s="1"/>
  <c r="U25" i="3"/>
  <c r="T25" i="3"/>
  <c r="Q25" i="3"/>
  <c r="R25" i="3" s="1"/>
  <c r="P25" i="3"/>
  <c r="S25" i="3" s="1"/>
  <c r="U24" i="3"/>
  <c r="T24" i="3"/>
  <c r="Q24" i="3"/>
  <c r="R24" i="3" s="1"/>
  <c r="P24" i="3"/>
  <c r="S24" i="3" s="1"/>
  <c r="U23" i="3"/>
  <c r="T23" i="3"/>
  <c r="Q23" i="3"/>
  <c r="R23" i="3" s="1"/>
  <c r="P23" i="3"/>
  <c r="S23" i="3" s="1"/>
  <c r="U22" i="3"/>
  <c r="T22" i="3"/>
  <c r="Q22" i="3"/>
  <c r="R22" i="3" s="1"/>
  <c r="P22" i="3"/>
  <c r="S22" i="3" s="1"/>
  <c r="U21" i="3"/>
  <c r="T21" i="3"/>
  <c r="Q21" i="3"/>
  <c r="R21" i="3" s="1"/>
  <c r="P21" i="3"/>
  <c r="S21" i="3" s="1"/>
  <c r="U20" i="3"/>
  <c r="T20" i="3"/>
  <c r="Q20" i="3"/>
  <c r="R20" i="3" s="1"/>
  <c r="P20" i="3"/>
  <c r="S20" i="3" s="1"/>
  <c r="U19" i="3"/>
  <c r="T19" i="3"/>
  <c r="Q19" i="3"/>
  <c r="R19" i="3" s="1"/>
  <c r="P19" i="3"/>
  <c r="S19" i="3" s="1"/>
  <c r="U18" i="3"/>
  <c r="T18" i="3"/>
  <c r="Q18" i="3"/>
  <c r="R18" i="3" s="1"/>
  <c r="P18" i="3"/>
  <c r="S18" i="3" s="1"/>
  <c r="U17" i="3"/>
  <c r="T17" i="3"/>
  <c r="Q17" i="3"/>
  <c r="R17" i="3" s="1"/>
  <c r="P17" i="3"/>
  <c r="S17" i="3" s="1"/>
  <c r="U16" i="3"/>
  <c r="T16" i="3"/>
  <c r="Q16" i="3"/>
  <c r="R16" i="3" s="1"/>
  <c r="P16" i="3"/>
  <c r="S16" i="3" s="1"/>
  <c r="T15" i="3"/>
  <c r="P15" i="3"/>
  <c r="T14" i="3"/>
  <c r="P14" i="3"/>
  <c r="T13" i="3"/>
  <c r="P13" i="3"/>
  <c r="T12" i="3"/>
  <c r="P12" i="3"/>
  <c r="T11" i="3"/>
  <c r="P11" i="3"/>
  <c r="T10" i="3"/>
  <c r="P10" i="3"/>
  <c r="T9" i="3"/>
  <c r="Q9" i="3"/>
  <c r="R9" i="3" s="1"/>
  <c r="P9" i="3"/>
  <c r="T8" i="3"/>
  <c r="P8" i="3"/>
  <c r="T7" i="3"/>
  <c r="P7" i="3"/>
  <c r="T6" i="3"/>
  <c r="P6" i="3"/>
  <c r="S65" i="3" l="1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O51" i="5"/>
  <c r="P51" i="5" s="1"/>
  <c r="N51" i="5"/>
  <c r="M12" i="5"/>
  <c r="I12" i="7" s="1"/>
  <c r="M6" i="5"/>
  <c r="I6" i="7" s="1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E18" i="9" s="1"/>
  <c r="B90" i="8"/>
  <c r="D18" i="9" s="1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E17" i="9" s="1"/>
  <c r="B83" i="8"/>
  <c r="D17" i="9" s="1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E16" i="9" s="1"/>
  <c r="B76" i="8"/>
  <c r="D16" i="9" s="1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E15" i="9" s="1"/>
  <c r="B69" i="8"/>
  <c r="D15" i="9" s="1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E14" i="9" s="1"/>
  <c r="B62" i="8"/>
  <c r="D14" i="9" s="1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E13" i="9" s="1"/>
  <c r="B55" i="8"/>
  <c r="D13" i="9" s="1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E12" i="9" s="1"/>
  <c r="B48" i="8"/>
  <c r="D12" i="9" s="1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E11" i="9" s="1"/>
  <c r="B41" i="8"/>
  <c r="D11" i="9" s="1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E10" i="9" s="1"/>
  <c r="B34" i="8"/>
  <c r="D10" i="9" s="1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E9" i="9" s="1"/>
  <c r="B27" i="8"/>
  <c r="D9" i="9" s="1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E8" i="9" s="1"/>
  <c r="B20" i="8"/>
  <c r="D8" i="9" s="1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B10" i="8"/>
  <c r="C10" i="8"/>
  <c r="B9" i="8"/>
  <c r="C9" i="8"/>
  <c r="B8" i="8"/>
  <c r="C8" i="8"/>
  <c r="B7" i="8"/>
  <c r="C7" i="8"/>
  <c r="C6" i="8"/>
  <c r="E6" i="9" s="1"/>
  <c r="B6" i="8"/>
  <c r="E105" i="7"/>
  <c r="L105" i="7"/>
  <c r="M105" i="7"/>
  <c r="N105" i="7"/>
  <c r="O105" i="7"/>
  <c r="P105" i="7"/>
  <c r="Q105" i="7"/>
  <c r="R105" i="7"/>
  <c r="S105" i="7"/>
  <c r="K105" i="7"/>
  <c r="H105" i="7"/>
  <c r="I105" i="7"/>
  <c r="J105" i="7"/>
  <c r="G105" i="7"/>
  <c r="F105" i="7"/>
  <c r="D105" i="7"/>
  <c r="C105" i="7"/>
  <c r="B105" i="7"/>
  <c r="K104" i="7"/>
  <c r="J104" i="7"/>
  <c r="I104" i="7"/>
  <c r="H104" i="7"/>
  <c r="G104" i="7"/>
  <c r="C104" i="7"/>
  <c r="D104" i="7"/>
  <c r="E104" i="7"/>
  <c r="F104" i="7"/>
  <c r="B104" i="7"/>
  <c r="P104" i="7"/>
  <c r="O104" i="7"/>
  <c r="Q104" i="7"/>
  <c r="N104" i="7"/>
  <c r="M104" i="7"/>
  <c r="L104" i="7"/>
  <c r="S104" i="7"/>
  <c r="R104" i="7"/>
  <c r="Q103" i="7"/>
  <c r="N103" i="7"/>
  <c r="P103" i="7"/>
  <c r="O103" i="7"/>
  <c r="E103" i="7"/>
  <c r="F103" i="7"/>
  <c r="G103" i="7"/>
  <c r="H103" i="7"/>
  <c r="I103" i="7"/>
  <c r="K103" i="7"/>
  <c r="M103" i="7"/>
  <c r="J103" i="7"/>
  <c r="C103" i="7"/>
  <c r="B103" i="7"/>
  <c r="L103" i="7"/>
  <c r="S103" i="7"/>
  <c r="R103" i="7"/>
  <c r="D103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S102" i="7"/>
  <c r="R102" i="7"/>
  <c r="Q102" i="7"/>
  <c r="H101" i="7"/>
  <c r="S101" i="7"/>
  <c r="B101" i="7"/>
  <c r="C101" i="7"/>
  <c r="D101" i="7"/>
  <c r="G101" i="7"/>
  <c r="E101" i="7"/>
  <c r="L101" i="7"/>
  <c r="K101" i="7"/>
  <c r="J101" i="7"/>
  <c r="I101" i="7"/>
  <c r="F101" i="7"/>
  <c r="R101" i="7"/>
  <c r="Q101" i="7"/>
  <c r="P101" i="7"/>
  <c r="O101" i="7"/>
  <c r="N101" i="7"/>
  <c r="M101" i="7"/>
  <c r="I100" i="7"/>
  <c r="P100" i="7"/>
  <c r="J100" i="7"/>
  <c r="K100" i="7"/>
  <c r="L100" i="7"/>
  <c r="M100" i="7"/>
  <c r="N100" i="7"/>
  <c r="Q100" i="7"/>
  <c r="O100" i="7"/>
  <c r="C100" i="7"/>
  <c r="S100" i="7"/>
  <c r="R100" i="7"/>
  <c r="B100" i="7"/>
  <c r="D100" i="7"/>
  <c r="E100" i="7"/>
  <c r="F100" i="7"/>
  <c r="G100" i="7"/>
  <c r="H100" i="7"/>
  <c r="R99" i="7"/>
  <c r="P99" i="7"/>
  <c r="Q99" i="7"/>
  <c r="S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H98" i="7"/>
  <c r="B98" i="7"/>
  <c r="C98" i="7"/>
  <c r="D98" i="7"/>
  <c r="P98" i="7"/>
  <c r="E98" i="7"/>
  <c r="F98" i="7"/>
  <c r="G98" i="7"/>
  <c r="I98" i="7"/>
  <c r="J98" i="7"/>
  <c r="K98" i="7"/>
  <c r="L98" i="7"/>
  <c r="M98" i="7"/>
  <c r="N98" i="7"/>
  <c r="O98" i="7"/>
  <c r="S98" i="7"/>
  <c r="R98" i="7"/>
  <c r="Q98" i="7"/>
  <c r="B97" i="7"/>
  <c r="N97" i="7"/>
  <c r="S97" i="7"/>
  <c r="R97" i="7"/>
  <c r="Q97" i="7"/>
  <c r="P97" i="7"/>
  <c r="O97" i="7"/>
  <c r="M97" i="7"/>
  <c r="L97" i="7"/>
  <c r="K97" i="7"/>
  <c r="J97" i="7"/>
  <c r="I97" i="7"/>
  <c r="H97" i="7"/>
  <c r="G97" i="7"/>
  <c r="F97" i="7"/>
  <c r="E97" i="7"/>
  <c r="D97" i="7"/>
  <c r="C97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C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B95" i="7"/>
  <c r="S94" i="7"/>
  <c r="D94" i="7"/>
  <c r="F94" i="7"/>
  <c r="G94" i="7"/>
  <c r="H94" i="7"/>
  <c r="I94" i="7"/>
  <c r="E94" i="7"/>
  <c r="J94" i="7"/>
  <c r="K94" i="7"/>
  <c r="L94" i="7"/>
  <c r="M94" i="7"/>
  <c r="N94" i="7"/>
  <c r="O94" i="7"/>
  <c r="P94" i="7"/>
  <c r="Q94" i="7"/>
  <c r="R94" i="7"/>
  <c r="C94" i="7"/>
  <c r="B94" i="7"/>
  <c r="C93" i="7"/>
  <c r="D93" i="7"/>
  <c r="E93" i="7"/>
  <c r="F93" i="7"/>
  <c r="I93" i="7"/>
  <c r="J93" i="7"/>
  <c r="K93" i="7"/>
  <c r="L93" i="7"/>
  <c r="M93" i="7"/>
  <c r="H93" i="7"/>
  <c r="O93" i="7"/>
  <c r="P93" i="7"/>
  <c r="N93" i="7"/>
  <c r="G93" i="7"/>
  <c r="B93" i="7"/>
  <c r="S93" i="7"/>
  <c r="R93" i="7"/>
  <c r="Q93" i="7"/>
  <c r="Q92" i="7"/>
  <c r="P92" i="7"/>
  <c r="O92" i="7"/>
  <c r="N92" i="7"/>
  <c r="M92" i="7"/>
  <c r="L92" i="7"/>
  <c r="J92" i="7"/>
  <c r="H92" i="7"/>
  <c r="G92" i="7"/>
  <c r="F92" i="7"/>
  <c r="E92" i="7"/>
  <c r="I92" i="7"/>
  <c r="D92" i="7"/>
  <c r="K92" i="7"/>
  <c r="C92" i="7"/>
  <c r="B92" i="7"/>
  <c r="S92" i="7"/>
  <c r="R92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S91" i="7"/>
  <c r="R91" i="7"/>
  <c r="Q91" i="7"/>
  <c r="P90" i="7"/>
  <c r="Q90" i="7"/>
  <c r="B90" i="7"/>
  <c r="C90" i="7"/>
  <c r="D90" i="7"/>
  <c r="E90" i="7"/>
  <c r="R90" i="7"/>
  <c r="F90" i="7"/>
  <c r="G90" i="7"/>
  <c r="H90" i="7"/>
  <c r="I90" i="7"/>
  <c r="J90" i="7"/>
  <c r="K90" i="7"/>
  <c r="S90" i="7"/>
  <c r="L90" i="7"/>
  <c r="M90" i="7"/>
  <c r="N90" i="7"/>
  <c r="O90" i="7"/>
  <c r="Q89" i="7"/>
  <c r="C89" i="7"/>
  <c r="P89" i="7"/>
  <c r="B89" i="7"/>
  <c r="D89" i="7"/>
  <c r="E89" i="7"/>
  <c r="F89" i="7"/>
  <c r="G89" i="7"/>
  <c r="H89" i="7"/>
  <c r="O89" i="7"/>
  <c r="J89" i="7"/>
  <c r="K89" i="7"/>
  <c r="L89" i="7"/>
  <c r="M89" i="7"/>
  <c r="N89" i="7"/>
  <c r="I89" i="7"/>
  <c r="S89" i="7"/>
  <c r="R89" i="7"/>
  <c r="B88" i="7"/>
  <c r="Q88" i="7"/>
  <c r="P88" i="7"/>
  <c r="O88" i="7"/>
  <c r="N88" i="7"/>
  <c r="M88" i="7"/>
  <c r="L88" i="7"/>
  <c r="K88" i="7"/>
  <c r="J88" i="7"/>
  <c r="I88" i="7"/>
  <c r="H88" i="7"/>
  <c r="G88" i="7"/>
  <c r="F88" i="7"/>
  <c r="D88" i="7"/>
  <c r="C88" i="7"/>
  <c r="S88" i="7"/>
  <c r="R88" i="7"/>
  <c r="E88" i="7"/>
  <c r="L87" i="7"/>
  <c r="S87" i="7"/>
  <c r="R87" i="7"/>
  <c r="Q87" i="7"/>
  <c r="P87" i="7"/>
  <c r="O87" i="7"/>
  <c r="N87" i="7"/>
  <c r="M87" i="7"/>
  <c r="K87" i="7"/>
  <c r="J87" i="7"/>
  <c r="I87" i="7"/>
  <c r="H87" i="7"/>
  <c r="G87" i="7"/>
  <c r="F87" i="7"/>
  <c r="E87" i="7"/>
  <c r="D87" i="7"/>
  <c r="C87" i="7"/>
  <c r="B87" i="7"/>
  <c r="B86" i="7"/>
  <c r="C86" i="7"/>
  <c r="D86" i="7"/>
  <c r="F86" i="7"/>
  <c r="G86" i="7"/>
  <c r="H86" i="7"/>
  <c r="I86" i="7"/>
  <c r="J86" i="7"/>
  <c r="K86" i="7"/>
  <c r="L86" i="7"/>
  <c r="M86" i="7"/>
  <c r="Q86" i="7"/>
  <c r="N86" i="7"/>
  <c r="O86" i="7"/>
  <c r="P86" i="7"/>
  <c r="E86" i="7"/>
  <c r="S86" i="7"/>
  <c r="R86" i="7"/>
  <c r="B85" i="7"/>
  <c r="C85" i="7"/>
  <c r="D85" i="7"/>
  <c r="E85" i="7"/>
  <c r="G85" i="7"/>
  <c r="J85" i="7"/>
  <c r="K85" i="7"/>
  <c r="L85" i="7"/>
  <c r="M85" i="7"/>
  <c r="N85" i="7"/>
  <c r="O85" i="7"/>
  <c r="P85" i="7"/>
  <c r="Q85" i="7"/>
  <c r="R85" i="7"/>
  <c r="S85" i="7"/>
  <c r="H85" i="7"/>
  <c r="I85" i="7"/>
  <c r="F85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S84" i="7"/>
  <c r="R84" i="7"/>
  <c r="Q84" i="7"/>
  <c r="O83" i="7"/>
  <c r="F83" i="7"/>
  <c r="E83" i="7"/>
  <c r="L83" i="7"/>
  <c r="D83" i="7"/>
  <c r="C83" i="7"/>
  <c r="K83" i="7"/>
  <c r="B83" i="7"/>
  <c r="R83" i="7"/>
  <c r="N83" i="7"/>
  <c r="M83" i="7"/>
  <c r="Q83" i="7"/>
  <c r="P83" i="7"/>
  <c r="S83" i="7"/>
  <c r="J83" i="7"/>
  <c r="I83" i="7"/>
  <c r="H83" i="7"/>
  <c r="G83" i="7"/>
  <c r="G82" i="7"/>
  <c r="H82" i="7"/>
  <c r="I82" i="7"/>
  <c r="J82" i="7"/>
  <c r="K82" i="7"/>
  <c r="M82" i="7"/>
  <c r="N82" i="7"/>
  <c r="O82" i="7"/>
  <c r="L82" i="7"/>
  <c r="P82" i="7"/>
  <c r="Q82" i="7"/>
  <c r="S82" i="7"/>
  <c r="R82" i="7"/>
  <c r="F82" i="7"/>
  <c r="E82" i="7"/>
  <c r="D82" i="7"/>
  <c r="C82" i="7"/>
  <c r="B82" i="7"/>
  <c r="E81" i="7"/>
  <c r="F81" i="7"/>
  <c r="G81" i="7"/>
  <c r="B81" i="7"/>
  <c r="C81" i="7"/>
  <c r="D81" i="7"/>
  <c r="S81" i="7"/>
  <c r="R81" i="7"/>
  <c r="Q81" i="7"/>
  <c r="P81" i="7"/>
  <c r="O81" i="7"/>
  <c r="N81" i="7"/>
  <c r="M81" i="7"/>
  <c r="L81" i="7"/>
  <c r="K81" i="7"/>
  <c r="J81" i="7"/>
  <c r="I81" i="7"/>
  <c r="H81" i="7"/>
  <c r="R80" i="7"/>
  <c r="F80" i="7"/>
  <c r="B80" i="7"/>
  <c r="C80" i="7"/>
  <c r="D80" i="7"/>
  <c r="E80" i="7"/>
  <c r="G80" i="7"/>
  <c r="H80" i="7"/>
  <c r="I80" i="7"/>
  <c r="J80" i="7"/>
  <c r="K80" i="7"/>
  <c r="L80" i="7"/>
  <c r="M80" i="7"/>
  <c r="N80" i="7"/>
  <c r="O80" i="7"/>
  <c r="P80" i="7"/>
  <c r="Q80" i="7"/>
  <c r="S80" i="7"/>
  <c r="L79" i="7"/>
  <c r="K79" i="7"/>
  <c r="S79" i="7"/>
  <c r="R79" i="7"/>
  <c r="Q79" i="7"/>
  <c r="P79" i="7"/>
  <c r="O79" i="7"/>
  <c r="N79" i="7"/>
  <c r="M79" i="7"/>
  <c r="J79" i="7"/>
  <c r="I79" i="7"/>
  <c r="H79" i="7"/>
  <c r="G79" i="7"/>
  <c r="F79" i="7"/>
  <c r="E79" i="7"/>
  <c r="D79" i="7"/>
  <c r="C79" i="7"/>
  <c r="B79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N76" i="7"/>
  <c r="Q76" i="7"/>
  <c r="O76" i="7"/>
  <c r="P76" i="7"/>
  <c r="S76" i="7"/>
  <c r="B76" i="7"/>
  <c r="C76" i="7"/>
  <c r="D76" i="7"/>
  <c r="E76" i="7"/>
  <c r="F76" i="7"/>
  <c r="G76" i="7"/>
  <c r="H76" i="7"/>
  <c r="I76" i="7"/>
  <c r="J76" i="7"/>
  <c r="K76" i="7"/>
  <c r="R76" i="7"/>
  <c r="L76" i="7"/>
  <c r="M76" i="7"/>
  <c r="P75" i="7"/>
  <c r="Q75" i="7"/>
  <c r="R75" i="7"/>
  <c r="S75" i="7"/>
  <c r="N75" i="7"/>
  <c r="D75" i="7"/>
  <c r="E75" i="7"/>
  <c r="F75" i="7"/>
  <c r="G75" i="7"/>
  <c r="H75" i="7"/>
  <c r="I75" i="7"/>
  <c r="J75" i="7"/>
  <c r="K75" i="7"/>
  <c r="L75" i="7"/>
  <c r="M75" i="7"/>
  <c r="B75" i="7"/>
  <c r="C75" i="7"/>
  <c r="O75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S74" i="7"/>
  <c r="R74" i="7"/>
  <c r="Q74" i="7"/>
  <c r="G73" i="7"/>
  <c r="P73" i="7"/>
  <c r="O73" i="7"/>
  <c r="N73" i="7"/>
  <c r="M73" i="7"/>
  <c r="L73" i="7"/>
  <c r="K73" i="7"/>
  <c r="J73" i="7"/>
  <c r="I73" i="7"/>
  <c r="H73" i="7"/>
  <c r="S73" i="7"/>
  <c r="F73" i="7"/>
  <c r="E73" i="7"/>
  <c r="D73" i="7"/>
  <c r="C73" i="7"/>
  <c r="B73" i="7"/>
  <c r="R73" i="7"/>
  <c r="Q73" i="7"/>
  <c r="C72" i="7"/>
  <c r="B72" i="7"/>
  <c r="S72" i="7"/>
  <c r="R72" i="7"/>
  <c r="N72" i="7"/>
  <c r="M72" i="7"/>
  <c r="L72" i="7"/>
  <c r="K72" i="7"/>
  <c r="J72" i="7"/>
  <c r="I72" i="7"/>
  <c r="H72" i="7"/>
  <c r="G72" i="7"/>
  <c r="F72" i="7"/>
  <c r="E72" i="7"/>
  <c r="D72" i="7"/>
  <c r="Q72" i="7"/>
  <c r="P72" i="7"/>
  <c r="O72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S71" i="7"/>
  <c r="R71" i="7"/>
  <c r="Q71" i="7"/>
  <c r="F70" i="7"/>
  <c r="O70" i="7"/>
  <c r="N70" i="7"/>
  <c r="M70" i="7"/>
  <c r="L70" i="7"/>
  <c r="K70" i="7"/>
  <c r="J70" i="7"/>
  <c r="I70" i="7"/>
  <c r="H70" i="7"/>
  <c r="Q70" i="7"/>
  <c r="B70" i="7"/>
  <c r="G70" i="7"/>
  <c r="C70" i="7"/>
  <c r="D70" i="7"/>
  <c r="E70" i="7"/>
  <c r="P70" i="7"/>
  <c r="S70" i="7"/>
  <c r="R70" i="7"/>
  <c r="B69" i="7"/>
  <c r="C69" i="7"/>
  <c r="D69" i="7"/>
  <c r="E69" i="7"/>
  <c r="F69" i="7"/>
  <c r="G69" i="7"/>
  <c r="H69" i="7"/>
  <c r="I69" i="7"/>
  <c r="R69" i="7"/>
  <c r="S69" i="7"/>
  <c r="K69" i="7"/>
  <c r="L69" i="7"/>
  <c r="M69" i="7"/>
  <c r="N69" i="7"/>
  <c r="O69" i="7"/>
  <c r="P69" i="7"/>
  <c r="Q69" i="7"/>
  <c r="J69" i="7"/>
  <c r="K68" i="7"/>
  <c r="I68" i="7"/>
  <c r="H68" i="7"/>
  <c r="G68" i="7"/>
  <c r="F68" i="7"/>
  <c r="E68" i="7"/>
  <c r="D68" i="7"/>
  <c r="C68" i="7"/>
  <c r="B68" i="7"/>
  <c r="J68" i="7"/>
  <c r="S68" i="7"/>
  <c r="R68" i="7"/>
  <c r="Q68" i="7"/>
  <c r="P68" i="7"/>
  <c r="O68" i="7"/>
  <c r="N68" i="7"/>
  <c r="M68" i="7"/>
  <c r="L68" i="7"/>
  <c r="P67" i="7"/>
  <c r="O67" i="7"/>
  <c r="N67" i="7"/>
  <c r="M67" i="7"/>
  <c r="L67" i="7"/>
  <c r="K67" i="7"/>
  <c r="J67" i="7"/>
  <c r="I67" i="7"/>
  <c r="H67" i="7"/>
  <c r="Q67" i="7"/>
  <c r="B67" i="7"/>
  <c r="C67" i="7"/>
  <c r="D67" i="7"/>
  <c r="F67" i="7"/>
  <c r="G67" i="7"/>
  <c r="E67" i="7"/>
  <c r="S67" i="7"/>
  <c r="R67" i="7"/>
  <c r="S66" i="7"/>
  <c r="B66" i="7"/>
  <c r="Q66" i="7"/>
  <c r="C66" i="7"/>
  <c r="H66" i="7"/>
  <c r="I66" i="7"/>
  <c r="E66" i="7"/>
  <c r="J66" i="7"/>
  <c r="K66" i="7"/>
  <c r="L66" i="7"/>
  <c r="M66" i="7"/>
  <c r="N66" i="7"/>
  <c r="O66" i="7"/>
  <c r="P66" i="7"/>
  <c r="R66" i="7"/>
  <c r="F66" i="7"/>
  <c r="G66" i="7"/>
  <c r="D66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S65" i="7"/>
  <c r="R65" i="7"/>
  <c r="Q65" i="7"/>
  <c r="D64" i="7"/>
  <c r="N64" i="7"/>
  <c r="O64" i="7"/>
  <c r="P64" i="7"/>
  <c r="S64" i="7"/>
  <c r="Q64" i="7"/>
  <c r="E64" i="7"/>
  <c r="R64" i="7"/>
  <c r="B64" i="7"/>
  <c r="C64" i="7"/>
  <c r="F64" i="7"/>
  <c r="G64" i="7"/>
  <c r="H64" i="7"/>
  <c r="I64" i="7"/>
  <c r="J64" i="7"/>
  <c r="K64" i="7"/>
  <c r="L64" i="7"/>
  <c r="M64" i="7"/>
  <c r="P63" i="7"/>
  <c r="O63" i="7"/>
  <c r="N63" i="7"/>
  <c r="M63" i="7"/>
  <c r="L63" i="7"/>
  <c r="Q63" i="7"/>
  <c r="K63" i="7"/>
  <c r="B63" i="7"/>
  <c r="C63" i="7"/>
  <c r="D63" i="7"/>
  <c r="E63" i="7"/>
  <c r="J63" i="7"/>
  <c r="F63" i="7"/>
  <c r="I63" i="7"/>
  <c r="H63" i="7"/>
  <c r="G63" i="7"/>
  <c r="S63" i="7"/>
  <c r="R63" i="7"/>
  <c r="C62" i="7"/>
  <c r="O62" i="7"/>
  <c r="N62" i="7"/>
  <c r="M62" i="7"/>
  <c r="L62" i="7"/>
  <c r="J62" i="7"/>
  <c r="K62" i="7"/>
  <c r="I62" i="7"/>
  <c r="H62" i="7"/>
  <c r="G62" i="7"/>
  <c r="F62" i="7"/>
  <c r="B62" i="7"/>
  <c r="Q62" i="7"/>
  <c r="E62" i="7"/>
  <c r="D62" i="7"/>
  <c r="S62" i="7"/>
  <c r="R62" i="7"/>
  <c r="P62" i="7"/>
  <c r="L61" i="7"/>
  <c r="K61" i="7"/>
  <c r="J61" i="7"/>
  <c r="I61" i="7"/>
  <c r="H61" i="7"/>
  <c r="G61" i="7"/>
  <c r="B61" i="7"/>
  <c r="D61" i="7"/>
  <c r="E61" i="7"/>
  <c r="C61" i="7"/>
  <c r="F61" i="7"/>
  <c r="S61" i="7"/>
  <c r="R61" i="7"/>
  <c r="Q61" i="7"/>
  <c r="P61" i="7"/>
  <c r="O61" i="7"/>
  <c r="N61" i="7"/>
  <c r="M61" i="7"/>
  <c r="G60" i="7"/>
  <c r="P60" i="7"/>
  <c r="O60" i="7"/>
  <c r="N60" i="7"/>
  <c r="M60" i="7"/>
  <c r="F60" i="7"/>
  <c r="L60" i="7"/>
  <c r="E60" i="7"/>
  <c r="D60" i="7"/>
  <c r="C60" i="7"/>
  <c r="B60" i="7"/>
  <c r="K60" i="7"/>
  <c r="J60" i="7"/>
  <c r="I60" i="7"/>
  <c r="H60" i="7"/>
  <c r="S60" i="7"/>
  <c r="R60" i="7"/>
  <c r="Q60" i="7"/>
  <c r="L59" i="7"/>
  <c r="M59" i="7"/>
  <c r="N59" i="7"/>
  <c r="O59" i="7"/>
  <c r="K59" i="7"/>
  <c r="S59" i="7"/>
  <c r="R59" i="7"/>
  <c r="Q59" i="7"/>
  <c r="P59" i="7"/>
  <c r="J59" i="7"/>
  <c r="I59" i="7"/>
  <c r="H59" i="7"/>
  <c r="G59" i="7"/>
  <c r="F59" i="7"/>
  <c r="E59" i="7"/>
  <c r="D59" i="7"/>
  <c r="C59" i="7"/>
  <c r="B59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E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D57" i="7"/>
  <c r="C57" i="7"/>
  <c r="B57" i="7"/>
  <c r="N56" i="7"/>
  <c r="G56" i="7"/>
  <c r="H56" i="7"/>
  <c r="I56" i="7"/>
  <c r="J56" i="7"/>
  <c r="K56" i="7"/>
  <c r="E56" i="7"/>
  <c r="L56" i="7"/>
  <c r="S56" i="7"/>
  <c r="R56" i="7"/>
  <c r="O56" i="7"/>
  <c r="P56" i="7"/>
  <c r="M56" i="7"/>
  <c r="Q56" i="7"/>
  <c r="F56" i="7"/>
  <c r="D56" i="7"/>
  <c r="C56" i="7"/>
  <c r="B56" i="7"/>
  <c r="E55" i="7"/>
  <c r="G55" i="7"/>
  <c r="H55" i="7"/>
  <c r="I55" i="7"/>
  <c r="J55" i="7"/>
  <c r="K55" i="7"/>
  <c r="L55" i="7"/>
  <c r="M55" i="7"/>
  <c r="P55" i="7"/>
  <c r="O55" i="7"/>
  <c r="N55" i="7"/>
  <c r="F55" i="7"/>
  <c r="B55" i="7"/>
  <c r="C55" i="7"/>
  <c r="D55" i="7"/>
  <c r="S55" i="7"/>
  <c r="R55" i="7"/>
  <c r="Q55" i="7"/>
  <c r="C54" i="7"/>
  <c r="B54" i="7"/>
  <c r="H54" i="7"/>
  <c r="R54" i="7"/>
  <c r="S54" i="7"/>
  <c r="Q54" i="7"/>
  <c r="P54" i="7"/>
  <c r="O54" i="7"/>
  <c r="N54" i="7"/>
  <c r="M54" i="7"/>
  <c r="G54" i="7"/>
  <c r="L54" i="7"/>
  <c r="I54" i="7"/>
  <c r="J54" i="7"/>
  <c r="K54" i="7"/>
  <c r="F54" i="7"/>
  <c r="E54" i="7"/>
  <c r="D54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S53" i="7"/>
  <c r="R53" i="7"/>
  <c r="Q53" i="7"/>
  <c r="C52" i="7"/>
  <c r="P52" i="7"/>
  <c r="O52" i="7"/>
  <c r="N52" i="7"/>
  <c r="M52" i="7"/>
  <c r="Q52" i="7"/>
  <c r="K52" i="7"/>
  <c r="J52" i="7"/>
  <c r="I52" i="7"/>
  <c r="H52" i="7"/>
  <c r="G52" i="7"/>
  <c r="F52" i="7"/>
  <c r="E52" i="7"/>
  <c r="D52" i="7"/>
  <c r="L52" i="7"/>
  <c r="B52" i="7"/>
  <c r="S52" i="7"/>
  <c r="R52" i="7"/>
  <c r="C51" i="7"/>
  <c r="B51" i="7"/>
  <c r="S51" i="7"/>
  <c r="R51" i="7"/>
  <c r="N51" i="7"/>
  <c r="M51" i="7"/>
  <c r="L51" i="7"/>
  <c r="K51" i="7"/>
  <c r="J51" i="7"/>
  <c r="I51" i="7"/>
  <c r="H51" i="7"/>
  <c r="G51" i="7"/>
  <c r="F51" i="7"/>
  <c r="E51" i="7"/>
  <c r="D51" i="7"/>
  <c r="P51" i="7"/>
  <c r="O51" i="7"/>
  <c r="Q51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S50" i="7"/>
  <c r="R50" i="7"/>
  <c r="Q50" i="7"/>
  <c r="H49" i="7"/>
  <c r="B49" i="7"/>
  <c r="C49" i="7"/>
  <c r="D49" i="7"/>
  <c r="F49" i="7"/>
  <c r="G49" i="7"/>
  <c r="E49" i="7"/>
  <c r="I49" i="7"/>
  <c r="J49" i="7"/>
  <c r="K49" i="7"/>
  <c r="L49" i="7"/>
  <c r="M49" i="7"/>
  <c r="N49" i="7"/>
  <c r="S49" i="7"/>
  <c r="O49" i="7"/>
  <c r="P49" i="7"/>
  <c r="Q49" i="7"/>
  <c r="R49" i="7"/>
  <c r="Q48" i="7"/>
  <c r="P48" i="7"/>
  <c r="B48" i="7"/>
  <c r="C48" i="7"/>
  <c r="E48" i="7"/>
  <c r="F48" i="7"/>
  <c r="G48" i="7"/>
  <c r="H48" i="7"/>
  <c r="I48" i="7"/>
  <c r="D48" i="7"/>
  <c r="K48" i="7"/>
  <c r="L48" i="7"/>
  <c r="M48" i="7"/>
  <c r="N48" i="7"/>
  <c r="J48" i="7"/>
  <c r="R48" i="7"/>
  <c r="S48" i="7"/>
  <c r="O48" i="7"/>
  <c r="B47" i="7"/>
  <c r="O47" i="7"/>
  <c r="N47" i="7"/>
  <c r="M47" i="7"/>
  <c r="L47" i="7"/>
  <c r="K47" i="7"/>
  <c r="J47" i="7"/>
  <c r="I47" i="7"/>
  <c r="S47" i="7"/>
  <c r="G47" i="7"/>
  <c r="F47" i="7"/>
  <c r="H47" i="7"/>
  <c r="E47" i="7"/>
  <c r="D47" i="7"/>
  <c r="C47" i="7"/>
  <c r="R47" i="7"/>
  <c r="Q47" i="7"/>
  <c r="P47" i="7"/>
  <c r="L46" i="7"/>
  <c r="S46" i="7"/>
  <c r="R46" i="7"/>
  <c r="Q46" i="7"/>
  <c r="P46" i="7"/>
  <c r="O46" i="7"/>
  <c r="N46" i="7"/>
  <c r="M46" i="7"/>
  <c r="K46" i="7"/>
  <c r="J46" i="7"/>
  <c r="I46" i="7"/>
  <c r="H46" i="7"/>
  <c r="G46" i="7"/>
  <c r="F46" i="7"/>
  <c r="E46" i="7"/>
  <c r="D46" i="7"/>
  <c r="C46" i="7"/>
  <c r="B46" i="7"/>
  <c r="Q45" i="7"/>
  <c r="B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C45" i="7"/>
  <c r="S45" i="7"/>
  <c r="R45" i="7"/>
  <c r="S44" i="7"/>
  <c r="E44" i="7"/>
  <c r="F44" i="7"/>
  <c r="G44" i="7"/>
  <c r="B44" i="7"/>
  <c r="H44" i="7"/>
  <c r="I44" i="7"/>
  <c r="J44" i="7"/>
  <c r="K44" i="7"/>
  <c r="L44" i="7"/>
  <c r="M44" i="7"/>
  <c r="N44" i="7"/>
  <c r="P44" i="7"/>
  <c r="Q44" i="7"/>
  <c r="R44" i="7"/>
  <c r="O44" i="7"/>
  <c r="C44" i="7"/>
  <c r="D44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S43" i="7"/>
  <c r="R43" i="7"/>
  <c r="Q43" i="7"/>
  <c r="Q42" i="7"/>
  <c r="P42" i="7"/>
  <c r="O42" i="7"/>
  <c r="N42" i="7"/>
  <c r="M42" i="7"/>
  <c r="L42" i="7"/>
  <c r="K42" i="7"/>
  <c r="J42" i="7"/>
  <c r="I42" i="7"/>
  <c r="H42" i="7"/>
  <c r="G42" i="7"/>
  <c r="F42" i="7"/>
  <c r="B42" i="7"/>
  <c r="C42" i="7"/>
  <c r="D42" i="7"/>
  <c r="E42" i="7"/>
  <c r="S42" i="7"/>
  <c r="R42" i="7"/>
  <c r="P41" i="7"/>
  <c r="I41" i="7"/>
  <c r="J41" i="7"/>
  <c r="K41" i="7"/>
  <c r="L41" i="7"/>
  <c r="M41" i="7"/>
  <c r="N41" i="7"/>
  <c r="O41" i="7"/>
  <c r="Q41" i="7"/>
  <c r="R41" i="7"/>
  <c r="S41" i="7"/>
  <c r="B41" i="7"/>
  <c r="C41" i="7"/>
  <c r="D41" i="7"/>
  <c r="E41" i="7"/>
  <c r="F41" i="7"/>
  <c r="G41" i="7"/>
  <c r="H41" i="7"/>
  <c r="L40" i="7"/>
  <c r="K40" i="7"/>
  <c r="J40" i="7"/>
  <c r="I40" i="7"/>
  <c r="G40" i="7"/>
  <c r="F40" i="7"/>
  <c r="E40" i="7"/>
  <c r="D40" i="7"/>
  <c r="C40" i="7"/>
  <c r="B40" i="7"/>
  <c r="H40" i="7"/>
  <c r="S40" i="7"/>
  <c r="R40" i="7"/>
  <c r="Q40" i="7"/>
  <c r="P40" i="7"/>
  <c r="O40" i="7"/>
  <c r="N40" i="7"/>
  <c r="M40" i="7"/>
  <c r="N39" i="7"/>
  <c r="M39" i="7"/>
  <c r="L39" i="7"/>
  <c r="K39" i="7"/>
  <c r="J39" i="7"/>
  <c r="I39" i="7"/>
  <c r="H39" i="7"/>
  <c r="G39" i="7"/>
  <c r="F39" i="7"/>
  <c r="E39" i="7"/>
  <c r="P39" i="7"/>
  <c r="O39" i="7"/>
  <c r="D39" i="7"/>
  <c r="B39" i="7"/>
  <c r="C39" i="7"/>
  <c r="S39" i="7"/>
  <c r="R39" i="7"/>
  <c r="Q39" i="7"/>
  <c r="Q38" i="7"/>
  <c r="R38" i="7"/>
  <c r="S38" i="7"/>
  <c r="M38" i="7"/>
  <c r="L38" i="7"/>
  <c r="K38" i="7"/>
  <c r="J38" i="7"/>
  <c r="E38" i="7"/>
  <c r="O38" i="7"/>
  <c r="D38" i="7"/>
  <c r="C38" i="7"/>
  <c r="B38" i="7"/>
  <c r="P38" i="7"/>
  <c r="H38" i="7"/>
  <c r="N38" i="7"/>
  <c r="G38" i="7"/>
  <c r="F38" i="7"/>
  <c r="I38" i="7"/>
  <c r="C37" i="7"/>
  <c r="B37" i="7"/>
  <c r="J36" i="7"/>
  <c r="I36" i="7"/>
  <c r="H36" i="7"/>
  <c r="G36" i="7"/>
  <c r="F36" i="7"/>
  <c r="E36" i="7"/>
  <c r="D36" i="7"/>
  <c r="C36" i="7"/>
  <c r="B36" i="7"/>
  <c r="L36" i="7"/>
  <c r="S36" i="7"/>
  <c r="R36" i="7"/>
  <c r="Q36" i="7"/>
  <c r="P36" i="7"/>
  <c r="O36" i="7"/>
  <c r="N36" i="7"/>
  <c r="M36" i="7"/>
  <c r="K36" i="7"/>
  <c r="S35" i="7"/>
  <c r="R35" i="7"/>
  <c r="Q35" i="7"/>
  <c r="P35" i="7"/>
  <c r="O35" i="7"/>
  <c r="N35" i="7"/>
  <c r="M35" i="7"/>
  <c r="L35" i="7"/>
  <c r="E35" i="7"/>
  <c r="F35" i="7"/>
  <c r="G35" i="7"/>
  <c r="H35" i="7"/>
  <c r="I35" i="7"/>
  <c r="D35" i="7"/>
  <c r="B35" i="7"/>
  <c r="J35" i="7"/>
  <c r="K35" i="7"/>
  <c r="C35" i="7"/>
  <c r="J34" i="7"/>
  <c r="I34" i="7"/>
  <c r="H34" i="7"/>
  <c r="G34" i="7"/>
  <c r="F34" i="7"/>
  <c r="E34" i="7"/>
  <c r="D34" i="7"/>
  <c r="C34" i="7"/>
  <c r="B34" i="7"/>
  <c r="P34" i="7"/>
  <c r="S34" i="7"/>
  <c r="O34" i="7"/>
  <c r="N34" i="7"/>
  <c r="Q34" i="7"/>
  <c r="R34" i="7"/>
  <c r="M34" i="7"/>
  <c r="L34" i="7"/>
  <c r="K34" i="7"/>
  <c r="I33" i="7"/>
  <c r="H33" i="7"/>
  <c r="G33" i="7"/>
  <c r="E33" i="7"/>
  <c r="D33" i="7"/>
  <c r="R33" i="7"/>
  <c r="C33" i="7"/>
  <c r="B33" i="7"/>
  <c r="O33" i="7"/>
  <c r="S33" i="7"/>
  <c r="P33" i="7"/>
  <c r="Q33" i="7"/>
  <c r="N33" i="7"/>
  <c r="M33" i="7"/>
  <c r="L33" i="7"/>
  <c r="K33" i="7"/>
  <c r="J33" i="7"/>
  <c r="F33" i="7"/>
  <c r="K32" i="7"/>
  <c r="L32" i="7"/>
  <c r="M32" i="7"/>
  <c r="N32" i="7"/>
  <c r="P32" i="7"/>
  <c r="Q32" i="7"/>
  <c r="R32" i="7"/>
  <c r="S32" i="7"/>
  <c r="J32" i="7"/>
  <c r="B32" i="7"/>
  <c r="C32" i="7"/>
  <c r="D32" i="7"/>
  <c r="E32" i="7"/>
  <c r="F32" i="7"/>
  <c r="G32" i="7"/>
  <c r="H32" i="7"/>
  <c r="I32" i="7"/>
  <c r="O32" i="7"/>
  <c r="I31" i="7"/>
  <c r="H31" i="7"/>
  <c r="G31" i="7"/>
  <c r="F31" i="7"/>
  <c r="E31" i="7"/>
  <c r="D31" i="7"/>
  <c r="C31" i="7"/>
  <c r="J31" i="7"/>
  <c r="S31" i="7"/>
  <c r="R31" i="7"/>
  <c r="B31" i="7"/>
  <c r="Q31" i="7"/>
  <c r="O31" i="7"/>
  <c r="N31" i="7"/>
  <c r="P31" i="7"/>
  <c r="M31" i="7"/>
  <c r="L31" i="7"/>
  <c r="K31" i="7"/>
  <c r="G30" i="7"/>
  <c r="S30" i="7"/>
  <c r="R30" i="7"/>
  <c r="Q30" i="7"/>
  <c r="P30" i="7"/>
  <c r="O30" i="7"/>
  <c r="N30" i="7"/>
  <c r="M30" i="7"/>
  <c r="L30" i="7"/>
  <c r="K30" i="7"/>
  <c r="F30" i="7"/>
  <c r="E30" i="7"/>
  <c r="D30" i="7"/>
  <c r="C30" i="7"/>
  <c r="B30" i="7"/>
  <c r="H30" i="7"/>
  <c r="I30" i="7"/>
  <c r="J30" i="7"/>
  <c r="L29" i="7"/>
  <c r="K29" i="7"/>
  <c r="J29" i="7"/>
  <c r="I29" i="7"/>
  <c r="H29" i="7"/>
  <c r="G29" i="7"/>
  <c r="F29" i="7"/>
  <c r="E29" i="7"/>
  <c r="D29" i="7"/>
  <c r="B29" i="7"/>
  <c r="C29" i="7"/>
  <c r="S29" i="7"/>
  <c r="R29" i="7"/>
  <c r="Q29" i="7"/>
  <c r="P29" i="7"/>
  <c r="O29" i="7"/>
  <c r="N29" i="7"/>
  <c r="M29" i="7"/>
  <c r="K28" i="7"/>
  <c r="J28" i="7"/>
  <c r="I28" i="7"/>
  <c r="H28" i="7"/>
  <c r="G28" i="7"/>
  <c r="F28" i="7"/>
  <c r="E28" i="7"/>
  <c r="D28" i="7"/>
  <c r="C28" i="7"/>
  <c r="B28" i="7"/>
  <c r="N28" i="7"/>
  <c r="M28" i="7"/>
  <c r="S28" i="7"/>
  <c r="L28" i="7"/>
  <c r="R28" i="7"/>
  <c r="Q28" i="7"/>
  <c r="P28" i="7"/>
  <c r="O28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K26" i="7"/>
  <c r="J26" i="7"/>
  <c r="I26" i="7"/>
  <c r="H26" i="7"/>
  <c r="G26" i="7"/>
  <c r="S26" i="7"/>
  <c r="E26" i="7"/>
  <c r="D26" i="7"/>
  <c r="C26" i="7"/>
  <c r="B26" i="7"/>
  <c r="R26" i="7"/>
  <c r="L26" i="7"/>
  <c r="Q26" i="7"/>
  <c r="P26" i="7"/>
  <c r="O26" i="7"/>
  <c r="N26" i="7"/>
  <c r="M26" i="7"/>
  <c r="F26" i="7"/>
  <c r="L25" i="7"/>
  <c r="K25" i="7"/>
  <c r="J25" i="7"/>
  <c r="I25" i="7"/>
  <c r="H25" i="7"/>
  <c r="G25" i="7"/>
  <c r="F25" i="7"/>
  <c r="E25" i="7"/>
  <c r="D25" i="7"/>
  <c r="C25" i="7"/>
  <c r="B25" i="7"/>
  <c r="S25" i="7"/>
  <c r="R25" i="7"/>
  <c r="Q25" i="7"/>
  <c r="P25" i="7"/>
  <c r="O25" i="7"/>
  <c r="N25" i="7"/>
  <c r="M25" i="7"/>
  <c r="L24" i="7"/>
  <c r="K24" i="7"/>
  <c r="J24" i="7"/>
  <c r="I24" i="7"/>
  <c r="H24" i="7"/>
  <c r="G24" i="7"/>
  <c r="F24" i="7"/>
  <c r="E24" i="7"/>
  <c r="D24" i="7"/>
  <c r="C24" i="7"/>
  <c r="B24" i="7"/>
  <c r="M24" i="7"/>
  <c r="N24" i="7"/>
  <c r="O24" i="7"/>
  <c r="S24" i="7"/>
  <c r="P24" i="7"/>
  <c r="R24" i="7"/>
  <c r="Q24" i="7"/>
  <c r="S23" i="7"/>
  <c r="B23" i="7"/>
  <c r="C23" i="7"/>
  <c r="E23" i="7"/>
  <c r="F23" i="7"/>
  <c r="G23" i="7"/>
  <c r="H23" i="7"/>
  <c r="M23" i="7"/>
  <c r="I23" i="7"/>
  <c r="D23" i="7"/>
  <c r="R23" i="7"/>
  <c r="Q23" i="7"/>
  <c r="P23" i="7"/>
  <c r="O23" i="7"/>
  <c r="N23" i="7"/>
  <c r="L23" i="7"/>
  <c r="K23" i="7"/>
  <c r="J23" i="7"/>
  <c r="B22" i="7"/>
  <c r="C22" i="7"/>
  <c r="D22" i="7"/>
  <c r="E22" i="7"/>
  <c r="F22" i="7"/>
  <c r="G22" i="7"/>
  <c r="H22" i="7"/>
  <c r="R22" i="7"/>
  <c r="P22" i="7"/>
  <c r="Q22" i="7"/>
  <c r="O22" i="7"/>
  <c r="L22" i="7"/>
  <c r="N22" i="7"/>
  <c r="M22" i="7"/>
  <c r="K22" i="7"/>
  <c r="J22" i="7"/>
  <c r="I22" i="7"/>
  <c r="S22" i="7"/>
  <c r="M21" i="7"/>
  <c r="H21" i="7"/>
  <c r="G21" i="7"/>
  <c r="F21" i="7"/>
  <c r="E21" i="7"/>
  <c r="D21" i="7"/>
  <c r="B21" i="7"/>
  <c r="C21" i="7"/>
  <c r="S21" i="7"/>
  <c r="R21" i="7"/>
  <c r="Q21" i="7"/>
  <c r="P21" i="7"/>
  <c r="O21" i="7"/>
  <c r="N21" i="7"/>
  <c r="L21" i="7"/>
  <c r="K21" i="7"/>
  <c r="J21" i="7"/>
  <c r="I21" i="7"/>
  <c r="C20" i="7"/>
  <c r="Q20" i="7"/>
  <c r="P20" i="7"/>
  <c r="O20" i="7"/>
  <c r="N20" i="7"/>
  <c r="F20" i="7"/>
  <c r="M20" i="7"/>
  <c r="K20" i="7"/>
  <c r="S20" i="7"/>
  <c r="R20" i="7"/>
  <c r="J20" i="7"/>
  <c r="L20" i="7"/>
  <c r="H20" i="7"/>
  <c r="G20" i="7"/>
  <c r="E20" i="7"/>
  <c r="I20" i="7"/>
  <c r="D20" i="7"/>
  <c r="B20" i="7"/>
  <c r="E19" i="7"/>
  <c r="J19" i="7"/>
  <c r="H19" i="7"/>
  <c r="G19" i="7"/>
  <c r="F19" i="7"/>
  <c r="D19" i="7"/>
  <c r="C19" i="7"/>
  <c r="B19" i="7"/>
  <c r="S19" i="7"/>
  <c r="R19" i="7"/>
  <c r="Q19" i="7"/>
  <c r="P19" i="7"/>
  <c r="O19" i="7"/>
  <c r="N19" i="7"/>
  <c r="M19" i="7"/>
  <c r="I19" i="7"/>
  <c r="L19" i="7"/>
  <c r="K19" i="7"/>
  <c r="H18" i="7"/>
  <c r="K18" i="7"/>
  <c r="D18" i="7"/>
  <c r="B18" i="7"/>
  <c r="C18" i="7"/>
  <c r="E18" i="7"/>
  <c r="F18" i="7"/>
  <c r="G18" i="7"/>
  <c r="L18" i="7"/>
  <c r="M18" i="7"/>
  <c r="I18" i="7"/>
  <c r="J18" i="7"/>
  <c r="Q18" i="7"/>
  <c r="S18" i="7"/>
  <c r="O18" i="7"/>
  <c r="P18" i="7"/>
  <c r="R18" i="7"/>
  <c r="N18" i="7"/>
  <c r="B17" i="7"/>
  <c r="C17" i="7"/>
  <c r="D17" i="7"/>
  <c r="E17" i="7"/>
  <c r="F17" i="7"/>
  <c r="G17" i="7"/>
  <c r="H17" i="7"/>
  <c r="I17" i="7"/>
  <c r="J17" i="7"/>
  <c r="S17" i="7"/>
  <c r="R17" i="7"/>
  <c r="K17" i="7"/>
  <c r="L17" i="7"/>
  <c r="M17" i="7"/>
  <c r="N17" i="7"/>
  <c r="O17" i="7"/>
  <c r="P17" i="7"/>
  <c r="Q17" i="7"/>
  <c r="B16" i="7"/>
  <c r="P16" i="7"/>
  <c r="O16" i="7"/>
  <c r="N16" i="7"/>
  <c r="M16" i="7"/>
  <c r="L16" i="7"/>
  <c r="C16" i="7"/>
  <c r="Q16" i="7"/>
  <c r="D16" i="7"/>
  <c r="K16" i="7"/>
  <c r="J16" i="7"/>
  <c r="I16" i="7"/>
  <c r="E16" i="7"/>
  <c r="S16" i="7"/>
  <c r="F16" i="7"/>
  <c r="R16" i="7"/>
  <c r="G16" i="7"/>
  <c r="H16" i="7"/>
  <c r="J15" i="7"/>
  <c r="H15" i="7"/>
  <c r="E15" i="7"/>
  <c r="D15" i="7"/>
  <c r="C15" i="7"/>
  <c r="B15" i="7"/>
  <c r="O15" i="7"/>
  <c r="S15" i="7"/>
  <c r="R15" i="7"/>
  <c r="Q15" i="7"/>
  <c r="P15" i="7"/>
  <c r="N15" i="7"/>
  <c r="O14" i="7"/>
  <c r="J14" i="7"/>
  <c r="E14" i="7"/>
  <c r="N14" i="7"/>
  <c r="B14" i="7"/>
  <c r="C14" i="7"/>
  <c r="D14" i="7"/>
  <c r="P13" i="7"/>
  <c r="O13" i="7"/>
  <c r="N13" i="7"/>
  <c r="J13" i="7"/>
  <c r="E13" i="7"/>
  <c r="D13" i="7"/>
  <c r="C13" i="7"/>
  <c r="B13" i="7"/>
  <c r="P12" i="7"/>
  <c r="O12" i="7"/>
  <c r="N12" i="7"/>
  <c r="J12" i="7"/>
  <c r="B12" i="7"/>
  <c r="C12" i="7"/>
  <c r="D12" i="7"/>
  <c r="E12" i="7"/>
  <c r="J11" i="7"/>
  <c r="E11" i="7"/>
  <c r="D11" i="7"/>
  <c r="C11" i="7"/>
  <c r="B11" i="7"/>
  <c r="P11" i="7"/>
  <c r="O11" i="7"/>
  <c r="N11" i="7"/>
  <c r="P10" i="7"/>
  <c r="O10" i="7"/>
  <c r="N10" i="7"/>
  <c r="J10" i="7"/>
  <c r="E10" i="7"/>
  <c r="H10" i="7"/>
  <c r="C10" i="7"/>
  <c r="D10" i="7"/>
  <c r="B10" i="7"/>
  <c r="S10" i="7"/>
  <c r="R10" i="7"/>
  <c r="P9" i="7"/>
  <c r="O9" i="7"/>
  <c r="N9" i="7"/>
  <c r="J9" i="7"/>
  <c r="G9" i="7"/>
  <c r="E9" i="7"/>
  <c r="D9" i="7"/>
  <c r="C9" i="7"/>
  <c r="B9" i="7"/>
  <c r="P8" i="7"/>
  <c r="O8" i="7"/>
  <c r="N8" i="7"/>
  <c r="J8" i="7"/>
  <c r="H8" i="7"/>
  <c r="E8" i="7"/>
  <c r="D8" i="7"/>
  <c r="C8" i="7"/>
  <c r="Q8" i="7" s="1"/>
  <c r="B8" i="7"/>
  <c r="N7" i="7"/>
  <c r="P7" i="7"/>
  <c r="B7" i="7"/>
  <c r="C7" i="7"/>
  <c r="D7" i="7"/>
  <c r="E7" i="7"/>
  <c r="O7" i="7"/>
  <c r="J7" i="7"/>
  <c r="C6" i="7"/>
  <c r="B6" i="7"/>
  <c r="E6" i="7"/>
  <c r="O6" i="7"/>
  <c r="N6" i="7"/>
  <c r="J6" i="7"/>
  <c r="D6" i="7"/>
  <c r="O105" i="5"/>
  <c r="P105" i="5" s="1"/>
  <c r="N105" i="5"/>
  <c r="N104" i="5"/>
  <c r="O104" i="5"/>
  <c r="P104" i="5" s="1"/>
  <c r="O103" i="5"/>
  <c r="P103" i="5" s="1"/>
  <c r="N103" i="5"/>
  <c r="O102" i="5"/>
  <c r="P102" i="5" s="1"/>
  <c r="N102" i="5"/>
  <c r="N101" i="5"/>
  <c r="O101" i="5"/>
  <c r="P101" i="5" s="1"/>
  <c r="O100" i="5"/>
  <c r="P100" i="5" s="1"/>
  <c r="N100" i="5"/>
  <c r="O99" i="5"/>
  <c r="P99" i="5" s="1"/>
  <c r="N99" i="5"/>
  <c r="O98" i="5"/>
  <c r="P98" i="5" s="1"/>
  <c r="N98" i="5"/>
  <c r="N97" i="5"/>
  <c r="O97" i="5"/>
  <c r="P97" i="5" s="1"/>
  <c r="O96" i="5"/>
  <c r="P96" i="5" s="1"/>
  <c r="N96" i="5"/>
  <c r="N95" i="5"/>
  <c r="O95" i="5"/>
  <c r="P95" i="5" s="1"/>
  <c r="N94" i="5"/>
  <c r="O94" i="5"/>
  <c r="P94" i="5" s="1"/>
  <c r="N93" i="5"/>
  <c r="O93" i="5"/>
  <c r="P93" i="5" s="1"/>
  <c r="N92" i="5"/>
  <c r="O92" i="5"/>
  <c r="P92" i="5" s="1"/>
  <c r="N91" i="5"/>
  <c r="O91" i="5"/>
  <c r="P91" i="5" s="1"/>
  <c r="N90" i="5"/>
  <c r="O90" i="5"/>
  <c r="P90" i="5" s="1"/>
  <c r="N89" i="5"/>
  <c r="O89" i="5"/>
  <c r="P89" i="5" s="1"/>
  <c r="O88" i="5"/>
  <c r="P88" i="5" s="1"/>
  <c r="N88" i="5"/>
  <c r="N87" i="5"/>
  <c r="O87" i="5"/>
  <c r="P87" i="5" s="1"/>
  <c r="N86" i="5"/>
  <c r="O86" i="5"/>
  <c r="P86" i="5" s="1"/>
  <c r="O85" i="5"/>
  <c r="P85" i="5" s="1"/>
  <c r="N85" i="5"/>
  <c r="N84" i="5"/>
  <c r="O84" i="5"/>
  <c r="P84" i="5" s="1"/>
  <c r="O83" i="5"/>
  <c r="P83" i="5" s="1"/>
  <c r="N83" i="5"/>
  <c r="O82" i="5"/>
  <c r="P82" i="5" s="1"/>
  <c r="N82" i="5"/>
  <c r="N81" i="5"/>
  <c r="O81" i="5"/>
  <c r="P81" i="5" s="1"/>
  <c r="O80" i="5"/>
  <c r="P80" i="5" s="1"/>
  <c r="N80" i="5"/>
  <c r="N79" i="5"/>
  <c r="O79" i="5"/>
  <c r="P79" i="5" s="1"/>
  <c r="N78" i="5"/>
  <c r="O78" i="5"/>
  <c r="P78" i="5" s="1"/>
  <c r="N77" i="5"/>
  <c r="O77" i="5"/>
  <c r="P77" i="5" s="1"/>
  <c r="N76" i="5"/>
  <c r="O76" i="5"/>
  <c r="P76" i="5" s="1"/>
  <c r="N75" i="5"/>
  <c r="O75" i="5"/>
  <c r="P75" i="5" s="1"/>
  <c r="N74" i="5"/>
  <c r="O74" i="5"/>
  <c r="P74" i="5" s="1"/>
  <c r="N73" i="5"/>
  <c r="O73" i="5"/>
  <c r="P73" i="5" s="1"/>
  <c r="N72" i="5"/>
  <c r="O72" i="5"/>
  <c r="P72" i="5" s="1"/>
  <c r="O71" i="5"/>
  <c r="P71" i="5" s="1"/>
  <c r="N71" i="5"/>
  <c r="N70" i="5"/>
  <c r="O70" i="5"/>
  <c r="P70" i="5" s="1"/>
  <c r="O69" i="5"/>
  <c r="P69" i="5" s="1"/>
  <c r="N69" i="5"/>
  <c r="N68" i="5"/>
  <c r="O68" i="5"/>
  <c r="P68" i="5" s="1"/>
  <c r="N67" i="5"/>
  <c r="O67" i="5"/>
  <c r="P67" i="5" s="1"/>
  <c r="N66" i="5"/>
  <c r="O66" i="5"/>
  <c r="P66" i="5" s="1"/>
  <c r="N65" i="5"/>
  <c r="O65" i="5"/>
  <c r="P65" i="5" s="1"/>
  <c r="O64" i="5"/>
  <c r="P64" i="5" s="1"/>
  <c r="N64" i="5"/>
  <c r="N63" i="5"/>
  <c r="O63" i="5"/>
  <c r="P63" i="5" s="1"/>
  <c r="N62" i="5"/>
  <c r="O62" i="5"/>
  <c r="P62" i="5" s="1"/>
  <c r="N61" i="5"/>
  <c r="O61" i="5"/>
  <c r="P61" i="5" s="1"/>
  <c r="O60" i="5"/>
  <c r="P60" i="5" s="1"/>
  <c r="N60" i="5"/>
  <c r="N59" i="5"/>
  <c r="O59" i="5"/>
  <c r="P59" i="5" s="1"/>
  <c r="O58" i="5"/>
  <c r="P58" i="5" s="1"/>
  <c r="N58" i="5"/>
  <c r="N57" i="5"/>
  <c r="O57" i="5"/>
  <c r="P57" i="5" s="1"/>
  <c r="O56" i="5"/>
  <c r="P56" i="5" s="1"/>
  <c r="N56" i="5"/>
  <c r="O55" i="5"/>
  <c r="P55" i="5" s="1"/>
  <c r="N55" i="5"/>
  <c r="N54" i="5"/>
  <c r="O54" i="5"/>
  <c r="P54" i="5" s="1"/>
  <c r="N53" i="5"/>
  <c r="O53" i="5"/>
  <c r="P53" i="5" s="1"/>
  <c r="N52" i="5"/>
  <c r="O52" i="5"/>
  <c r="P52" i="5" s="1"/>
  <c r="O50" i="5"/>
  <c r="P50" i="5" s="1"/>
  <c r="N50" i="5"/>
  <c r="O49" i="5"/>
  <c r="P49" i="5" s="1"/>
  <c r="N49" i="5"/>
  <c r="N48" i="5"/>
  <c r="O48" i="5"/>
  <c r="P48" i="5" s="1"/>
  <c r="O47" i="5"/>
  <c r="P47" i="5" s="1"/>
  <c r="N47" i="5"/>
  <c r="N46" i="5"/>
  <c r="O46" i="5"/>
  <c r="P46" i="5" s="1"/>
  <c r="O45" i="5"/>
  <c r="P45" i="5" s="1"/>
  <c r="N45" i="5"/>
  <c r="O44" i="5"/>
  <c r="P44" i="5" s="1"/>
  <c r="N44" i="5"/>
  <c r="O43" i="5"/>
  <c r="P43" i="5" s="1"/>
  <c r="N43" i="5"/>
  <c r="O42" i="5"/>
  <c r="P42" i="5" s="1"/>
  <c r="N42" i="5"/>
  <c r="O41" i="5"/>
  <c r="P41" i="5" s="1"/>
  <c r="N41" i="5"/>
  <c r="O40" i="5"/>
  <c r="P40" i="5" s="1"/>
  <c r="N40" i="5"/>
  <c r="N39" i="5"/>
  <c r="O39" i="5"/>
  <c r="P39" i="5" s="1"/>
  <c r="O38" i="5"/>
  <c r="P38" i="5" s="1"/>
  <c r="N38" i="5"/>
  <c r="O37" i="5"/>
  <c r="P37" i="5" s="1"/>
  <c r="N37" i="5"/>
  <c r="N36" i="5"/>
  <c r="O36" i="5"/>
  <c r="P36" i="5" s="1"/>
  <c r="O35" i="5"/>
  <c r="P35" i="5" s="1"/>
  <c r="N35" i="5"/>
  <c r="N34" i="5"/>
  <c r="O34" i="5"/>
  <c r="P34" i="5" s="1"/>
  <c r="O33" i="5"/>
  <c r="P33" i="5" s="1"/>
  <c r="N33" i="5"/>
  <c r="O32" i="5"/>
  <c r="P32" i="5" s="1"/>
  <c r="N32" i="5"/>
  <c r="O31" i="5"/>
  <c r="P31" i="5" s="1"/>
  <c r="N31" i="5"/>
  <c r="O30" i="5"/>
  <c r="P30" i="5" s="1"/>
  <c r="N30" i="5"/>
  <c r="O29" i="5"/>
  <c r="P29" i="5" s="1"/>
  <c r="N29" i="5"/>
  <c r="O28" i="5"/>
  <c r="P28" i="5" s="1"/>
  <c r="N28" i="5"/>
  <c r="O27" i="5"/>
  <c r="P27" i="5" s="1"/>
  <c r="N27" i="5"/>
  <c r="N26" i="5"/>
  <c r="O26" i="5"/>
  <c r="P26" i="5" s="1"/>
  <c r="N25" i="5"/>
  <c r="O25" i="5"/>
  <c r="P25" i="5" s="1"/>
  <c r="O24" i="5"/>
  <c r="P24" i="5" s="1"/>
  <c r="N24" i="5"/>
  <c r="O23" i="5"/>
  <c r="P23" i="5" s="1"/>
  <c r="N23" i="5"/>
  <c r="O22" i="5"/>
  <c r="P22" i="5" s="1"/>
  <c r="N22" i="5"/>
  <c r="O21" i="5"/>
  <c r="P21" i="5" s="1"/>
  <c r="N21" i="5"/>
  <c r="O20" i="5"/>
  <c r="P20" i="5" s="1"/>
  <c r="N20" i="5"/>
  <c r="N19" i="5"/>
  <c r="O19" i="5"/>
  <c r="P19" i="5" s="1"/>
  <c r="O18" i="5"/>
  <c r="P18" i="5" s="1"/>
  <c r="N18" i="5"/>
  <c r="O17" i="5"/>
  <c r="P17" i="5" s="1"/>
  <c r="N17" i="5"/>
  <c r="N16" i="5"/>
  <c r="O16" i="5"/>
  <c r="P16" i="5" s="1"/>
  <c r="O15" i="5"/>
  <c r="N15" i="5"/>
  <c r="K15" i="7" s="1"/>
  <c r="R14" i="5"/>
  <c r="P14" i="7" s="1"/>
  <c r="O10" i="5"/>
  <c r="N10" i="5"/>
  <c r="K10" i="7" s="1"/>
  <c r="O8" i="5"/>
  <c r="N8" i="5"/>
  <c r="K8" i="7" s="1"/>
  <c r="R6" i="5"/>
  <c r="P6" i="7" s="1"/>
  <c r="M32" i="5"/>
  <c r="M27" i="5"/>
  <c r="M18" i="5"/>
  <c r="M55" i="5"/>
  <c r="M15" i="5"/>
  <c r="I15" i="7" s="1"/>
  <c r="K12" i="5"/>
  <c r="H12" i="7" s="1"/>
  <c r="M34" i="5"/>
  <c r="M14" i="5"/>
  <c r="I14" i="7" s="1"/>
  <c r="M76" i="5"/>
  <c r="M30" i="5"/>
  <c r="M25" i="5"/>
  <c r="M52" i="5"/>
  <c r="M13" i="5"/>
  <c r="I13" i="7" s="1"/>
  <c r="M31" i="5"/>
  <c r="M38" i="5"/>
  <c r="M21" i="5"/>
  <c r="K9" i="5"/>
  <c r="H9" i="7" s="1"/>
  <c r="M35" i="5"/>
  <c r="M11" i="5"/>
  <c r="I11" i="7" s="1"/>
  <c r="M9" i="5"/>
  <c r="I9" i="7" s="1"/>
  <c r="M7" i="5"/>
  <c r="I7" i="7" s="1"/>
  <c r="M19" i="5"/>
  <c r="M63" i="5"/>
  <c r="M29" i="5"/>
  <c r="M26" i="5"/>
  <c r="M51" i="5"/>
  <c r="M53" i="5"/>
  <c r="M16" i="5"/>
  <c r="M39" i="5"/>
  <c r="M23" i="5"/>
  <c r="M20" i="5"/>
  <c r="M36" i="5"/>
  <c r="M17" i="5"/>
  <c r="M33" i="5"/>
  <c r="K11" i="5"/>
  <c r="H11" i="7" s="1"/>
  <c r="M37" i="5"/>
  <c r="M24" i="5"/>
  <c r="M10" i="5"/>
  <c r="I10" i="7" s="1"/>
  <c r="M28" i="5"/>
  <c r="M22" i="5"/>
  <c r="M8" i="5"/>
  <c r="I8" i="7" s="1"/>
  <c r="M77" i="5"/>
  <c r="M91" i="5"/>
  <c r="M66" i="5"/>
  <c r="M90" i="5"/>
  <c r="M93" i="5"/>
  <c r="M89" i="5"/>
  <c r="M64" i="5"/>
  <c r="M60" i="5"/>
  <c r="M58" i="5"/>
  <c r="M57" i="5"/>
  <c r="M56" i="5"/>
  <c r="M69" i="5"/>
  <c r="M72" i="5"/>
  <c r="M74" i="5"/>
  <c r="M78" i="5"/>
  <c r="M62" i="5"/>
  <c r="M88" i="5"/>
  <c r="M81" i="5"/>
  <c r="M87" i="5"/>
  <c r="M101" i="5"/>
  <c r="M70" i="5"/>
  <c r="M97" i="5"/>
  <c r="M100" i="5"/>
  <c r="M82" i="5"/>
  <c r="M85" i="5"/>
  <c r="M75" i="5"/>
  <c r="M73" i="5"/>
  <c r="M84" i="5"/>
  <c r="M67" i="5"/>
  <c r="M65" i="5"/>
  <c r="M83" i="5"/>
  <c r="M49" i="5"/>
  <c r="M99" i="5"/>
  <c r="M54" i="5"/>
  <c r="M61" i="5"/>
  <c r="M48" i="5"/>
  <c r="M59" i="5"/>
  <c r="M47" i="5"/>
  <c r="M46" i="5"/>
  <c r="M45" i="5"/>
  <c r="M44" i="5"/>
  <c r="M92" i="5"/>
  <c r="M43" i="5"/>
  <c r="M94" i="5"/>
  <c r="M71" i="5"/>
  <c r="M68" i="5"/>
  <c r="M98" i="5"/>
  <c r="M42" i="5"/>
  <c r="M96" i="5"/>
  <c r="M95" i="5"/>
  <c r="M41" i="5"/>
  <c r="M80" i="5"/>
  <c r="M79" i="5"/>
  <c r="M40" i="5"/>
  <c r="M86" i="5"/>
  <c r="M105" i="5"/>
  <c r="M50" i="5"/>
  <c r="M102" i="5"/>
  <c r="M103" i="5"/>
  <c r="M104" i="5"/>
  <c r="U15" i="3"/>
  <c r="Q15" i="3"/>
  <c r="R15" i="3" s="1"/>
  <c r="G15" i="7" s="1"/>
  <c r="S15" i="3"/>
  <c r="F15" i="7" s="1"/>
  <c r="Q14" i="3"/>
  <c r="R14" i="3" s="1"/>
  <c r="S14" i="3"/>
  <c r="F14" i="7" s="1"/>
  <c r="U14" i="3"/>
  <c r="Q13" i="3"/>
  <c r="R13" i="3" s="1"/>
  <c r="S13" i="3"/>
  <c r="F13" i="7" s="1"/>
  <c r="U13" i="3"/>
  <c r="U12" i="3"/>
  <c r="S12" i="3"/>
  <c r="F12" i="7" s="1"/>
  <c r="Q12" i="3"/>
  <c r="R12" i="3" s="1"/>
  <c r="G12" i="7" s="1"/>
  <c r="S11" i="3"/>
  <c r="F11" i="7" s="1"/>
  <c r="U11" i="3"/>
  <c r="Q11" i="3"/>
  <c r="R11" i="3" s="1"/>
  <c r="G11" i="7" s="1"/>
  <c r="U10" i="3"/>
  <c r="S10" i="3"/>
  <c r="F10" i="7" s="1"/>
  <c r="Q10" i="3"/>
  <c r="R10" i="3" s="1"/>
  <c r="G10" i="7" s="1"/>
  <c r="S9" i="3"/>
  <c r="F9" i="7" s="1"/>
  <c r="U9" i="3"/>
  <c r="S8" i="3"/>
  <c r="F8" i="7" s="1"/>
  <c r="U8" i="3"/>
  <c r="Q8" i="3"/>
  <c r="R8" i="3" s="1"/>
  <c r="G8" i="7" s="1"/>
  <c r="Q7" i="3"/>
  <c r="R7" i="3" s="1"/>
  <c r="U7" i="3"/>
  <c r="S7" i="3"/>
  <c r="F7" i="7" s="1"/>
  <c r="Q6" i="3"/>
  <c r="R6" i="3" s="1"/>
  <c r="S6" i="3"/>
  <c r="F6" i="7" s="1"/>
  <c r="U6" i="3"/>
  <c r="E7" i="9" l="1"/>
  <c r="D7" i="9"/>
  <c r="Q10" i="7"/>
  <c r="D6" i="8"/>
  <c r="D6" i="9"/>
  <c r="D7" i="8"/>
  <c r="N12" i="5"/>
  <c r="K12" i="7" s="1"/>
  <c r="O12" i="5"/>
  <c r="N9" i="5"/>
  <c r="K9" i="7" s="1"/>
  <c r="O9" i="5"/>
  <c r="N11" i="5"/>
  <c r="K11" i="7" s="1"/>
  <c r="O11" i="5"/>
  <c r="R8" i="7"/>
  <c r="S8" i="7"/>
  <c r="P15" i="5"/>
  <c r="M15" i="7" s="1"/>
  <c r="L15" i="7"/>
  <c r="P10" i="5"/>
  <c r="M10" i="7" s="1"/>
  <c r="L10" i="7"/>
  <c r="P8" i="5"/>
  <c r="M8" i="7" s="1"/>
  <c r="L8" i="7"/>
  <c r="R12" i="7"/>
  <c r="S12" i="7"/>
  <c r="R9" i="7"/>
  <c r="S9" i="7"/>
  <c r="R11" i="7"/>
  <c r="S11" i="7"/>
  <c r="Q11" i="7"/>
  <c r="G14" i="7"/>
  <c r="K14" i="5"/>
  <c r="G13" i="7"/>
  <c r="K13" i="5"/>
  <c r="K7" i="5"/>
  <c r="G7" i="7"/>
  <c r="K6" i="5"/>
  <c r="G6" i="7"/>
  <c r="Q12" i="7"/>
  <c r="Q9" i="7"/>
  <c r="D8" i="8" l="1"/>
  <c r="D9" i="8" s="1"/>
  <c r="D10" i="8" s="1"/>
  <c r="D11" i="8" s="1"/>
  <c r="D12" i="8" s="1"/>
  <c r="I6" i="9"/>
  <c r="F6" i="9"/>
  <c r="D13" i="8"/>
  <c r="L12" i="7"/>
  <c r="P12" i="5"/>
  <c r="M12" i="7" s="1"/>
  <c r="L9" i="7"/>
  <c r="P9" i="5"/>
  <c r="M9" i="7" s="1"/>
  <c r="L11" i="7"/>
  <c r="P11" i="5"/>
  <c r="M11" i="7" s="1"/>
  <c r="N14" i="5"/>
  <c r="H14" i="7"/>
  <c r="N13" i="5"/>
  <c r="H13" i="7"/>
  <c r="N7" i="5"/>
  <c r="H7" i="7"/>
  <c r="N6" i="5"/>
  <c r="H6" i="7"/>
  <c r="D14" i="8" l="1"/>
  <c r="K14" i="7"/>
  <c r="O14" i="5"/>
  <c r="K13" i="7"/>
  <c r="O13" i="5"/>
  <c r="K7" i="7"/>
  <c r="O7" i="5"/>
  <c r="K6" i="7"/>
  <c r="O6" i="5"/>
  <c r="P14" i="5" l="1"/>
  <c r="L14" i="7"/>
  <c r="P13" i="5"/>
  <c r="M13" i="7" s="1"/>
  <c r="L13" i="7"/>
  <c r="P7" i="5"/>
  <c r="M7" i="7" s="1"/>
  <c r="L7" i="7"/>
  <c r="P6" i="5"/>
  <c r="L6" i="7"/>
  <c r="D15" i="8"/>
  <c r="D16" i="8" l="1"/>
  <c r="D17" i="8" s="1"/>
  <c r="D18" i="8" s="1"/>
  <c r="D19" i="8" s="1"/>
  <c r="I7" i="9"/>
  <c r="M14" i="7"/>
  <c r="S14" i="5"/>
  <c r="S13" i="7"/>
  <c r="R13" i="7"/>
  <c r="Q13" i="7"/>
  <c r="S7" i="7"/>
  <c r="R7" i="7"/>
  <c r="Q7" i="7"/>
  <c r="S6" i="5"/>
  <c r="M6" i="7"/>
  <c r="D20" i="8"/>
  <c r="F7" i="9"/>
  <c r="S14" i="7" l="1"/>
  <c r="R14" i="7"/>
  <c r="Q14" i="7"/>
  <c r="H4" i="8"/>
  <c r="N6" i="9" s="1"/>
  <c r="H3" i="8"/>
  <c r="R6" i="7"/>
  <c r="S6" i="7"/>
  <c r="Q6" i="7"/>
  <c r="D21" i="8"/>
  <c r="N3" i="9" l="1"/>
  <c r="E10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G18" i="9" s="1"/>
  <c r="E91" i="8"/>
  <c r="E92" i="8"/>
  <c r="E93" i="8"/>
  <c r="E94" i="8"/>
  <c r="E95" i="8"/>
  <c r="E96" i="8"/>
  <c r="D22" i="8"/>
  <c r="D23" i="8" s="1"/>
  <c r="D24" i="8" s="1"/>
  <c r="D25" i="8" s="1"/>
  <c r="D26" i="8" s="1"/>
  <c r="I8" i="9"/>
  <c r="G11" i="9" l="1"/>
  <c r="F6" i="8"/>
  <c r="G6" i="9"/>
  <c r="D27" i="8"/>
  <c r="F8" i="9"/>
  <c r="G8" i="9"/>
  <c r="G9" i="9"/>
  <c r="G12" i="9"/>
  <c r="G17" i="9"/>
  <c r="G13" i="9"/>
  <c r="G14" i="9"/>
  <c r="G15" i="9"/>
  <c r="G16" i="9"/>
  <c r="G7" i="9"/>
  <c r="G10" i="9"/>
  <c r="F7" i="8" l="1"/>
  <c r="D28" i="8"/>
  <c r="D29" i="8" s="1"/>
  <c r="D30" i="8" s="1"/>
  <c r="D31" i="8" s="1"/>
  <c r="D32" i="8" s="1"/>
  <c r="D33" i="8" s="1"/>
  <c r="I9" i="9"/>
  <c r="F8" i="8" l="1"/>
  <c r="F9" i="8" s="1"/>
  <c r="F10" i="8" s="1"/>
  <c r="F11" i="8" s="1"/>
  <c r="F12" i="8" s="1"/>
  <c r="J6" i="9"/>
  <c r="L6" i="9" s="1"/>
  <c r="H6" i="9"/>
  <c r="F13" i="8"/>
  <c r="F9" i="9"/>
  <c r="D34" i="8"/>
  <c r="F14" i="8" l="1"/>
  <c r="D35" i="8"/>
  <c r="D36" i="8" s="1"/>
  <c r="D37" i="8" s="1"/>
  <c r="D38" i="8" s="1"/>
  <c r="D39" i="8" s="1"/>
  <c r="F15" i="8" l="1"/>
  <c r="D40" i="8"/>
  <c r="I10" i="9"/>
  <c r="F16" i="8" l="1"/>
  <c r="F17" i="8" s="1"/>
  <c r="F18" i="8" s="1"/>
  <c r="F19" i="8" s="1"/>
  <c r="J7" i="9"/>
  <c r="L7" i="9" s="1"/>
  <c r="F20" i="8"/>
  <c r="H7" i="9"/>
  <c r="D41" i="8"/>
  <c r="F10" i="9"/>
  <c r="F21" i="8" l="1"/>
  <c r="D42" i="8"/>
  <c r="F22" i="8" l="1"/>
  <c r="F23" i="8" s="1"/>
  <c r="F24" i="8" s="1"/>
  <c r="F25" i="8" s="1"/>
  <c r="F26" i="8" s="1"/>
  <c r="J8" i="9"/>
  <c r="L8" i="9" s="1"/>
  <c r="H8" i="9"/>
  <c r="F27" i="8"/>
  <c r="D43" i="8"/>
  <c r="D44" i="8" l="1"/>
  <c r="D45" i="8" s="1"/>
  <c r="D46" i="8" s="1"/>
  <c r="D47" i="8" s="1"/>
  <c r="I11" i="9"/>
  <c r="F28" i="8"/>
  <c r="D48" i="8"/>
  <c r="F11" i="9"/>
  <c r="D49" i="8" l="1"/>
  <c r="D50" i="8" s="1"/>
  <c r="D51" i="8" s="1"/>
  <c r="D52" i="8" s="1"/>
  <c r="D53" i="8" s="1"/>
  <c r="D54" i="8" s="1"/>
  <c r="I12" i="9"/>
  <c r="F29" i="8"/>
  <c r="F30" i="8" l="1"/>
  <c r="F31" i="8" s="1"/>
  <c r="F32" i="8" s="1"/>
  <c r="F33" i="8" s="1"/>
  <c r="J9" i="9"/>
  <c r="L9" i="9" s="1"/>
  <c r="F12" i="9"/>
  <c r="D55" i="8"/>
  <c r="F34" i="8"/>
  <c r="H9" i="9"/>
  <c r="D56" i="8" l="1"/>
  <c r="F35" i="8"/>
  <c r="D57" i="8" l="1"/>
  <c r="D58" i="8" s="1"/>
  <c r="D59" i="8" s="1"/>
  <c r="D60" i="8" s="1"/>
  <c r="D61" i="8" s="1"/>
  <c r="I13" i="9"/>
  <c r="F36" i="8"/>
  <c r="F37" i="8" l="1"/>
  <c r="F38" i="8" s="1"/>
  <c r="F39" i="8" s="1"/>
  <c r="F40" i="8" s="1"/>
  <c r="J10" i="9"/>
  <c r="L10" i="9" s="1"/>
  <c r="D62" i="8"/>
  <c r="F13" i="9"/>
  <c r="F41" i="8"/>
  <c r="H10" i="9"/>
  <c r="D63" i="8" l="1"/>
  <c r="F42" i="8"/>
  <c r="D64" i="8" l="1"/>
  <c r="D65" i="8" s="1"/>
  <c r="D66" i="8" s="1"/>
  <c r="D67" i="8" s="1"/>
  <c r="D68" i="8" s="1"/>
  <c r="I14" i="9"/>
  <c r="F43" i="8"/>
  <c r="F44" i="8" l="1"/>
  <c r="F45" i="8" s="1"/>
  <c r="F46" i="8" s="1"/>
  <c r="F47" i="8" s="1"/>
  <c r="J11" i="9"/>
  <c r="L11" i="9" s="1"/>
  <c r="D69" i="8"/>
  <c r="F14" i="9"/>
  <c r="F48" i="8"/>
  <c r="H11" i="9"/>
  <c r="D70" i="8" l="1"/>
  <c r="D71" i="8" s="1"/>
  <c r="D72" i="8" s="1"/>
  <c r="D73" i="8" s="1"/>
  <c r="D74" i="8" s="1"/>
  <c r="F49" i="8"/>
  <c r="D75" i="8" l="1"/>
  <c r="I15" i="9"/>
  <c r="F50" i="8"/>
  <c r="F51" i="8" l="1"/>
  <c r="F52" i="8" s="1"/>
  <c r="F53" i="8" s="1"/>
  <c r="F54" i="8" s="1"/>
  <c r="J12" i="9"/>
  <c r="L12" i="9" s="1"/>
  <c r="D76" i="8"/>
  <c r="F15" i="9"/>
  <c r="F55" i="8"/>
  <c r="H12" i="9"/>
  <c r="D77" i="8" l="1"/>
  <c r="F56" i="8"/>
  <c r="D78" i="8" l="1"/>
  <c r="D79" i="8" s="1"/>
  <c r="D80" i="8" s="1"/>
  <c r="D81" i="8" s="1"/>
  <c r="F57" i="8"/>
  <c r="D82" i="8" l="1"/>
  <c r="I16" i="9"/>
  <c r="F58" i="8"/>
  <c r="F59" i="8" s="1"/>
  <c r="F60" i="8" s="1"/>
  <c r="F61" i="8" s="1"/>
  <c r="J13" i="9"/>
  <c r="L13" i="9" s="1"/>
  <c r="D83" i="8"/>
  <c r="F16" i="9"/>
  <c r="F62" i="8"/>
  <c r="H13" i="9"/>
  <c r="D84" i="8" l="1"/>
  <c r="F63" i="8"/>
  <c r="F64" i="8" s="1"/>
  <c r="F65" i="8" s="1"/>
  <c r="F66" i="8" s="1"/>
  <c r="D85" i="8" l="1"/>
  <c r="D86" i="8" s="1"/>
  <c r="D87" i="8" s="1"/>
  <c r="D88" i="8" s="1"/>
  <c r="F67" i="8"/>
  <c r="D89" i="8" l="1"/>
  <c r="I17" i="9"/>
  <c r="F68" i="8"/>
  <c r="J14" i="9"/>
  <c r="L14" i="9" s="1"/>
  <c r="D90" i="8"/>
  <c r="F17" i="9"/>
  <c r="F69" i="8"/>
  <c r="H14" i="9"/>
  <c r="D91" i="8" l="1"/>
  <c r="D92" i="8" s="1"/>
  <c r="D93" i="8" s="1"/>
  <c r="D94" i="8" s="1"/>
  <c r="D95" i="8" s="1"/>
  <c r="D96" i="8" s="1"/>
  <c r="I18" i="9"/>
  <c r="F70" i="8"/>
  <c r="N4" i="9" l="1"/>
  <c r="N5" i="9" s="1"/>
  <c r="N7" i="9" s="1"/>
  <c r="F18" i="9"/>
  <c r="F71" i="8"/>
  <c r="F72" i="8" l="1"/>
  <c r="F73" i="8" s="1"/>
  <c r="F74" i="8" s="1"/>
  <c r="F75" i="8" s="1"/>
  <c r="J15" i="9"/>
  <c r="L15" i="9" s="1"/>
  <c r="F76" i="8"/>
  <c r="H15" i="9"/>
  <c r="F77" i="8" l="1"/>
  <c r="F78" i="8" l="1"/>
  <c r="F79" i="8" s="1"/>
  <c r="F80" i="8" s="1"/>
  <c r="F81" i="8" s="1"/>
  <c r="F82" i="8" s="1"/>
  <c r="J16" i="9"/>
  <c r="L16" i="9" s="1"/>
  <c r="F83" i="8" l="1"/>
  <c r="H16" i="9"/>
  <c r="F84" i="8" l="1"/>
  <c r="F85" i="8" l="1"/>
  <c r="F86" i="8" l="1"/>
  <c r="F87" i="8" s="1"/>
  <c r="F88" i="8" s="1"/>
  <c r="F89" i="8" s="1"/>
  <c r="J17" i="9"/>
  <c r="L17" i="9" s="1"/>
  <c r="F90" i="8"/>
  <c r="H17" i="9"/>
  <c r="F91" i="8" l="1"/>
  <c r="F92" i="8" l="1"/>
  <c r="F93" i="8" s="1"/>
  <c r="F94" i="8" s="1"/>
  <c r="F95" i="8" s="1"/>
  <c r="F96" i="8" s="1"/>
  <c r="J18" i="9"/>
  <c r="L18" i="9" s="1"/>
  <c r="H18" i="9" l="1"/>
  <c r="N8" i="9"/>
</calcChain>
</file>

<file path=xl/sharedStrings.xml><?xml version="1.0" encoding="utf-8"?>
<sst xmlns="http://schemas.openxmlformats.org/spreadsheetml/2006/main" count="824" uniqueCount="198">
  <si>
    <t>KIT DE DECISIONES · v0.3</t>
  </si>
  <si>
    <t>Uso semanal para inventario, precio y caja. Funciona sin Python, red ni suscripciones.</t>
  </si>
  <si>
    <t>EJEMPLO SINTÉTICO · Todos los productos, importes y referencias son ficticios y no han sido aprobados por un cliente real.</t>
  </si>
  <si>
    <t>1 · CONFIGURA</t>
  </si>
  <si>
    <t>Define fecha de corte, ventanas, objetivo de margen y límites de caja. Confirma SI solo después de revisar cada política y la cobertura completa.</t>
  </si>
  <si>
    <t>2 · CAPTURA</t>
  </si>
  <si>
    <t>CATALOGO: economía por SKU. VENTAS: un agregado por fecha y SKU. STOCK: conteo, tránsito y escenario elegido. CAJA: obligaciones existentes; no dupliques compras propuestas.</t>
  </si>
  <si>
    <t>3 · REVISA</t>
  </si>
  <si>
    <t>DECISIONES explica por SKU qué falta, la propuesta condicional y la acción. FLUJO_13_SEMANAS muestra el pago completo de cada compra elegida en su semana.</t>
  </si>
  <si>
    <t>4 · DECIDE EN REUNIÓN</t>
  </si>
  <si>
    <t>La hoja nunca ordena. Revisa evidencia, margen, cantidad, fecha de pago, presupuesto y piso protegido; documenta fuera del archivo quién aprueba.</t>
  </si>
  <si>
    <t>LÍMITES Y USO SEGURO</t>
  </si>
  <si>
    <t>Capacidad: 100 SKUs, 1,000 agregados fecha-SKU, 250 movimientos de caja y 13 semanas. Si tus datos exceden un límite, no omitas ni pegues fuera de la tabla: conserva el archivo fuente y solicita una ampliación o un proceso revisado. No captures nombres, correos, teléfonos, domicilios, credenciales ni datos de clientes. Los importes monetarios están en pesos MXN. La proyección muestra cierres semanales; el saldo dentro de la semana puede ser peor. Cada compra se paga completa en una fecha; concilia por separado los pagos divididos.</t>
  </si>
  <si>
    <t>Alcance: herramienta analítica para conversación y preparación de decisiones. No es ERP, CRM, contabilidad, conciliación bancaria ni orden de compra. No estima elasticidad, impuestos ni causalidad de ventas. Una propuesta depende de los datos y declaraciones visibles.</t>
  </si>
  <si>
    <t>CONFIGURACIÓN</t>
  </si>
  <si>
    <t>Azul = captura editable · Verde = vínculo entre hojas · Negro = cálculo. Blanco significa desconocido; cero es un valor explícito.</t>
  </si>
  <si>
    <t>Tipo de archivo</t>
  </si>
  <si>
    <t>EJEMPLO_SINTETICO</t>
  </si>
  <si>
    <t>Marcador técnico; no modificar.</t>
  </si>
  <si>
    <t>Fecha de corte</t>
  </si>
  <si>
    <t>Último día incluido. El flujo inicia al día siguiente.</t>
  </si>
  <si>
    <t>Días de observación</t>
  </si>
  <si>
    <t>Ventana completa de disponibilidad y ventas.</t>
  </si>
  <si>
    <t>Días de seguridad</t>
  </si>
  <si>
    <t>Política provisional; revisar antes de confirmar SI.</t>
  </si>
  <si>
    <t>Margen contribución objetivo</t>
  </si>
  <si>
    <t>Sobre precio, después de comisión y costos variables capturados.</t>
  </si>
  <si>
    <t>Caja inicial (MXN pesos)</t>
  </si>
  <si>
    <t>Saldo reconciliado a la fecha de corte.</t>
  </si>
  <si>
    <t>Piso protegido (MXN pesos)</t>
  </si>
  <si>
    <t>Mínimo de cierre semanal aceptado.</t>
  </si>
  <si>
    <t>Tope de compras (MXN pesos)</t>
  </si>
  <si>
    <t>Tope adicional antes de propuestas.</t>
  </si>
  <si>
    <t>Política revisada</t>
  </si>
  <si>
    <t>SI</t>
  </si>
  <si>
    <t>SI confirma que lead time, seguridad, MOQ y múltiplos fueron revisados.</t>
  </si>
  <si>
    <t>Plan de caja completo</t>
  </si>
  <si>
    <t>SI confirma cobertura de obligaciones conocidas para 91 días.</t>
  </si>
  <si>
    <t>Ventas completas</t>
  </si>
  <si>
    <t>SI confirma cobertura de ventas para toda la ventana.</t>
  </si>
  <si>
    <t>Confirmar SI es una declaración del operador, no una inferencia de la hoja. Si un dato monetario o de cobertura es desconocido, déjalo en blanco o conserva NO; nunca uses cero como sustituto.</t>
  </si>
  <si>
    <t>CATÁLOGO Y ECONOMÍA UNITARIA</t>
  </si>
  <si>
    <t>Azul = captura editable · Verde = vínculo entre hojas · Negro = cálculo. Blanco significa desconocido; cero es un valor explícito. El precio objetivo no incorpora impuestos ni elasticidad.</t>
  </si>
  <si>
    <t>SKU</t>
  </si>
  <si>
    <t>Producto</t>
  </si>
  <si>
    <t>Categoría</t>
  </si>
  <si>
    <t>Color</t>
  </si>
  <si>
    <t>Talla</t>
  </si>
  <si>
    <t>Estado</t>
  </si>
  <si>
    <t>Precio lista (MXN pesos)</t>
  </si>
  <si>
    <t>Costo compra/u (MXN pesos)</t>
  </si>
  <si>
    <t>Flete entrada/u (MXN pesos)</t>
  </si>
  <si>
    <t>Empaque/u (MXN pesos)</t>
  </si>
  <si>
    <t>Comisión</t>
  </si>
  <si>
    <t>Otro variable/u (MXN pesos)</t>
  </si>
  <si>
    <t>Lead días</t>
  </si>
  <si>
    <t>MOQ</t>
  </si>
  <si>
    <t>Múltiplo pack</t>
  </si>
  <si>
    <t>Costo variable/u (MXN pesos)</t>
  </si>
  <si>
    <t>Contribución/u (MXN pesos)</t>
  </si>
  <si>
    <t>Margen contribución</t>
  </si>
  <si>
    <t>Precio objetivo (MXN pesos)</t>
  </si>
  <si>
    <t>Calidad fila</t>
  </si>
  <si>
    <t>Estado precio</t>
  </si>
  <si>
    <t>PIL-NEGRO</t>
  </si>
  <si>
    <t>Calcetín Pilates Grip</t>
  </si>
  <si>
    <t>Calcetines Pilates</t>
  </si>
  <si>
    <t>Negro</t>
  </si>
  <si>
    <t>Unitalla</t>
  </si>
  <si>
    <t>ACTIVO</t>
  </si>
  <si>
    <t>PIL-ARENA</t>
  </si>
  <si>
    <t>Arena</t>
  </si>
  <si>
    <t>PIL-ROSA</t>
  </si>
  <si>
    <t>Rosa</t>
  </si>
  <si>
    <t>PRELANZAMIENTO</t>
  </si>
  <si>
    <t>PIL-LILA</t>
  </si>
  <si>
    <t>Lila</t>
  </si>
  <si>
    <t>PIL-VERDE</t>
  </si>
  <si>
    <t>Verde salvia</t>
  </si>
  <si>
    <t>PIL-AZUL</t>
  </si>
  <si>
    <t>Azul noche</t>
  </si>
  <si>
    <t>PIL-VINO</t>
  </si>
  <si>
    <t>Vino</t>
  </si>
  <si>
    <t>PIL-GRIS</t>
  </si>
  <si>
    <t>Gris</t>
  </si>
  <si>
    <t>TOP-NEGRO-S</t>
  </si>
  <si>
    <t>Top deportivo Aura</t>
  </si>
  <si>
    <t>Ropa deportiva</t>
  </si>
  <si>
    <t>S</t>
  </si>
  <si>
    <t>LEG-NEGRO-M</t>
  </si>
  <si>
    <t>Legging Esencia</t>
  </si>
  <si>
    <t>M</t>
  </si>
  <si>
    <t>PAUSADO</t>
  </si>
  <si>
    <t>VENTAS DIARIAS AGREGADAS</t>
  </si>
  <si>
    <t>Azul = captura editable · Verde = vínculo entre hojas · Negro = cálculo. Blanco significa desconocido; cero es un valor explícito. Un renglón por fecha y SKU; devolución, reingreso físico y reembolso de caja son hechos distintos.</t>
  </si>
  <si>
    <t>Fecha</t>
  </si>
  <si>
    <t>Unidades entregadas</t>
  </si>
  <si>
    <t>Unidades devueltas</t>
  </si>
  <si>
    <t>Unidades reingresadas</t>
  </si>
  <si>
    <t>Ingreso neto (MXN pesos)</t>
  </si>
  <si>
    <t>Costo variable real (MXN pesos, opcional)</t>
  </si>
  <si>
    <t>Referencia no personal</t>
  </si>
  <si>
    <t>SYNTH-20260825</t>
  </si>
  <si>
    <t>SYNTH-20260826</t>
  </si>
  <si>
    <t>SYNTH-20260827</t>
  </si>
  <si>
    <t>SYNTH-20260828</t>
  </si>
  <si>
    <t>SYNTH-20260829</t>
  </si>
  <si>
    <t>SYNTH-20260830</t>
  </si>
  <si>
    <t>SYNTH-20260831</t>
  </si>
  <si>
    <t>SYNTH-20260901</t>
  </si>
  <si>
    <t>SYNTH-20260902</t>
  </si>
  <si>
    <t>SYNTH-20260903</t>
  </si>
  <si>
    <t>SYNTH-20260904</t>
  </si>
  <si>
    <t>SYNTH-20260905</t>
  </si>
  <si>
    <t>SYNTH-20260906</t>
  </si>
  <si>
    <t>SYNTH-20260907</t>
  </si>
  <si>
    <t>SYNTH-20260908</t>
  </si>
  <si>
    <t>SYNTH-20260909</t>
  </si>
  <si>
    <t>SYNTH-20260910</t>
  </si>
  <si>
    <t>SYNTH-20260911</t>
  </si>
  <si>
    <t>SYNTH-20260912</t>
  </si>
  <si>
    <t>SYNTH-20260913</t>
  </si>
  <si>
    <t>SYNTH-20260914</t>
  </si>
  <si>
    <t>SYNTH-20260915</t>
  </si>
  <si>
    <t>SYNTH-20260916</t>
  </si>
  <si>
    <t>SYNTH-20260917</t>
  </si>
  <si>
    <t>SYNTH-20260918</t>
  </si>
  <si>
    <t>SYNTH-20260919</t>
  </si>
  <si>
    <t>SYNTH-20260920</t>
  </si>
  <si>
    <t>SYNTH-20260921</t>
  </si>
  <si>
    <t>STOCK Y ESCENARIO DE COMPRA</t>
  </si>
  <si>
    <t>Azul = captura editable · Verde = vínculo entre hojas · Negro = cálculo. Blanco significa desconocido; cero es un valor explícito. La propuesta es condicional y nunca crea una orden. El efectivo usa compra + flete de entrada, sin empaque.</t>
  </si>
  <si>
    <t>Fecha conteo</t>
  </si>
  <si>
    <t>Existencia</t>
  </si>
  <si>
    <t>Reservado</t>
  </si>
  <si>
    <t>En tránsito</t>
  </si>
  <si>
    <t>ETA</t>
  </si>
  <si>
    <t>Tránsito confirmado</t>
  </si>
  <si>
    <t>Días disponibilidad observada</t>
  </si>
  <si>
    <t>Cantidad elegida</t>
  </si>
  <si>
    <t>Fecha pago</t>
  </si>
  <si>
    <t>Estado evidencia</t>
  </si>
  <si>
    <t>Disponible</t>
  </si>
  <si>
    <t>Consumo diario</t>
  </si>
  <si>
    <t>Tránsito elegible</t>
  </si>
  <si>
    <t>Necesidad</t>
  </si>
  <si>
    <t>Propuesta condicional</t>
  </si>
  <si>
    <t>Costo compra+flete/u (MXN pesos)</t>
  </si>
  <si>
    <t>Efectivo compra (MXN pesos)</t>
  </si>
  <si>
    <t>Estado plan</t>
  </si>
  <si>
    <t>NO</t>
  </si>
  <si>
    <t>PLAN DE CAJA EXISTENTE</t>
  </si>
  <si>
    <t>Azul = captura editable · Verde = vínculo entre hojas · Negro = cálculo. Blanco significa desconocido; cero es un valor explícito. Captura obligaciones ya planeadas. No dupliques compras elegidas en STOCK.</t>
  </si>
  <si>
    <t>Dirección</t>
  </si>
  <si>
    <t>Importe (MXN pesos)</t>
  </si>
  <si>
    <t>ENTRADA</t>
  </si>
  <si>
    <t>Cobros agregados</t>
  </si>
  <si>
    <t>SYNTH-CASH-01</t>
  </si>
  <si>
    <t>SALIDA</t>
  </si>
  <si>
    <t>Operación</t>
  </si>
  <si>
    <t>SYNTH-CASH-02</t>
  </si>
  <si>
    <t>SYNTH-CASH-03</t>
  </si>
  <si>
    <t>SYNTH-CASH-04</t>
  </si>
  <si>
    <t>Marketing comprometido</t>
  </si>
  <si>
    <t>SYNTH-CASH-05</t>
  </si>
  <si>
    <t>SYNTH-CASH-06</t>
  </si>
  <si>
    <t>SYNTH-CASH-07</t>
  </si>
  <si>
    <t>SYNTH-CASH-08</t>
  </si>
  <si>
    <t>SYNTH-CASH-09</t>
  </si>
  <si>
    <t>DECISIONES POR SKU</t>
  </si>
  <si>
    <t>Lectura preparada para reunión. Cada cantidad es condicional; la hoja nunca ejecuta ni aprueba una compra. Las métricas de apoyo están en CATALOGO y STOCK.</t>
  </si>
  <si>
    <t>Margen actual</t>
  </si>
  <si>
    <t>Decisión</t>
  </si>
  <si>
    <t>Razón</t>
  </si>
  <si>
    <t>Acción siguiente</t>
  </si>
  <si>
    <t>CÁLCULO DIARIO · 91 DÍAS</t>
  </si>
  <si>
    <t>Soporte protegido del modelo semanal. Conserva cierres diarios para detectar pagos anteriores a cobros dentro de una misma semana.</t>
  </si>
  <si>
    <t>Entradas base (MXN pesos)</t>
  </si>
  <si>
    <t>Salidas base (MXN pesos)</t>
  </si>
  <si>
    <t>Cierre base (MXN pesos)</t>
  </si>
  <si>
    <t>Compras elegidas (MXN pesos)</t>
  </si>
  <si>
    <t>Cierre con plan (MXN pesos)</t>
  </si>
  <si>
    <t>Estado plan global</t>
  </si>
  <si>
    <t>FLUJO DE CAJA · 13 SEMANAS</t>
  </si>
  <si>
    <t>Cierres semanales desde el día posterior al corte. El momento dentro de cada semana puede producir un saldo menor.</t>
  </si>
  <si>
    <t>Semana</t>
  </si>
  <si>
    <t>Desde</t>
  </si>
  <si>
    <t>Hasta</t>
  </si>
  <si>
    <t>Mínimo diario base (MXN pesos)</t>
  </si>
  <si>
    <t>Mínimo diario con plan (MXN pesos)</t>
  </si>
  <si>
    <t>Piso (MXN pesos)</t>
  </si>
  <si>
    <t>Lectura del plan</t>
  </si>
  <si>
    <t>Mínimo diario base (incluye apertura)</t>
  </si>
  <si>
    <t>Presupuesto disponible antes de propuestas</t>
  </si>
  <si>
    <t>Compras elegidas en 91 días</t>
  </si>
  <si>
    <t>Holgura vs presupuesto</t>
  </si>
  <si>
    <t>Mínimo cierre con plan</t>
  </si>
  <si>
    <t>Presupuesto = máximo de cero entre el menor del tope y el mínimo cierre diario base (incluida caja inicial) menos el piso. Se retiene si el plan de caja o sus filas están incompletos. La fecha ordena entradas y salidas sólo al cierre diario; el movimiento intradía sigue sin observarse.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</si>
</sst>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;\(#,##0\);\-"/>
    <numFmt numFmtId="166" formatCode="0.0%;\(0.0%\);\-"/>
    <numFmt numFmtId="167" formatCode="\$#,##0.00;\(\$#,##0.00\);\-"/>
  </numFmts>
  <fonts count="12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A63D40"/>
      <name val="Arial"/>
      <family val="2"/>
    </font>
    <font>
      <b/>
      <sz val="12"/>
      <color rgb="FF0F6B68"/>
      <name val="Arial"/>
      <family val="2"/>
    </font>
    <font>
      <sz val="10"/>
      <color rgb="FF66706F"/>
      <name val="Arial"/>
      <family val="2"/>
    </font>
    <font>
      <b/>
      <sz val="10"/>
      <color rgb="FF17252A"/>
      <name val="Arial"/>
      <family val="2"/>
    </font>
    <font>
      <sz val="10"/>
      <color rgb="FF17252A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b/>
      <sz val="12"/>
      <color rgb="FF17252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6B68"/>
        <bgColor indexed="64"/>
      </patternFill>
    </fill>
    <fill>
      <patternFill patternType="solid">
        <fgColor rgb="FFF5E7BF"/>
        <bgColor indexed="64"/>
      </patternFill>
    </fill>
    <fill>
      <patternFill patternType="solid">
        <fgColor rgb="FFE8DDCA"/>
        <bgColor indexed="64"/>
      </patternFill>
    </fill>
    <fill>
      <patternFill patternType="solid">
        <fgColor rgb="FFF7F1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D8ECE8"/>
        <bgColor indexed="64"/>
      </patternFill>
    </fill>
  </fills>
  <borders count="7">
    <border>
      <left/>
      <right/>
      <top/>
      <bottom/>
      <diagonal/>
    </border>
    <border>
      <left style="thin">
        <color rgb="FFC99A3D"/>
      </left>
      <right style="thin">
        <color rgb="FFC99A3D"/>
      </right>
      <top style="thin">
        <color rgb="FFC99A3D"/>
      </top>
      <bottom style="thin">
        <color rgb="FFC99A3D"/>
      </bottom>
      <diagonal/>
    </border>
    <border>
      <left/>
      <right/>
      <top/>
      <bottom style="thin">
        <color rgb="FF0F6B68"/>
      </bottom>
      <diagonal/>
    </border>
    <border>
      <left style="thin">
        <color rgb="FFE8DDCA"/>
      </left>
      <right style="thin">
        <color rgb="FFE8DDCA"/>
      </right>
      <top style="thin">
        <color rgb="FFE8DDCA"/>
      </top>
      <bottom style="thin">
        <color rgb="FFE8DDCA"/>
      </bottom>
      <diagonal/>
    </border>
    <border>
      <left style="thin">
        <color rgb="FFE6E2DB"/>
      </left>
      <right style="thin">
        <color rgb="FFE6E2DB"/>
      </right>
      <top style="thin">
        <color rgb="FFE6E2DB"/>
      </top>
      <bottom style="thin">
        <color rgb="FFE6E2DB"/>
      </bottom>
      <diagonal/>
    </border>
    <border>
      <left style="thin">
        <color rgb="FFD5DFE8"/>
      </left>
      <right style="thin">
        <color rgb="FFD5DFE8"/>
      </right>
      <top style="thin">
        <color rgb="FFD5DFE8"/>
      </top>
      <bottom style="thin">
        <color rgb="FFD5DFE8"/>
      </bottom>
      <diagonal/>
    </border>
    <border>
      <left style="thin">
        <color rgb="FF0F6B68"/>
      </left>
      <right style="thin">
        <color rgb="FF0F6B68"/>
      </right>
      <top style="thin">
        <color rgb="FF0F6B68"/>
      </top>
      <bottom style="thin">
        <color rgb="FF0F6B6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5" borderId="0" xfId="0" applyFont="1" applyFill="1" applyAlignment="1">
      <alignment vertical="top" wrapText="1"/>
    </xf>
    <xf numFmtId="0" fontId="6" fillId="4" borderId="3" xfId="0" applyFont="1" applyFill="1" applyBorder="1"/>
    <xf numFmtId="0" fontId="7" fillId="6" borderId="4" xfId="0" applyFont="1" applyFill="1" applyBorder="1"/>
    <xf numFmtId="164" fontId="8" fillId="7" borderId="5" xfId="0" applyNumberFormat="1" applyFont="1" applyFill="1" applyBorder="1" applyProtection="1">
      <protection locked="0"/>
    </xf>
    <xf numFmtId="165" fontId="8" fillId="7" borderId="5" xfId="0" applyNumberFormat="1" applyFont="1" applyFill="1" applyBorder="1" applyProtection="1">
      <protection locked="0"/>
    </xf>
    <xf numFmtId="166" fontId="8" fillId="7" borderId="5" xfId="0" applyNumberFormat="1" applyFont="1" applyFill="1" applyBorder="1" applyProtection="1">
      <protection locked="0"/>
    </xf>
    <xf numFmtId="167" fontId="8" fillId="7" borderId="5" xfId="0" applyNumberFormat="1" applyFont="1" applyFill="1" applyBorder="1" applyProtection="1">
      <protection locked="0"/>
    </xf>
    <xf numFmtId="0" fontId="8" fillId="7" borderId="5" xfId="0" applyFont="1" applyFill="1" applyBorder="1" applyProtection="1">
      <protection locked="0"/>
    </xf>
    <xf numFmtId="167" fontId="7" fillId="6" borderId="4" xfId="0" applyNumberFormat="1" applyFont="1" applyFill="1" applyBorder="1"/>
    <xf numFmtId="166" fontId="7" fillId="6" borderId="4" xfId="0" applyNumberFormat="1" applyFont="1" applyFill="1" applyBorder="1"/>
    <xf numFmtId="167" fontId="9" fillId="6" borderId="4" xfId="0" applyNumberFormat="1" applyFont="1" applyFill="1" applyBorder="1"/>
    <xf numFmtId="0" fontId="9" fillId="6" borderId="4" xfId="0" applyFont="1" applyFill="1" applyBorder="1"/>
    <xf numFmtId="165" fontId="7" fillId="6" borderId="4" xfId="0" applyNumberFormat="1" applyFont="1" applyFill="1" applyBorder="1"/>
    <xf numFmtId="165" fontId="9" fillId="6" borderId="4" xfId="0" applyNumberFormat="1" applyFont="1" applyFill="1" applyBorder="1"/>
    <xf numFmtId="166" fontId="9" fillId="6" borderId="4" xfId="0" applyNumberFormat="1" applyFont="1" applyFill="1" applyBorder="1"/>
    <xf numFmtId="164" fontId="9" fillId="6" borderId="4" xfId="0" applyNumberFormat="1" applyFont="1" applyFill="1" applyBorder="1"/>
    <xf numFmtId="0" fontId="9" fillId="6" borderId="4" xfId="0" applyFont="1" applyFill="1" applyBorder="1" applyAlignment="1">
      <alignment vertical="top" wrapText="1"/>
    </xf>
    <xf numFmtId="0" fontId="10" fillId="2" borderId="6" xfId="0" applyFont="1" applyFill="1" applyBorder="1"/>
    <xf numFmtId="0" fontId="6" fillId="8" borderId="6" xfId="0" applyFont="1" applyFill="1" applyBorder="1" applyAlignment="1">
      <alignment wrapText="1"/>
    </xf>
    <xf numFmtId="167" fontId="11" fillId="8" borderId="6" xfId="0" applyNumberFormat="1" applyFont="1" applyFill="1" applyBorder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/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color rgb="FFA63D40"/>
      </font>
      <fill>
        <patternFill>
          <bgColor rgb="FFF6D8D7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6D8D7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6D8D7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5E7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Primeros 10 SKU · propuesta vs elección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Propuesta condicional</c:v>
          </c:tx>
          <c:spPr>
            <a:solidFill>
              <a:srgbClr val="0F6B68"/>
            </a:solidFill>
          </c:spPr>
          <c:invertIfNegative val="0"/>
          <c:cat>
            <c:strRef>
              <c:f>DECISIONES!$A$6:$A$15</c:f>
              <c:strCache>
                <c:ptCount val="10"/>
                <c:pt idx="0">
                  <c:v>PIL-NEGRO</c:v>
                </c:pt>
                <c:pt idx="1">
                  <c:v>PIL-ARENA</c:v>
                </c:pt>
                <c:pt idx="2">
                  <c:v>PIL-ROSA</c:v>
                </c:pt>
                <c:pt idx="3">
                  <c:v>PIL-LILA</c:v>
                </c:pt>
                <c:pt idx="4">
                  <c:v>PIL-VERDE</c:v>
                </c:pt>
                <c:pt idx="5">
                  <c:v>PIL-AZUL</c:v>
                </c:pt>
                <c:pt idx="6">
                  <c:v>PIL-VINO</c:v>
                </c:pt>
                <c:pt idx="7">
                  <c:v>PIL-GRIS</c:v>
                </c:pt>
                <c:pt idx="8">
                  <c:v>TOP-NEGRO-S</c:v>
                </c:pt>
                <c:pt idx="9">
                  <c:v>LEG-NEGRO-M</c:v>
                </c:pt>
              </c:strCache>
            </c:strRef>
          </c:cat>
          <c:val>
            <c:numRef>
              <c:f>DECISIONES!$M$6:$M$15</c:f>
              <c:numCache>
                <c:formatCode>#,##0;\(#,##0\);\-</c:formatCode>
                <c:ptCount val="10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F-4C67-80E3-E0DDA23CA904}"/>
            </c:ext>
          </c:extLst>
        </c:ser>
        <c:ser>
          <c:idx val="1"/>
          <c:order val="1"/>
          <c:tx>
            <c:v>Cantidad elegida</c:v>
          </c:tx>
          <c:spPr>
            <a:solidFill>
              <a:srgbClr val="C99A3D"/>
            </a:solidFill>
          </c:spPr>
          <c:invertIfNegative val="0"/>
          <c:cat>
            <c:strRef>
              <c:f>DECISIONES!$A$6:$A$15</c:f>
              <c:strCache>
                <c:ptCount val="10"/>
                <c:pt idx="0">
                  <c:v>PIL-NEGRO</c:v>
                </c:pt>
                <c:pt idx="1">
                  <c:v>PIL-ARENA</c:v>
                </c:pt>
                <c:pt idx="2">
                  <c:v>PIL-ROSA</c:v>
                </c:pt>
                <c:pt idx="3">
                  <c:v>PIL-LILA</c:v>
                </c:pt>
                <c:pt idx="4">
                  <c:v>PIL-VERDE</c:v>
                </c:pt>
                <c:pt idx="5">
                  <c:v>PIL-AZUL</c:v>
                </c:pt>
                <c:pt idx="6">
                  <c:v>PIL-VINO</c:v>
                </c:pt>
                <c:pt idx="7">
                  <c:v>PIL-GRIS</c:v>
                </c:pt>
                <c:pt idx="8">
                  <c:v>TOP-NEGRO-S</c:v>
                </c:pt>
                <c:pt idx="9">
                  <c:v>LEG-NEGRO-M</c:v>
                </c:pt>
              </c:strCache>
            </c:strRef>
          </c:cat>
          <c:val>
            <c:numRef>
              <c:f>DECISIONES!$N$6:$N$15</c:f>
              <c:numCache>
                <c:formatCode>#,##0;\(#,##0\);\-</c:formatCode>
                <c:ptCount val="10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F-4C67-80E3-E0DDA23CA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overlay val="0"/>
        </c:title>
        <c:numFmt formatCode="#,##0;\(#,##0\);\-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Caja semanal · MXN pesos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Cierre base</c:v>
          </c:tx>
          <c:spPr>
            <a:ln w="28575">
              <a:solidFill>
                <a:srgbClr val="0F6B68"/>
              </a:solidFill>
            </a:ln>
          </c:spPr>
          <c:marker>
            <c:symbol val="none"/>
          </c:marker>
          <c:cat>
            <c:numRef>
              <c:f>FLUJO_13_SEMANAS!$A$6:$A$18</c:f>
              <c:numCache>
                <c:formatCode>#,##0;\(#,##0\);\-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FLUJO_13_SEMANAS!$F$6:$F$18</c:f>
              <c:numCache>
                <c:formatCode>\$#,##0.00;\(\$#,##0.00\);\-</c:formatCode>
                <c:ptCount val="13"/>
                <c:pt idx="0">
                  <c:v>77000</c:v>
                </c:pt>
                <c:pt idx="1">
                  <c:v>75000</c:v>
                </c:pt>
                <c:pt idx="2">
                  <c:v>69000</c:v>
                </c:pt>
                <c:pt idx="3">
                  <c:v>69000</c:v>
                </c:pt>
                <c:pt idx="4">
                  <c:v>78000</c:v>
                </c:pt>
                <c:pt idx="5">
                  <c:v>67000</c:v>
                </c:pt>
                <c:pt idx="6">
                  <c:v>67000</c:v>
                </c:pt>
                <c:pt idx="7">
                  <c:v>59000</c:v>
                </c:pt>
                <c:pt idx="8">
                  <c:v>59000</c:v>
                </c:pt>
                <c:pt idx="9">
                  <c:v>59000</c:v>
                </c:pt>
                <c:pt idx="10">
                  <c:v>59000</c:v>
                </c:pt>
                <c:pt idx="11">
                  <c:v>57000</c:v>
                </c:pt>
                <c:pt idx="12">
                  <c:v>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64-4EF7-9009-A22541906F24}"/>
            </c:ext>
          </c:extLst>
        </c:ser>
        <c:ser>
          <c:idx val="1"/>
          <c:order val="1"/>
          <c:tx>
            <c:v>Cierre con plan</c:v>
          </c:tx>
          <c:spPr>
            <a:ln w="28575">
              <a:solidFill>
                <a:srgbClr val="C99A3D"/>
              </a:solidFill>
            </a:ln>
          </c:spPr>
          <c:marker>
            <c:symbol val="none"/>
          </c:marker>
          <c:cat>
            <c:numRef>
              <c:f>FLUJO_13_SEMANAS!$A$6:$A$18</c:f>
              <c:numCache>
                <c:formatCode>#,##0;\(#,##0\);\-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FLUJO_13_SEMANAS!$H$6:$H$18</c:f>
              <c:numCache>
                <c:formatCode>\$#,##0.00;\(\$#,##0.00\);\-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64-4EF7-9009-A22541906F24}"/>
            </c:ext>
          </c:extLst>
        </c:ser>
        <c:ser>
          <c:idx val="2"/>
          <c:order val="2"/>
          <c:tx>
            <c:v>Piso</c:v>
          </c:tx>
          <c:spPr>
            <a:ln>
              <a:solidFill>
                <a:srgbClr val="A63D40"/>
              </a:solidFill>
              <a:prstDash val="dash"/>
            </a:ln>
          </c:spPr>
          <c:marker>
            <c:symbol val="none"/>
          </c:marker>
          <c:cat>
            <c:numRef>
              <c:f>FLUJO_13_SEMANAS!$A$6:$A$18</c:f>
              <c:numCache>
                <c:formatCode>#,##0;\(#,##0\);\-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FLUJO_13_SEMANAS!$K$6:$K$18</c:f>
              <c:numCache>
                <c:formatCode>\$#,##0.00;\(\$#,##0.00\);\-</c:formatCode>
                <c:ptCount val="13"/>
                <c:pt idx="0">
                  <c:v>40000</c:v>
                </c:pt>
                <c:pt idx="1">
                  <c:v>40000</c:v>
                </c:pt>
                <c:pt idx="2">
                  <c:v>40000</c:v>
                </c:pt>
                <c:pt idx="3">
                  <c:v>40000</c:v>
                </c:pt>
                <c:pt idx="4">
                  <c:v>40000</c:v>
                </c:pt>
                <c:pt idx="5">
                  <c:v>40000</c:v>
                </c:pt>
                <c:pt idx="6">
                  <c:v>40000</c:v>
                </c:pt>
                <c:pt idx="7">
                  <c:v>40000</c:v>
                </c:pt>
                <c:pt idx="8">
                  <c:v>40000</c:v>
                </c:pt>
                <c:pt idx="9">
                  <c:v>40000</c:v>
                </c:pt>
                <c:pt idx="10">
                  <c:v>40000</c:v>
                </c:pt>
                <c:pt idx="11">
                  <c:v>40000</c:v>
                </c:pt>
                <c:pt idx="12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64-4EF7-9009-A22541906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</a:t>
                </a:r>
              </a:p>
            </c:rich>
          </c:tx>
          <c:overlay val="0"/>
        </c:title>
        <c:numFmt formatCode="#,##0;\(#,##0\);\-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E5E1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MXN pesos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</xdr:row>
      <xdr:rowOff>0</xdr:rowOff>
    </xdr:from>
    <xdr:to>
      <xdr:col>30</xdr:col>
      <xdr:colOff>76200</xdr:colOff>
      <xdr:row>10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13</xdr:row>
      <xdr:rowOff>0</xdr:rowOff>
    </xdr:from>
    <xdr:to>
      <xdr:col>16</xdr:col>
      <xdr:colOff>371475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alogo" displayName="tblCatalogo" ref="A5:U105" totalsRowShown="0">
  <autoFilter ref="A5:U105" xr:uid="{00000000-0009-0000-0100-000001000000}"/>
  <tableColumns count="21">
    <tableColumn id="1" xr3:uid="{00000000-0010-0000-0000-000001000000}" name="SKU"/>
    <tableColumn id="2" xr3:uid="{00000000-0010-0000-0000-000002000000}" name="Producto"/>
    <tableColumn id="3" xr3:uid="{00000000-0010-0000-0000-000003000000}" name="Categoría"/>
    <tableColumn id="4" xr3:uid="{00000000-0010-0000-0000-000004000000}" name="Color"/>
    <tableColumn id="5" xr3:uid="{00000000-0010-0000-0000-000005000000}" name="Talla"/>
    <tableColumn id="6" xr3:uid="{00000000-0010-0000-0000-000006000000}" name="Estado"/>
    <tableColumn id="7" xr3:uid="{00000000-0010-0000-0000-000007000000}" name="Precio lista (MXN pesos)"/>
    <tableColumn id="8" xr3:uid="{00000000-0010-0000-0000-000008000000}" name="Costo compra/u (MXN pesos)"/>
    <tableColumn id="9" xr3:uid="{00000000-0010-0000-0000-000009000000}" name="Flete entrada/u (MXN pesos)"/>
    <tableColumn id="10" xr3:uid="{00000000-0010-0000-0000-00000A000000}" name="Empaque/u (MXN pesos)"/>
    <tableColumn id="11" xr3:uid="{00000000-0010-0000-0000-00000B000000}" name="Comisión"/>
    <tableColumn id="12" xr3:uid="{00000000-0010-0000-0000-00000C000000}" name="Otro variable/u (MXN pesos)"/>
    <tableColumn id="13" xr3:uid="{00000000-0010-0000-0000-00000D000000}" name="Lead días"/>
    <tableColumn id="14" xr3:uid="{00000000-0010-0000-0000-00000E000000}" name="MOQ"/>
    <tableColumn id="15" xr3:uid="{00000000-0010-0000-0000-00000F000000}" name="Múltiplo pack"/>
    <tableColumn id="16" xr3:uid="{00000000-0010-0000-0000-000010000000}" name="Costo variable/u (MXN pesos)"/>
    <tableColumn id="17" xr3:uid="{00000000-0010-0000-0000-000011000000}" name="Contribución/u (MXN pesos)"/>
    <tableColumn id="18" xr3:uid="{00000000-0010-0000-0000-000012000000}" name="Margen contribución"/>
    <tableColumn id="19" xr3:uid="{00000000-0010-0000-0000-000013000000}" name="Precio objetivo (MXN pesos)"/>
    <tableColumn id="20" xr3:uid="{00000000-0010-0000-0000-000014000000}" name="Calidad fila"/>
    <tableColumn id="21" xr3:uid="{00000000-0010-0000-0000-000015000000}" name="Estado prec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Ventas" displayName="tblVentas" ref="A5:I1005" totalsRowShown="0">
  <autoFilter ref="A5:I1005" xr:uid="{00000000-0009-0000-0100-000002000000}"/>
  <tableColumns count="9">
    <tableColumn id="1" xr3:uid="{00000000-0010-0000-0100-000001000000}" name="Fecha"/>
    <tableColumn id="2" xr3:uid="{00000000-0010-0000-0100-000002000000}" name="SKU"/>
    <tableColumn id="3" xr3:uid="{00000000-0010-0000-0100-000003000000}" name="Unidades entregadas"/>
    <tableColumn id="4" xr3:uid="{00000000-0010-0000-0100-000004000000}" name="Unidades devueltas"/>
    <tableColumn id="5" xr3:uid="{00000000-0010-0000-0100-000005000000}" name="Unidades reingresadas"/>
    <tableColumn id="6" xr3:uid="{00000000-0010-0000-0100-000006000000}" name="Ingreso neto (MXN pesos)"/>
    <tableColumn id="7" xr3:uid="{00000000-0010-0000-0100-000007000000}" name="Costo variable real (MXN pesos, opcional)"/>
    <tableColumn id="8" xr3:uid="{00000000-0010-0000-0100-000008000000}" name="Referencia no personal"/>
    <tableColumn id="9" xr3:uid="{00000000-0010-0000-0100-000009000000}" name="Calidad fi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ck" displayName="tblStock" ref="A5:S105" totalsRowShown="0">
  <autoFilter ref="A5:S105" xr:uid="{00000000-0009-0000-0100-000003000000}"/>
  <tableColumns count="19">
    <tableColumn id="1" xr3:uid="{00000000-0010-0000-0200-000001000000}" name="SKU"/>
    <tableColumn id="2" xr3:uid="{00000000-0010-0000-0200-000002000000}" name="Fecha conteo"/>
    <tableColumn id="3" xr3:uid="{00000000-0010-0000-0200-000003000000}" name="Existencia"/>
    <tableColumn id="4" xr3:uid="{00000000-0010-0000-0200-000004000000}" name="Reservado"/>
    <tableColumn id="5" xr3:uid="{00000000-0010-0000-0200-000005000000}" name="En tránsito"/>
    <tableColumn id="6" xr3:uid="{00000000-0010-0000-0200-000006000000}" name="ETA"/>
    <tableColumn id="7" xr3:uid="{00000000-0010-0000-0200-000007000000}" name="Tránsito confirmado"/>
    <tableColumn id="8" xr3:uid="{00000000-0010-0000-0200-000008000000}" name="Días disponibilidad observada"/>
    <tableColumn id="9" xr3:uid="{00000000-0010-0000-0200-000009000000}" name="Cantidad elegida"/>
    <tableColumn id="10" xr3:uid="{00000000-0010-0000-0200-00000A000000}" name="Fecha pago"/>
    <tableColumn id="11" xr3:uid="{00000000-0010-0000-0200-00000B000000}" name="Estado evidencia"/>
    <tableColumn id="12" xr3:uid="{00000000-0010-0000-0200-00000C000000}" name="Disponible"/>
    <tableColumn id="13" xr3:uid="{00000000-0010-0000-0200-00000D000000}" name="Consumo diario"/>
    <tableColumn id="14" xr3:uid="{00000000-0010-0000-0200-00000E000000}" name="Tránsito elegible"/>
    <tableColumn id="15" xr3:uid="{00000000-0010-0000-0200-00000F000000}" name="Necesidad"/>
    <tableColumn id="16" xr3:uid="{00000000-0010-0000-0200-000010000000}" name="Propuesta condicional"/>
    <tableColumn id="17" xr3:uid="{00000000-0010-0000-0200-000011000000}" name="Costo compra+flete/u (MXN pesos)"/>
    <tableColumn id="18" xr3:uid="{00000000-0010-0000-0200-000012000000}" name="Efectivo compra (MXN pesos)"/>
    <tableColumn id="19" xr3:uid="{00000000-0010-0000-0200-000013000000}" name="Estado pl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ja" displayName="tblCaja" ref="A5:F255" totalsRowShown="0">
  <autoFilter ref="A5:F255" xr:uid="{00000000-0009-0000-0100-000004000000}"/>
  <tableColumns count="6">
    <tableColumn id="1" xr3:uid="{00000000-0010-0000-0300-000001000000}" name="Fecha"/>
    <tableColumn id="2" xr3:uid="{00000000-0010-0000-0300-000002000000}" name="Dirección"/>
    <tableColumn id="3" xr3:uid="{00000000-0010-0000-0300-000003000000}" name="Categoría"/>
    <tableColumn id="4" xr3:uid="{00000000-0010-0000-0300-000004000000}" name="Importe (MXN pesos)"/>
    <tableColumn id="5" xr3:uid="{00000000-0010-0000-0300-000005000000}" name="Referencia no personal"/>
    <tableColumn id="6" xr3:uid="{00000000-0010-0000-0300-000006000000}" name="Calidad fi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cisiones" displayName="tblDecisiones" ref="A5:S105" totalsRowShown="0">
  <autoFilter ref="A5:S105" xr:uid="{00000000-0009-0000-0100-000005000000}"/>
  <tableColumns count="19">
    <tableColumn id="1" xr3:uid="{00000000-0010-0000-0400-000001000000}" name="SKU"/>
    <tableColumn id="2" xr3:uid="{00000000-0010-0000-0400-000002000000}" name="Producto"/>
    <tableColumn id="3" xr3:uid="{00000000-0010-0000-0400-000003000000}" name="Estado"/>
    <tableColumn id="4" xr3:uid="{00000000-0010-0000-0400-000004000000}" name="Precio lista (MXN pesos)"/>
    <tableColumn id="5" xr3:uid="{00000000-0010-0000-0400-000005000000}" name="Costo variable/u (MXN pesos)"/>
    <tableColumn id="6" xr3:uid="{00000000-0010-0000-0400-000006000000}" name="Precio objetivo (MXN pesos)"/>
    <tableColumn id="7" xr3:uid="{00000000-0010-0000-0400-000007000000}" name="Margen actual"/>
    <tableColumn id="8" xr3:uid="{00000000-0010-0000-0400-000008000000}" name="Estado evidencia"/>
    <tableColumn id="9" xr3:uid="{00000000-0010-0000-0400-000009000000}" name="Consumo diario"/>
    <tableColumn id="10" xr3:uid="{00000000-0010-0000-0400-00000A000000}" name="Disponible"/>
    <tableColumn id="11" xr3:uid="{00000000-0010-0000-0400-00000B000000}" name="Tránsito elegible"/>
    <tableColumn id="12" xr3:uid="{00000000-0010-0000-0400-00000C000000}" name="Necesidad"/>
    <tableColumn id="13" xr3:uid="{00000000-0010-0000-0400-00000D000000}" name="Propuesta condicional"/>
    <tableColumn id="14" xr3:uid="{00000000-0010-0000-0400-00000E000000}" name="Cantidad elegida"/>
    <tableColumn id="15" xr3:uid="{00000000-0010-0000-0400-00000F000000}" name="Fecha pago"/>
    <tableColumn id="16" xr3:uid="{00000000-0010-0000-0400-000010000000}" name="Efectivo compra (MXN pesos)"/>
    <tableColumn id="17" xr3:uid="{00000000-0010-0000-0400-000011000000}" name="Decisión"/>
    <tableColumn id="18" xr3:uid="{00000000-0010-0000-0400-000012000000}" name="Razón"/>
    <tableColumn id="19" xr3:uid="{00000000-0010-0000-0400-000013000000}" name="Acción sigui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Aux91" displayName="tblAux91" ref="A5:F96" totalsRowShown="0">
  <autoFilter ref="A5:F96" xr:uid="{00000000-0009-0000-0100-000006000000}"/>
  <tableColumns count="6">
    <tableColumn id="1" xr3:uid="{00000000-0010-0000-0500-000001000000}" name="Fecha"/>
    <tableColumn id="2" xr3:uid="{00000000-0010-0000-0500-000002000000}" name="Entradas base (MXN pesos)"/>
    <tableColumn id="3" xr3:uid="{00000000-0010-0000-0500-000003000000}" name="Salidas base (MXN pesos)"/>
    <tableColumn id="4" xr3:uid="{00000000-0010-0000-0500-000004000000}" name="Cierre base (MXN pesos)"/>
    <tableColumn id="5" xr3:uid="{00000000-0010-0000-0500-000005000000}" name="Compras elegidas (MXN pesos)"/>
    <tableColumn id="6" xr3:uid="{00000000-0010-0000-0500-000006000000}" name="Cierre con plan (MXN peso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Flujo13" displayName="tblFlujo13" ref="A5:L18" totalsRowShown="0">
  <autoFilter ref="A5:L18" xr:uid="{00000000-0009-0000-0100-000007000000}"/>
  <tableColumns count="12">
    <tableColumn id="1" xr3:uid="{00000000-0010-0000-0600-000001000000}" name="Semana"/>
    <tableColumn id="2" xr3:uid="{00000000-0010-0000-0600-000002000000}" name="Desde"/>
    <tableColumn id="3" xr3:uid="{00000000-0010-0000-0600-000003000000}" name="Hasta"/>
    <tableColumn id="4" xr3:uid="{00000000-0010-0000-0600-000004000000}" name="Entradas base (MXN pesos)"/>
    <tableColumn id="5" xr3:uid="{00000000-0010-0000-0600-000005000000}" name="Salidas base (MXN pesos)"/>
    <tableColumn id="6" xr3:uid="{00000000-0010-0000-0600-000006000000}" name="Cierre base (MXN pesos)"/>
    <tableColumn id="7" xr3:uid="{00000000-0010-0000-0600-000007000000}" name="Compras elegidas (MXN pesos)"/>
    <tableColumn id="8" xr3:uid="{00000000-0010-0000-0600-000008000000}" name="Cierre con plan (MXN pesos)"/>
    <tableColumn id="9" xr3:uid="{00000000-0010-0000-0600-000009000000}" name="Mínimo diario base (MXN pesos)"/>
    <tableColumn id="10" xr3:uid="{00000000-0010-0000-0600-00000A000000}" name="Mínimo diario con plan (MXN pesos)"/>
    <tableColumn id="11" xr3:uid="{00000000-0010-0000-0600-00000B000000}" name="Piso (MXN pesos)"/>
    <tableColumn id="12" xr3:uid="{00000000-0010-0000-0600-00000C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68"/>
    <pageSetUpPr fitToPage="1"/>
  </sheetPr>
  <dimension ref="A1:H30"/>
  <sheetViews>
    <sheetView showGridLines="0" tabSelected="1" workbookViewId="0">
      <pane ySplit="5" topLeftCell="A6" activePane="bottomLeft" state="frozen"/>
      <selection pane="bottomLeft" sqref="A1:H1"/>
    </sheetView>
  </sheetViews>
  <sheetFormatPr baseColWidth="10" defaultColWidth="9.06640625" defaultRowHeight="14.25" x14ac:dyDescent="0.45"/>
  <cols>
    <col min="1" max="1" width="3.73046875" customWidth="1"/>
    <col min="2" max="2" width="24.73046875" customWidth="1"/>
    <col min="3" max="8" width="18.73046875" customWidth="1"/>
  </cols>
  <sheetData>
    <row r="1" spans="1:8" ht="30" customHeight="1" x14ac:dyDescent="0.45">
      <c r="A1" s="21" t="s">
        <v>0</v>
      </c>
      <c r="B1" s="21"/>
      <c r="C1" s="21"/>
      <c r="D1" s="21"/>
      <c r="E1" s="21"/>
      <c r="F1" s="21"/>
      <c r="G1" s="21"/>
      <c r="H1" s="21"/>
    </row>
    <row r="2" spans="1:8" ht="32" customHeight="1" x14ac:dyDescent="0.45">
      <c r="A2" s="22" t="s">
        <v>1</v>
      </c>
      <c r="B2" s="22"/>
      <c r="C2" s="22"/>
      <c r="D2" s="22"/>
      <c r="E2" s="22"/>
      <c r="F2" s="22"/>
      <c r="G2" s="22"/>
      <c r="H2" s="22"/>
    </row>
    <row r="4" spans="1:8" x14ac:dyDescent="0.45">
      <c r="B4" s="23" t="s">
        <v>2</v>
      </c>
      <c r="C4" s="23"/>
      <c r="D4" s="23"/>
      <c r="E4" s="23"/>
      <c r="F4" s="23"/>
      <c r="G4" s="23"/>
      <c r="H4" s="23"/>
    </row>
    <row r="5" spans="1:8" x14ac:dyDescent="0.45">
      <c r="B5" s="23"/>
      <c r="C5" s="23"/>
      <c r="D5" s="23"/>
      <c r="E5" s="23"/>
      <c r="F5" s="23"/>
      <c r="G5" s="23"/>
      <c r="H5" s="23"/>
    </row>
    <row r="7" spans="1:8" ht="15.4" x14ac:dyDescent="0.45">
      <c r="B7" s="24" t="s">
        <v>3</v>
      </c>
      <c r="C7" s="24"/>
    </row>
    <row r="8" spans="1:8" x14ac:dyDescent="0.45">
      <c r="B8" s="25" t="s">
        <v>4</v>
      </c>
      <c r="C8" s="25"/>
      <c r="D8" s="25"/>
      <c r="E8" s="25"/>
      <c r="F8" s="25"/>
      <c r="G8" s="25"/>
      <c r="H8" s="25"/>
    </row>
    <row r="9" spans="1:8" x14ac:dyDescent="0.45">
      <c r="B9" s="25"/>
      <c r="C9" s="25"/>
      <c r="D9" s="25"/>
      <c r="E9" s="25"/>
      <c r="F9" s="25"/>
      <c r="G9" s="25"/>
      <c r="H9" s="25"/>
    </row>
    <row r="10" spans="1:8" ht="15.4" x14ac:dyDescent="0.45">
      <c r="B10" s="24" t="s">
        <v>5</v>
      </c>
      <c r="C10" s="24"/>
    </row>
    <row r="11" spans="1:8" x14ac:dyDescent="0.45">
      <c r="B11" s="25" t="s">
        <v>6</v>
      </c>
      <c r="C11" s="25"/>
      <c r="D11" s="25"/>
      <c r="E11" s="25"/>
      <c r="F11" s="25"/>
      <c r="G11" s="25"/>
      <c r="H11" s="25"/>
    </row>
    <row r="12" spans="1:8" x14ac:dyDescent="0.45">
      <c r="B12" s="25"/>
      <c r="C12" s="25"/>
      <c r="D12" s="25"/>
      <c r="E12" s="25"/>
      <c r="F12" s="25"/>
      <c r="G12" s="25"/>
      <c r="H12" s="25"/>
    </row>
    <row r="13" spans="1:8" ht="15.4" x14ac:dyDescent="0.45">
      <c r="B13" s="24" t="s">
        <v>7</v>
      </c>
      <c r="C13" s="24"/>
    </row>
    <row r="14" spans="1:8" x14ac:dyDescent="0.45">
      <c r="B14" s="25" t="s">
        <v>8</v>
      </c>
      <c r="C14" s="25"/>
      <c r="D14" s="25"/>
      <c r="E14" s="25"/>
      <c r="F14" s="25"/>
      <c r="G14" s="25"/>
      <c r="H14" s="25"/>
    </row>
    <row r="15" spans="1:8" x14ac:dyDescent="0.45">
      <c r="B15" s="25"/>
      <c r="C15" s="25"/>
      <c r="D15" s="25"/>
      <c r="E15" s="25"/>
      <c r="F15" s="25"/>
      <c r="G15" s="25"/>
      <c r="H15" s="25"/>
    </row>
    <row r="16" spans="1:8" ht="15.4" x14ac:dyDescent="0.45">
      <c r="B16" s="24" t="s">
        <v>9</v>
      </c>
      <c r="C16" s="24"/>
    </row>
    <row r="17" spans="2:8" x14ac:dyDescent="0.45">
      <c r="B17" s="25" t="s">
        <v>10</v>
      </c>
      <c r="C17" s="25"/>
      <c r="D17" s="25"/>
      <c r="E17" s="25"/>
      <c r="F17" s="25"/>
      <c r="G17" s="25"/>
      <c r="H17" s="25"/>
    </row>
    <row r="18" spans="2:8" x14ac:dyDescent="0.45">
      <c r="B18" s="25"/>
      <c r="C18" s="25"/>
      <c r="D18" s="25"/>
      <c r="E18" s="25"/>
      <c r="F18" s="25"/>
      <c r="G18" s="25"/>
      <c r="H18" s="25"/>
    </row>
    <row r="21" spans="2:8" ht="15.4" x14ac:dyDescent="0.45">
      <c r="B21" s="24" t="s">
        <v>11</v>
      </c>
      <c r="C21" s="24"/>
      <c r="D21" s="24"/>
      <c r="E21" s="24"/>
      <c r="F21" s="24"/>
      <c r="G21" s="24"/>
      <c r="H21" s="24"/>
    </row>
    <row r="22" spans="2:8" x14ac:dyDescent="0.45">
      <c r="B22" s="25" t="s">
        <v>12</v>
      </c>
      <c r="C22" s="25"/>
      <c r="D22" s="25"/>
      <c r="E22" s="25"/>
      <c r="F22" s="25"/>
      <c r="G22" s="25"/>
      <c r="H22" s="25"/>
    </row>
    <row r="23" spans="2:8" x14ac:dyDescent="0.45">
      <c r="B23" s="25"/>
      <c r="C23" s="25"/>
      <c r="D23" s="25"/>
      <c r="E23" s="25"/>
      <c r="F23" s="25"/>
      <c r="G23" s="25"/>
      <c r="H23" s="25"/>
    </row>
    <row r="24" spans="2:8" x14ac:dyDescent="0.45">
      <c r="B24" s="25"/>
      <c r="C24" s="25"/>
      <c r="D24" s="25"/>
      <c r="E24" s="25"/>
      <c r="F24" s="25"/>
      <c r="G24" s="25"/>
      <c r="H24" s="25"/>
    </row>
    <row r="25" spans="2:8" x14ac:dyDescent="0.45">
      <c r="B25" s="25"/>
      <c r="C25" s="25"/>
      <c r="D25" s="25"/>
      <c r="E25" s="25"/>
      <c r="F25" s="25"/>
      <c r="G25" s="25"/>
      <c r="H25" s="25"/>
    </row>
    <row r="26" spans="2:8" x14ac:dyDescent="0.45">
      <c r="B26" s="25"/>
      <c r="C26" s="25"/>
      <c r="D26" s="25"/>
      <c r="E26" s="25"/>
      <c r="F26" s="25"/>
      <c r="G26" s="25"/>
      <c r="H26" s="25"/>
    </row>
    <row r="28" spans="2:8" x14ac:dyDescent="0.45">
      <c r="B28" s="23" t="s">
        <v>13</v>
      </c>
      <c r="C28" s="23"/>
      <c r="D28" s="23"/>
      <c r="E28" s="23"/>
      <c r="F28" s="23"/>
      <c r="G28" s="23"/>
      <c r="H28" s="23"/>
    </row>
    <row r="29" spans="2:8" x14ac:dyDescent="0.45">
      <c r="B29" s="23"/>
      <c r="C29" s="23"/>
      <c r="D29" s="23"/>
      <c r="E29" s="23"/>
      <c r="F29" s="23"/>
      <c r="G29" s="23"/>
      <c r="H29" s="23"/>
    </row>
    <row r="30" spans="2:8" x14ac:dyDescent="0.45">
      <c r="B30" s="23"/>
      <c r="C30" s="23"/>
      <c r="D30" s="23"/>
      <c r="E30" s="23"/>
      <c r="F30" s="23"/>
      <c r="G30" s="23"/>
      <c r="H30" s="23"/>
    </row>
  </sheetData>
  <sheetProtection sheet="1" objects="1" scenarios="1" formatColumns="0" sort="0" autoFilter="0"/>
  <mergeCells count="14">
    <mergeCell ref="B17:H18"/>
    <mergeCell ref="B21:H21"/>
    <mergeCell ref="B22:H26"/>
    <mergeCell ref="B28:H30"/>
    <mergeCell ref="B10:C10"/>
    <mergeCell ref="B11:H12"/>
    <mergeCell ref="B13:C13"/>
    <mergeCell ref="B14:H15"/>
    <mergeCell ref="B16:C16"/>
    <mergeCell ref="A1:H1"/>
    <mergeCell ref="A2:H2"/>
    <mergeCell ref="B4:H5"/>
    <mergeCell ref="B7:C7"/>
    <mergeCell ref="B8:H9"/>
  </mergeCell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68"/>
    <pageSetUpPr fitToPage="1"/>
  </sheetPr>
  <dimension ref="A1:E19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29.73046875" customWidth="1"/>
    <col min="2" max="2" width="21.73046875" customWidth="1"/>
    <col min="3" max="3" width="54.73046875" customWidth="1"/>
    <col min="4" max="5" width="15.73046875" customWidth="1"/>
  </cols>
  <sheetData>
    <row r="1" spans="1:5" ht="30" customHeight="1" x14ac:dyDescent="0.45">
      <c r="A1" s="21" t="s">
        <v>14</v>
      </c>
      <c r="B1" s="21"/>
      <c r="C1" s="21"/>
      <c r="D1" s="21"/>
      <c r="E1" s="21"/>
    </row>
    <row r="2" spans="1:5" ht="32" customHeight="1" x14ac:dyDescent="0.45">
      <c r="A2" s="22" t="s">
        <v>15</v>
      </c>
      <c r="B2" s="22"/>
      <c r="C2" s="22"/>
      <c r="D2" s="22"/>
      <c r="E2" s="22"/>
    </row>
    <row r="3" spans="1:5" x14ac:dyDescent="0.45">
      <c r="A3" s="2" t="s">
        <v>16</v>
      </c>
      <c r="B3" s="3" t="s">
        <v>17</v>
      </c>
      <c r="C3" s="1" t="s">
        <v>18</v>
      </c>
    </row>
    <row r="5" spans="1:5" x14ac:dyDescent="0.45">
      <c r="A5" s="2" t="s">
        <v>19</v>
      </c>
      <c r="B5" s="4">
        <v>46286</v>
      </c>
      <c r="C5" s="1" t="s">
        <v>20</v>
      </c>
    </row>
    <row r="6" spans="1:5" x14ac:dyDescent="0.45">
      <c r="A6" s="2" t="s">
        <v>21</v>
      </c>
      <c r="B6" s="5">
        <v>28</v>
      </c>
      <c r="C6" s="1" t="s">
        <v>22</v>
      </c>
    </row>
    <row r="7" spans="1:5" x14ac:dyDescent="0.45">
      <c r="A7" s="2" t="s">
        <v>23</v>
      </c>
      <c r="B7" s="5">
        <v>7</v>
      </c>
      <c r="C7" s="1" t="s">
        <v>24</v>
      </c>
    </row>
    <row r="8" spans="1:5" ht="25.5" x14ac:dyDescent="0.45">
      <c r="A8" s="2" t="s">
        <v>25</v>
      </c>
      <c r="B8" s="6">
        <v>0.45</v>
      </c>
      <c r="C8" s="1" t="s">
        <v>26</v>
      </c>
    </row>
    <row r="9" spans="1:5" x14ac:dyDescent="0.45">
      <c r="A9" s="2" t="s">
        <v>27</v>
      </c>
      <c r="B9" s="7">
        <v>80000</v>
      </c>
      <c r="C9" s="1" t="s">
        <v>28</v>
      </c>
    </row>
    <row r="10" spans="1:5" x14ac:dyDescent="0.45">
      <c r="A10" s="2" t="s">
        <v>29</v>
      </c>
      <c r="B10" s="7">
        <v>40000</v>
      </c>
      <c r="C10" s="1" t="s">
        <v>30</v>
      </c>
    </row>
    <row r="11" spans="1:5" x14ac:dyDescent="0.45">
      <c r="A11" s="2" t="s">
        <v>31</v>
      </c>
      <c r="B11" s="7">
        <v>30000</v>
      </c>
      <c r="C11" s="1" t="s">
        <v>32</v>
      </c>
    </row>
    <row r="12" spans="1:5" ht="25.5" x14ac:dyDescent="0.45">
      <c r="A12" s="2" t="s">
        <v>33</v>
      </c>
      <c r="B12" s="8" t="s">
        <v>34</v>
      </c>
      <c r="C12" s="1" t="s">
        <v>35</v>
      </c>
    </row>
    <row r="13" spans="1:5" x14ac:dyDescent="0.45">
      <c r="A13" s="2" t="s">
        <v>36</v>
      </c>
      <c r="B13" s="8" t="s">
        <v>34</v>
      </c>
      <c r="C13" s="1" t="s">
        <v>37</v>
      </c>
    </row>
    <row r="14" spans="1:5" x14ac:dyDescent="0.45">
      <c r="A14" s="2" t="s">
        <v>38</v>
      </c>
      <c r="B14" s="8" t="s">
        <v>34</v>
      </c>
      <c r="C14" s="1" t="s">
        <v>39</v>
      </c>
    </row>
    <row r="17" spans="1:3" x14ac:dyDescent="0.45">
      <c r="A17" s="23" t="s">
        <v>40</v>
      </c>
      <c r="B17" s="23"/>
      <c r="C17" s="23"/>
    </row>
    <row r="18" spans="1:3" x14ac:dyDescent="0.45">
      <c r="A18" s="23"/>
      <c r="B18" s="23"/>
      <c r="C18" s="23"/>
    </row>
    <row r="19" spans="1:3" x14ac:dyDescent="0.45">
      <c r="A19" s="23"/>
      <c r="B19" s="23"/>
      <c r="C19" s="23"/>
    </row>
  </sheetData>
  <sheetProtection sheet="1" objects="1" scenarios="1" formatColumns="0" sort="0" autoFilter="0"/>
  <mergeCells count="3">
    <mergeCell ref="A1:E1"/>
    <mergeCell ref="A2:E2"/>
    <mergeCell ref="A17:C19"/>
  </mergeCells>
  <conditionalFormatting sqref="B12:B14">
    <cfRule type="containsText" dxfId="7" priority="1" operator="containsText" text="NO">
      <formula>NOT(ISERROR(SEARCH("NO",B12)))</formula>
    </cfRule>
  </conditionalFormatting>
  <dataValidations count="7">
    <dataValidation type="date" allowBlank="1" showInputMessage="1" showErrorMessage="1" sqref="B5" xr:uid="{00000000-0002-0000-0100-000000000000}">
      <formula1>0</formula1>
      <formula2>73415</formula2>
    </dataValidation>
    <dataValidation type="whole" allowBlank="1" showInputMessage="1" showErrorMessage="1" sqref="B6" xr:uid="{00000000-0002-0000-0100-000001000000}">
      <formula1>1</formula1>
      <formula2>365</formula2>
    </dataValidation>
    <dataValidation type="whole" allowBlank="1" showInputMessage="1" showErrorMessage="1" sqref="B7" xr:uid="{00000000-0002-0000-0100-000002000000}">
      <formula1>0</formula1>
      <formula2>3650</formula2>
    </dataValidation>
    <dataValidation type="decimal" allowBlank="1" showInputMessage="1" showErrorMessage="1" sqref="B8" xr:uid="{00000000-0002-0000-0100-000003000000}">
      <formula1>0</formula1>
      <formula2>0.99</formula2>
    </dataValidation>
    <dataValidation type="decimal" allowBlank="1" showInputMessage="1" showErrorMessage="1" sqref="B9" xr:uid="{00000000-0002-0000-0100-000004000000}">
      <formula1>-1000000000</formula1>
      <formula2>1000000000</formula2>
    </dataValidation>
    <dataValidation type="decimal" allowBlank="1" showInputMessage="1" showErrorMessage="1" sqref="B10:B11" xr:uid="{00000000-0002-0000-0100-000005000000}">
      <formula1>0</formula1>
      <formula2>1000000000</formula2>
    </dataValidation>
    <dataValidation type="list" allowBlank="1" showInputMessage="1" showErrorMessage="1" sqref="B12:B14" xr:uid="{00000000-0002-0000-0100-000006000000}">
      <formula1>"SI,NO"</formula1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68"/>
    <pageSetUpPr fitToPage="1"/>
  </sheetPr>
  <dimension ref="A1:U1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8.73046875" customWidth="1"/>
    <col min="2" max="2" width="28.73046875" customWidth="1"/>
    <col min="3" max="3" width="22.73046875" customWidth="1"/>
    <col min="4" max="4" width="16.73046875" customWidth="1"/>
    <col min="5" max="5" width="12.73046875" customWidth="1"/>
    <col min="6" max="7" width="18.73046875" customWidth="1"/>
    <col min="8" max="9" width="19.73046875" customWidth="1"/>
    <col min="10" max="10" width="17.73046875" customWidth="1"/>
    <col min="11" max="11" width="12.73046875" customWidth="1"/>
    <col min="12" max="12" width="20.73046875" customWidth="1"/>
    <col min="13" max="13" width="11.73046875" customWidth="1"/>
    <col min="14" max="14" width="10.73046875" customWidth="1"/>
    <col min="15" max="15" width="13.73046875" customWidth="1"/>
    <col min="16" max="17" width="20.73046875" customWidth="1"/>
    <col min="18" max="18" width="18.73046875" customWidth="1"/>
    <col min="19" max="20" width="20.73046875" customWidth="1"/>
    <col min="21" max="21" width="24.73046875" customWidth="1"/>
  </cols>
  <sheetData>
    <row r="1" spans="1:21" ht="30" customHeight="1" x14ac:dyDescent="0.45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32" customHeight="1" x14ac:dyDescent="0.45">
      <c r="A2" s="22" t="s">
        <v>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5" spans="1:21" x14ac:dyDescent="0.4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</row>
    <row r="6" spans="1:21" x14ac:dyDescent="0.45">
      <c r="A6" s="8" t="s">
        <v>64</v>
      </c>
      <c r="B6" s="8" t="s">
        <v>65</v>
      </c>
      <c r="C6" s="8" t="s">
        <v>66</v>
      </c>
      <c r="D6" s="8" t="s">
        <v>67</v>
      </c>
      <c r="E6" s="8" t="s">
        <v>68</v>
      </c>
      <c r="F6" s="8" t="s">
        <v>69</v>
      </c>
      <c r="G6" s="7">
        <v>299</v>
      </c>
      <c r="H6" s="7">
        <v>82</v>
      </c>
      <c r="I6" s="7">
        <v>8</v>
      </c>
      <c r="J6" s="7">
        <v>9</v>
      </c>
      <c r="K6" s="6">
        <v>0.08</v>
      </c>
      <c r="L6" s="7">
        <v>5</v>
      </c>
      <c r="M6" s="5">
        <v>14</v>
      </c>
      <c r="N6" s="5">
        <v>24</v>
      </c>
      <c r="O6" s="5">
        <v>12</v>
      </c>
      <c r="P6" s="9">
        <f t="shared" ref="P6:P37" si="0">IFERROR(IF(A6="","",IF(OR(COUNT(H6:J6)+COUNT(L6)&lt;4,H6&lt;0,I6&lt;0,J6&lt;0,L6&lt;0,ABS(H6)&gt;1000000000,ABS(I6)&gt;1000000000,ABS(J6)&gt;1000000000,ABS(L6)&gt;1000000000),"",SUM(H6:J6,L6))),"")</f>
        <v>104</v>
      </c>
      <c r="Q6" s="9">
        <f t="shared" ref="Q6:Q37" si="1">IF(T6&lt;&gt;"OK","",G6*(1-K6)-P6)</f>
        <v>171.07999999999998</v>
      </c>
      <c r="R6" s="10">
        <f t="shared" ref="R6:R37" si="2">IF(OR(G6="",G6=0,Q6=""),"",Q6/G6)</f>
        <v>0.5721739130434782</v>
      </c>
      <c r="S6" s="11">
        <f>IF(OR(T6&lt;&gt;"OK",P6="",K6="",CONFIG!$B$8="",CONFIG!$B$8&lt;0,CONFIG!$B$8&gt;=1),"",IF(1-K6-CONFIG!$B$8&lt;=0,"",ROUNDUP(ROUND(P6/(1-K6-CONFIG!$B$8),10),2)))</f>
        <v>221.28</v>
      </c>
      <c r="T6" s="3" t="str">
        <f t="shared" ref="T6:T37" si="3">IFERROR(IF(A6="","",IF(COUNTIF($A$6:$A$105,A6)&gt;1,"DUPLICADO SKU",IF(OR(B6="",C6="",F6="",G6="",K6="",M6="",N6="",O6=""),"FALTA CAMPO",IF(COUNT(H6:J6)+COUNT(L6)&lt;4,"COSTO INCOMPLETO",IF(OR(G6&lt;=0,H6&lt;0,I6&lt;0,J6&lt;0,L6&lt;0,ABS(G6)&gt;1000000000,ABS(H6)&gt;1000000000,ABS(I6)&gt;1000000000,ABS(J6)&gt;1000000000,ABS(L6)&gt;1000000000,ROUND(G6,2)&lt;&gt;G6,ROUND(H6,2)&lt;&gt;H6,ROUND(I6,2)&lt;&gt;I6,ROUND(J6,2)&lt;&gt;J6,ROUND(L6,2)&lt;&gt;L6,K6&lt;0,K6&gt;=1,M6&lt;0,M6&gt;3650,N6&lt;=0,N6&gt;1000000,O6&lt;=0,O6&gt;1000000),"REVISAR VALOR","OK"))))),"REVISAR VALOR")</f>
        <v>OK</v>
      </c>
      <c r="U6" s="12" t="str">
        <f>IF(A6="","",IF(OR(P6="",K6="",CONFIG!$B$8=""),"FALTA COSTO O SUPUESTO",IF(1-K6-CONFIG!$B$8&lt;=0,"MARGEN INVIABLE","CALCULADO")))</f>
        <v>CALCULADO</v>
      </c>
    </row>
    <row r="7" spans="1:21" x14ac:dyDescent="0.45">
      <c r="A7" s="8" t="s">
        <v>70</v>
      </c>
      <c r="B7" s="8" t="s">
        <v>65</v>
      </c>
      <c r="C7" s="8" t="s">
        <v>66</v>
      </c>
      <c r="D7" s="8" t="s">
        <v>71</v>
      </c>
      <c r="E7" s="8" t="s">
        <v>68</v>
      </c>
      <c r="F7" s="8" t="s">
        <v>69</v>
      </c>
      <c r="G7" s="7">
        <v>299</v>
      </c>
      <c r="H7" s="7">
        <v>82</v>
      </c>
      <c r="I7" s="7">
        <v>8</v>
      </c>
      <c r="J7" s="7">
        <v>9</v>
      </c>
      <c r="K7" s="6">
        <v>0.08</v>
      </c>
      <c r="L7" s="7">
        <v>5</v>
      </c>
      <c r="M7" s="5">
        <v>14</v>
      </c>
      <c r="N7" s="5">
        <v>24</v>
      </c>
      <c r="O7" s="5">
        <v>12</v>
      </c>
      <c r="P7" s="9">
        <f t="shared" si="0"/>
        <v>104</v>
      </c>
      <c r="Q7" s="9">
        <f t="shared" si="1"/>
        <v>171.07999999999998</v>
      </c>
      <c r="R7" s="10">
        <f t="shared" si="2"/>
        <v>0.5721739130434782</v>
      </c>
      <c r="S7" s="11">
        <f>IF(OR(T7&lt;&gt;"OK",P7="",K7="",CONFIG!$B$8="",CONFIG!$B$8&lt;0,CONFIG!$B$8&gt;=1),"",IF(1-K7-CONFIG!$B$8&lt;=0,"",ROUNDUP(ROUND(P7/(1-K7-CONFIG!$B$8),10),2)))</f>
        <v>221.28</v>
      </c>
      <c r="T7" s="3" t="str">
        <f t="shared" si="3"/>
        <v>OK</v>
      </c>
      <c r="U7" s="12" t="str">
        <f>IF(A7="","",IF(OR(P7="",K7="",CONFIG!$B$8=""),"FALTA COSTO O SUPUESTO",IF(1-K7-CONFIG!$B$8&lt;=0,"MARGEN INVIABLE","CALCULADO")))</f>
        <v>CALCULADO</v>
      </c>
    </row>
    <row r="8" spans="1:21" x14ac:dyDescent="0.45">
      <c r="A8" s="8" t="s">
        <v>72</v>
      </c>
      <c r="B8" s="8" t="s">
        <v>65</v>
      </c>
      <c r="C8" s="8" t="s">
        <v>66</v>
      </c>
      <c r="D8" s="8" t="s">
        <v>73</v>
      </c>
      <c r="E8" s="8" t="s">
        <v>68</v>
      </c>
      <c r="F8" s="8" t="s">
        <v>74</v>
      </c>
      <c r="G8" s="7">
        <v>299</v>
      </c>
      <c r="H8" s="7">
        <v>82</v>
      </c>
      <c r="I8" s="7">
        <v>8</v>
      </c>
      <c r="J8" s="7">
        <v>9</v>
      </c>
      <c r="K8" s="6">
        <v>0.08</v>
      </c>
      <c r="L8" s="7">
        <v>5</v>
      </c>
      <c r="M8" s="5">
        <v>14</v>
      </c>
      <c r="N8" s="5">
        <v>24</v>
      </c>
      <c r="O8" s="5">
        <v>12</v>
      </c>
      <c r="P8" s="9">
        <f t="shared" si="0"/>
        <v>104</v>
      </c>
      <c r="Q8" s="9">
        <f t="shared" si="1"/>
        <v>171.07999999999998</v>
      </c>
      <c r="R8" s="10">
        <f t="shared" si="2"/>
        <v>0.5721739130434782</v>
      </c>
      <c r="S8" s="11">
        <f>IF(OR(T8&lt;&gt;"OK",P8="",K8="",CONFIG!$B$8="",CONFIG!$B$8&lt;0,CONFIG!$B$8&gt;=1),"",IF(1-K8-CONFIG!$B$8&lt;=0,"",ROUNDUP(ROUND(P8/(1-K8-CONFIG!$B$8),10),2)))</f>
        <v>221.28</v>
      </c>
      <c r="T8" s="3" t="str">
        <f t="shared" si="3"/>
        <v>OK</v>
      </c>
      <c r="U8" s="12" t="str">
        <f>IF(A8="","",IF(OR(P8="",K8="",CONFIG!$B$8=""),"FALTA COSTO O SUPUESTO",IF(1-K8-CONFIG!$B$8&lt;=0,"MARGEN INVIABLE","CALCULADO")))</f>
        <v>CALCULADO</v>
      </c>
    </row>
    <row r="9" spans="1:21" x14ac:dyDescent="0.45">
      <c r="A9" s="8" t="s">
        <v>75</v>
      </c>
      <c r="B9" s="8" t="s">
        <v>65</v>
      </c>
      <c r="C9" s="8" t="s">
        <v>66</v>
      </c>
      <c r="D9" s="8" t="s">
        <v>76</v>
      </c>
      <c r="E9" s="8" t="s">
        <v>68</v>
      </c>
      <c r="F9" s="8" t="s">
        <v>69</v>
      </c>
      <c r="G9" s="7">
        <v>299</v>
      </c>
      <c r="H9" s="7"/>
      <c r="I9" s="7">
        <v>8</v>
      </c>
      <c r="J9" s="7">
        <v>9</v>
      </c>
      <c r="K9" s="6">
        <v>0.08</v>
      </c>
      <c r="L9" s="7">
        <v>5</v>
      </c>
      <c r="M9" s="5">
        <v>14</v>
      </c>
      <c r="N9" s="5">
        <v>24</v>
      </c>
      <c r="O9" s="5">
        <v>12</v>
      </c>
      <c r="P9" s="9" t="str">
        <f t="shared" si="0"/>
        <v/>
      </c>
      <c r="Q9" s="9" t="str">
        <f t="shared" si="1"/>
        <v/>
      </c>
      <c r="R9" s="10" t="str">
        <f t="shared" si="2"/>
        <v/>
      </c>
      <c r="S9" s="11" t="str">
        <f>IF(OR(T9&lt;&gt;"OK",P9="",K9="",CONFIG!$B$8="",CONFIG!$B$8&lt;0,CONFIG!$B$8&gt;=1),"",IF(1-K9-CONFIG!$B$8&lt;=0,"",ROUNDUP(ROUND(P9/(1-K9-CONFIG!$B$8),10),2)))</f>
        <v/>
      </c>
      <c r="T9" s="3" t="str">
        <f t="shared" si="3"/>
        <v>COSTO INCOMPLETO</v>
      </c>
      <c r="U9" s="12" t="str">
        <f>IF(A9="","",IF(OR(P9="",K9="",CONFIG!$B$8=""),"FALTA COSTO O SUPUESTO",IF(1-K9-CONFIG!$B$8&lt;=0,"MARGEN INVIABLE","CALCULADO")))</f>
        <v>FALTA COSTO O SUPUESTO</v>
      </c>
    </row>
    <row r="10" spans="1:21" x14ac:dyDescent="0.45">
      <c r="A10" s="8" t="s">
        <v>77</v>
      </c>
      <c r="B10" s="8" t="s">
        <v>65</v>
      </c>
      <c r="C10" s="8" t="s">
        <v>66</v>
      </c>
      <c r="D10" s="8" t="s">
        <v>78</v>
      </c>
      <c r="E10" s="8" t="s">
        <v>68</v>
      </c>
      <c r="F10" s="8" t="s">
        <v>69</v>
      </c>
      <c r="G10" s="7">
        <v>299</v>
      </c>
      <c r="H10" s="7">
        <v>82</v>
      </c>
      <c r="I10" s="7">
        <v>8</v>
      </c>
      <c r="J10" s="7">
        <v>9</v>
      </c>
      <c r="K10" s="6">
        <v>0.08</v>
      </c>
      <c r="L10" s="7">
        <v>5</v>
      </c>
      <c r="M10" s="5">
        <v>14</v>
      </c>
      <c r="N10" s="5">
        <v>24</v>
      </c>
      <c r="O10" s="5">
        <v>12</v>
      </c>
      <c r="P10" s="9">
        <f t="shared" si="0"/>
        <v>104</v>
      </c>
      <c r="Q10" s="9">
        <f t="shared" si="1"/>
        <v>171.07999999999998</v>
      </c>
      <c r="R10" s="10">
        <f t="shared" si="2"/>
        <v>0.5721739130434782</v>
      </c>
      <c r="S10" s="11">
        <f>IF(OR(T10&lt;&gt;"OK",P10="",K10="",CONFIG!$B$8="",CONFIG!$B$8&lt;0,CONFIG!$B$8&gt;=1),"",IF(1-K10-CONFIG!$B$8&lt;=0,"",ROUNDUP(ROUND(P10/(1-K10-CONFIG!$B$8),10),2)))</f>
        <v>221.28</v>
      </c>
      <c r="T10" s="3" t="str">
        <f t="shared" si="3"/>
        <v>OK</v>
      </c>
      <c r="U10" s="12" t="str">
        <f>IF(A10="","",IF(OR(P10="",K10="",CONFIG!$B$8=""),"FALTA COSTO O SUPUESTO",IF(1-K10-CONFIG!$B$8&lt;=0,"MARGEN INVIABLE","CALCULADO")))</f>
        <v>CALCULADO</v>
      </c>
    </row>
    <row r="11" spans="1:21" x14ac:dyDescent="0.45">
      <c r="A11" s="8" t="s">
        <v>79</v>
      </c>
      <c r="B11" s="8" t="s">
        <v>65</v>
      </c>
      <c r="C11" s="8" t="s">
        <v>66</v>
      </c>
      <c r="D11" s="8" t="s">
        <v>80</v>
      </c>
      <c r="E11" s="8" t="s">
        <v>68</v>
      </c>
      <c r="F11" s="8" t="s">
        <v>69</v>
      </c>
      <c r="G11" s="7">
        <v>299</v>
      </c>
      <c r="H11" s="7">
        <v>82</v>
      </c>
      <c r="I11" s="7">
        <v>8</v>
      </c>
      <c r="J11" s="7">
        <v>9</v>
      </c>
      <c r="K11" s="6">
        <v>0.08</v>
      </c>
      <c r="L11" s="7">
        <v>5</v>
      </c>
      <c r="M11" s="5">
        <v>14</v>
      </c>
      <c r="N11" s="5">
        <v>24</v>
      </c>
      <c r="O11" s="5">
        <v>12</v>
      </c>
      <c r="P11" s="9">
        <f t="shared" si="0"/>
        <v>104</v>
      </c>
      <c r="Q11" s="9">
        <f t="shared" si="1"/>
        <v>171.07999999999998</v>
      </c>
      <c r="R11" s="10">
        <f t="shared" si="2"/>
        <v>0.5721739130434782</v>
      </c>
      <c r="S11" s="11">
        <f>IF(OR(T11&lt;&gt;"OK",P11="",K11="",CONFIG!$B$8="",CONFIG!$B$8&lt;0,CONFIG!$B$8&gt;=1),"",IF(1-K11-CONFIG!$B$8&lt;=0,"",ROUNDUP(ROUND(P11/(1-K11-CONFIG!$B$8),10),2)))</f>
        <v>221.28</v>
      </c>
      <c r="T11" s="3" t="str">
        <f t="shared" si="3"/>
        <v>OK</v>
      </c>
      <c r="U11" s="12" t="str">
        <f>IF(A11="","",IF(OR(P11="",K11="",CONFIG!$B$8=""),"FALTA COSTO O SUPUESTO",IF(1-K11-CONFIG!$B$8&lt;=0,"MARGEN INVIABLE","CALCULADO")))</f>
        <v>CALCULADO</v>
      </c>
    </row>
    <row r="12" spans="1:21" x14ac:dyDescent="0.45">
      <c r="A12" s="8" t="s">
        <v>81</v>
      </c>
      <c r="B12" s="8" t="s">
        <v>65</v>
      </c>
      <c r="C12" s="8" t="s">
        <v>66</v>
      </c>
      <c r="D12" s="8" t="s">
        <v>82</v>
      </c>
      <c r="E12" s="8" t="s">
        <v>68</v>
      </c>
      <c r="F12" s="8" t="s">
        <v>69</v>
      </c>
      <c r="G12" s="7">
        <v>299</v>
      </c>
      <c r="H12" s="7">
        <v>82</v>
      </c>
      <c r="I12" s="7">
        <v>8</v>
      </c>
      <c r="J12" s="7">
        <v>9</v>
      </c>
      <c r="K12" s="6">
        <v>0.08</v>
      </c>
      <c r="L12" s="7">
        <v>5</v>
      </c>
      <c r="M12" s="5">
        <v>14</v>
      </c>
      <c r="N12" s="5">
        <v>24</v>
      </c>
      <c r="O12" s="5">
        <v>12</v>
      </c>
      <c r="P12" s="9">
        <f t="shared" si="0"/>
        <v>104</v>
      </c>
      <c r="Q12" s="9">
        <f t="shared" si="1"/>
        <v>171.07999999999998</v>
      </c>
      <c r="R12" s="10">
        <f t="shared" si="2"/>
        <v>0.5721739130434782</v>
      </c>
      <c r="S12" s="11">
        <f>IF(OR(T12&lt;&gt;"OK",P12="",K12="",CONFIG!$B$8="",CONFIG!$B$8&lt;0,CONFIG!$B$8&gt;=1),"",IF(1-K12-CONFIG!$B$8&lt;=0,"",ROUNDUP(ROUND(P12/(1-K12-CONFIG!$B$8),10),2)))</f>
        <v>221.28</v>
      </c>
      <c r="T12" s="3" t="str">
        <f t="shared" si="3"/>
        <v>OK</v>
      </c>
      <c r="U12" s="12" t="str">
        <f>IF(A12="","",IF(OR(P12="",K12="",CONFIG!$B$8=""),"FALTA COSTO O SUPUESTO",IF(1-K12-CONFIG!$B$8&lt;=0,"MARGEN INVIABLE","CALCULADO")))</f>
        <v>CALCULADO</v>
      </c>
    </row>
    <row r="13" spans="1:21" x14ac:dyDescent="0.45">
      <c r="A13" s="8" t="s">
        <v>83</v>
      </c>
      <c r="B13" s="8" t="s">
        <v>65</v>
      </c>
      <c r="C13" s="8" t="s">
        <v>66</v>
      </c>
      <c r="D13" s="8" t="s">
        <v>84</v>
      </c>
      <c r="E13" s="8" t="s">
        <v>68</v>
      </c>
      <c r="F13" s="8" t="s">
        <v>69</v>
      </c>
      <c r="G13" s="7">
        <v>299</v>
      </c>
      <c r="H13" s="7">
        <v>82</v>
      </c>
      <c r="I13" s="7">
        <v>8</v>
      </c>
      <c r="J13" s="7">
        <v>9</v>
      </c>
      <c r="K13" s="6">
        <v>0.08</v>
      </c>
      <c r="L13" s="7">
        <v>5</v>
      </c>
      <c r="M13" s="5">
        <v>14</v>
      </c>
      <c r="N13" s="5">
        <v>12</v>
      </c>
      <c r="O13" s="5">
        <v>6</v>
      </c>
      <c r="P13" s="9">
        <f t="shared" si="0"/>
        <v>104</v>
      </c>
      <c r="Q13" s="9">
        <f t="shared" si="1"/>
        <v>171.07999999999998</v>
      </c>
      <c r="R13" s="10">
        <f t="shared" si="2"/>
        <v>0.5721739130434782</v>
      </c>
      <c r="S13" s="11">
        <f>IF(OR(T13&lt;&gt;"OK",P13="",K13="",CONFIG!$B$8="",CONFIG!$B$8&lt;0,CONFIG!$B$8&gt;=1),"",IF(1-K13-CONFIG!$B$8&lt;=0,"",ROUNDUP(ROUND(P13/(1-K13-CONFIG!$B$8),10),2)))</f>
        <v>221.28</v>
      </c>
      <c r="T13" s="3" t="str">
        <f t="shared" si="3"/>
        <v>OK</v>
      </c>
      <c r="U13" s="12" t="str">
        <f>IF(A13="","",IF(OR(P13="",K13="",CONFIG!$B$8=""),"FALTA COSTO O SUPUESTO",IF(1-K13-CONFIG!$B$8&lt;=0,"MARGEN INVIABLE","CALCULADO")))</f>
        <v>CALCULADO</v>
      </c>
    </row>
    <row r="14" spans="1:21" x14ac:dyDescent="0.45">
      <c r="A14" s="8" t="s">
        <v>85</v>
      </c>
      <c r="B14" s="8" t="s">
        <v>86</v>
      </c>
      <c r="C14" s="8" t="s">
        <v>87</v>
      </c>
      <c r="D14" s="8" t="s">
        <v>67</v>
      </c>
      <c r="E14" s="8" t="s">
        <v>88</v>
      </c>
      <c r="F14" s="8" t="s">
        <v>69</v>
      </c>
      <c r="G14" s="7">
        <v>899</v>
      </c>
      <c r="H14" s="7">
        <v>330</v>
      </c>
      <c r="I14" s="7">
        <v>20</v>
      </c>
      <c r="J14" s="7">
        <v>18</v>
      </c>
      <c r="K14" s="6">
        <v>0.08</v>
      </c>
      <c r="L14" s="7">
        <v>12</v>
      </c>
      <c r="M14" s="5">
        <v>21</v>
      </c>
      <c r="N14" s="5">
        <v>12</v>
      </c>
      <c r="O14" s="5">
        <v>6</v>
      </c>
      <c r="P14" s="9">
        <f t="shared" si="0"/>
        <v>380</v>
      </c>
      <c r="Q14" s="9">
        <f t="shared" si="1"/>
        <v>447.08000000000004</v>
      </c>
      <c r="R14" s="10">
        <f t="shared" si="2"/>
        <v>0.49730812013348169</v>
      </c>
      <c r="S14" s="11">
        <f>IF(OR(T14&lt;&gt;"OK",P14="",K14="",CONFIG!$B$8="",CONFIG!$B$8&lt;0,CONFIG!$B$8&gt;=1),"",IF(1-K14-CONFIG!$B$8&lt;=0,"",ROUNDUP(ROUND(P14/(1-K14-CONFIG!$B$8),10),2)))</f>
        <v>808.52</v>
      </c>
      <c r="T14" s="3" t="str">
        <f t="shared" si="3"/>
        <v>OK</v>
      </c>
      <c r="U14" s="12" t="str">
        <f>IF(A14="","",IF(OR(P14="",K14="",CONFIG!$B$8=""),"FALTA COSTO O SUPUESTO",IF(1-K14-CONFIG!$B$8&lt;=0,"MARGEN INVIABLE","CALCULADO")))</f>
        <v>CALCULADO</v>
      </c>
    </row>
    <row r="15" spans="1:21" x14ac:dyDescent="0.45">
      <c r="A15" s="8" t="s">
        <v>89</v>
      </c>
      <c r="B15" s="8" t="s">
        <v>90</v>
      </c>
      <c r="C15" s="8" t="s">
        <v>87</v>
      </c>
      <c r="D15" s="8" t="s">
        <v>67</v>
      </c>
      <c r="E15" s="8" t="s">
        <v>91</v>
      </c>
      <c r="F15" s="8" t="s">
        <v>92</v>
      </c>
      <c r="G15" s="7">
        <v>1299</v>
      </c>
      <c r="H15" s="7">
        <v>470</v>
      </c>
      <c r="I15" s="7">
        <v>25</v>
      </c>
      <c r="J15" s="7">
        <v>20</v>
      </c>
      <c r="K15" s="6">
        <v>0.08</v>
      </c>
      <c r="L15" s="7">
        <v>15</v>
      </c>
      <c r="M15" s="5">
        <v>28</v>
      </c>
      <c r="N15" s="5">
        <v>12</v>
      </c>
      <c r="O15" s="5">
        <v>6</v>
      </c>
      <c r="P15" s="9">
        <f t="shared" si="0"/>
        <v>530</v>
      </c>
      <c r="Q15" s="9">
        <f t="shared" si="1"/>
        <v>665.08000000000015</v>
      </c>
      <c r="R15" s="10">
        <f t="shared" si="2"/>
        <v>0.5119938414164743</v>
      </c>
      <c r="S15" s="11">
        <f>IF(OR(T15&lt;&gt;"OK",P15="",K15="",CONFIG!$B$8="",CONFIG!$B$8&lt;0,CONFIG!$B$8&gt;=1),"",IF(1-K15-CONFIG!$B$8&lt;=0,"",ROUNDUP(ROUND(P15/(1-K15-CONFIG!$B$8),10),2)))</f>
        <v>1127.6600000000001</v>
      </c>
      <c r="T15" s="3" t="str">
        <f t="shared" si="3"/>
        <v>OK</v>
      </c>
      <c r="U15" s="12" t="str">
        <f>IF(A15="","",IF(OR(P15="",K15="",CONFIG!$B$8=""),"FALTA COSTO O SUPUESTO",IF(1-K15-CONFIG!$B$8&lt;=0,"MARGEN INVIABLE","CALCULADO")))</f>
        <v>CALCULADO</v>
      </c>
    </row>
    <row r="16" spans="1:21" x14ac:dyDescent="0.45">
      <c r="A16" s="8"/>
      <c r="B16" s="8"/>
      <c r="C16" s="8"/>
      <c r="D16" s="8"/>
      <c r="E16" s="8"/>
      <c r="F16" s="8"/>
      <c r="G16" s="7"/>
      <c r="H16" s="7"/>
      <c r="I16" s="7"/>
      <c r="J16" s="7"/>
      <c r="K16" s="6"/>
      <c r="L16" s="7"/>
      <c r="M16" s="5"/>
      <c r="N16" s="5"/>
      <c r="O16" s="5"/>
      <c r="P16" s="9" t="str">
        <f t="shared" si="0"/>
        <v/>
      </c>
      <c r="Q16" s="9" t="str">
        <f t="shared" si="1"/>
        <v/>
      </c>
      <c r="R16" s="10" t="str">
        <f t="shared" si="2"/>
        <v/>
      </c>
      <c r="S16" s="11" t="str">
        <f>IF(OR(T16&lt;&gt;"OK",P16="",K16="",CONFIG!$B$8="",CONFIG!$B$8&lt;0,CONFIG!$B$8&gt;=1),"",IF(1-K16-CONFIG!$B$8&lt;=0,"",ROUNDUP(ROUND(P16/(1-K16-CONFIG!$B$8),10),2)))</f>
        <v/>
      </c>
      <c r="T16" s="3" t="str">
        <f t="shared" si="3"/>
        <v/>
      </c>
      <c r="U16" s="12" t="str">
        <f>IF(A16="","",IF(OR(P16="",K16="",CONFIG!$B$8=""),"FALTA COSTO O SUPUESTO",IF(1-K16-CONFIG!$B$8&lt;=0,"MARGEN INVIABLE","CALCULADO")))</f>
        <v/>
      </c>
    </row>
    <row r="17" spans="1:21" x14ac:dyDescent="0.45">
      <c r="A17" s="8"/>
      <c r="B17" s="8"/>
      <c r="C17" s="8"/>
      <c r="D17" s="8"/>
      <c r="E17" s="8"/>
      <c r="F17" s="8"/>
      <c r="G17" s="7"/>
      <c r="H17" s="7"/>
      <c r="I17" s="7"/>
      <c r="J17" s="7"/>
      <c r="K17" s="6"/>
      <c r="L17" s="7"/>
      <c r="M17" s="5"/>
      <c r="N17" s="5"/>
      <c r="O17" s="5"/>
      <c r="P17" s="9" t="str">
        <f t="shared" si="0"/>
        <v/>
      </c>
      <c r="Q17" s="9" t="str">
        <f t="shared" si="1"/>
        <v/>
      </c>
      <c r="R17" s="10" t="str">
        <f t="shared" si="2"/>
        <v/>
      </c>
      <c r="S17" s="11" t="str">
        <f>IF(OR(T17&lt;&gt;"OK",P17="",K17="",CONFIG!$B$8="",CONFIG!$B$8&lt;0,CONFIG!$B$8&gt;=1),"",IF(1-K17-CONFIG!$B$8&lt;=0,"",ROUNDUP(ROUND(P17/(1-K17-CONFIG!$B$8),10),2)))</f>
        <v/>
      </c>
      <c r="T17" s="3" t="str">
        <f t="shared" si="3"/>
        <v/>
      </c>
      <c r="U17" s="12" t="str">
        <f>IF(A17="","",IF(OR(P17="",K17="",CONFIG!$B$8=""),"FALTA COSTO O SUPUESTO",IF(1-K17-CONFIG!$B$8&lt;=0,"MARGEN INVIABLE","CALCULADO")))</f>
        <v/>
      </c>
    </row>
    <row r="18" spans="1:21" x14ac:dyDescent="0.45">
      <c r="A18" s="8"/>
      <c r="B18" s="8"/>
      <c r="C18" s="8"/>
      <c r="D18" s="8"/>
      <c r="E18" s="8"/>
      <c r="F18" s="8"/>
      <c r="G18" s="7"/>
      <c r="H18" s="7"/>
      <c r="I18" s="7"/>
      <c r="J18" s="7"/>
      <c r="K18" s="6"/>
      <c r="L18" s="7"/>
      <c r="M18" s="5"/>
      <c r="N18" s="5"/>
      <c r="O18" s="5"/>
      <c r="P18" s="9" t="str">
        <f t="shared" si="0"/>
        <v/>
      </c>
      <c r="Q18" s="9" t="str">
        <f t="shared" si="1"/>
        <v/>
      </c>
      <c r="R18" s="10" t="str">
        <f t="shared" si="2"/>
        <v/>
      </c>
      <c r="S18" s="11" t="str">
        <f>IF(OR(T18&lt;&gt;"OK",P18="",K18="",CONFIG!$B$8="",CONFIG!$B$8&lt;0,CONFIG!$B$8&gt;=1),"",IF(1-K18-CONFIG!$B$8&lt;=0,"",ROUNDUP(ROUND(P18/(1-K18-CONFIG!$B$8),10),2)))</f>
        <v/>
      </c>
      <c r="T18" s="3" t="str">
        <f t="shared" si="3"/>
        <v/>
      </c>
      <c r="U18" s="12" t="str">
        <f>IF(A18="","",IF(OR(P18="",K18="",CONFIG!$B$8=""),"FALTA COSTO O SUPUESTO",IF(1-K18-CONFIG!$B$8&lt;=0,"MARGEN INVIABLE","CALCULADO")))</f>
        <v/>
      </c>
    </row>
    <row r="19" spans="1:21" x14ac:dyDescent="0.45">
      <c r="A19" s="8"/>
      <c r="B19" s="8"/>
      <c r="C19" s="8"/>
      <c r="D19" s="8"/>
      <c r="E19" s="8"/>
      <c r="F19" s="8"/>
      <c r="G19" s="7"/>
      <c r="H19" s="7"/>
      <c r="I19" s="7"/>
      <c r="J19" s="7"/>
      <c r="K19" s="6"/>
      <c r="L19" s="7"/>
      <c r="M19" s="5"/>
      <c r="N19" s="5"/>
      <c r="O19" s="5"/>
      <c r="P19" s="9" t="str">
        <f t="shared" si="0"/>
        <v/>
      </c>
      <c r="Q19" s="9" t="str">
        <f t="shared" si="1"/>
        <v/>
      </c>
      <c r="R19" s="10" t="str">
        <f t="shared" si="2"/>
        <v/>
      </c>
      <c r="S19" s="11" t="str">
        <f>IF(OR(T19&lt;&gt;"OK",P19="",K19="",CONFIG!$B$8="",CONFIG!$B$8&lt;0,CONFIG!$B$8&gt;=1),"",IF(1-K19-CONFIG!$B$8&lt;=0,"",ROUNDUP(ROUND(P19/(1-K19-CONFIG!$B$8),10),2)))</f>
        <v/>
      </c>
      <c r="T19" s="3" t="str">
        <f t="shared" si="3"/>
        <v/>
      </c>
      <c r="U19" s="12" t="str">
        <f>IF(A19="","",IF(OR(P19="",K19="",CONFIG!$B$8=""),"FALTA COSTO O SUPUESTO",IF(1-K19-CONFIG!$B$8&lt;=0,"MARGEN INVIABLE","CALCULADO")))</f>
        <v/>
      </c>
    </row>
    <row r="20" spans="1:21" x14ac:dyDescent="0.45">
      <c r="A20" s="8"/>
      <c r="B20" s="8"/>
      <c r="C20" s="8"/>
      <c r="D20" s="8"/>
      <c r="E20" s="8"/>
      <c r="F20" s="8"/>
      <c r="G20" s="7"/>
      <c r="H20" s="7"/>
      <c r="I20" s="7"/>
      <c r="J20" s="7"/>
      <c r="K20" s="6"/>
      <c r="L20" s="7"/>
      <c r="M20" s="5"/>
      <c r="N20" s="5"/>
      <c r="O20" s="5"/>
      <c r="P20" s="9" t="str">
        <f t="shared" si="0"/>
        <v/>
      </c>
      <c r="Q20" s="9" t="str">
        <f t="shared" si="1"/>
        <v/>
      </c>
      <c r="R20" s="10" t="str">
        <f t="shared" si="2"/>
        <v/>
      </c>
      <c r="S20" s="11" t="str">
        <f>IF(OR(T20&lt;&gt;"OK",P20="",K20="",CONFIG!$B$8="",CONFIG!$B$8&lt;0,CONFIG!$B$8&gt;=1),"",IF(1-K20-CONFIG!$B$8&lt;=0,"",ROUNDUP(ROUND(P20/(1-K20-CONFIG!$B$8),10),2)))</f>
        <v/>
      </c>
      <c r="T20" s="3" t="str">
        <f t="shared" si="3"/>
        <v/>
      </c>
      <c r="U20" s="12" t="str">
        <f>IF(A20="","",IF(OR(P20="",K20="",CONFIG!$B$8=""),"FALTA COSTO O SUPUESTO",IF(1-K20-CONFIG!$B$8&lt;=0,"MARGEN INVIABLE","CALCULADO")))</f>
        <v/>
      </c>
    </row>
    <row r="21" spans="1:21" x14ac:dyDescent="0.45">
      <c r="A21" s="8"/>
      <c r="B21" s="8"/>
      <c r="C21" s="8"/>
      <c r="D21" s="8"/>
      <c r="E21" s="8"/>
      <c r="F21" s="8"/>
      <c r="G21" s="7"/>
      <c r="H21" s="7"/>
      <c r="I21" s="7"/>
      <c r="J21" s="7"/>
      <c r="K21" s="6"/>
      <c r="L21" s="7"/>
      <c r="M21" s="5"/>
      <c r="N21" s="5"/>
      <c r="O21" s="5"/>
      <c r="P21" s="9" t="str">
        <f t="shared" si="0"/>
        <v/>
      </c>
      <c r="Q21" s="9" t="str">
        <f t="shared" si="1"/>
        <v/>
      </c>
      <c r="R21" s="10" t="str">
        <f t="shared" si="2"/>
        <v/>
      </c>
      <c r="S21" s="11" t="str">
        <f>IF(OR(T21&lt;&gt;"OK",P21="",K21="",CONFIG!$B$8="",CONFIG!$B$8&lt;0,CONFIG!$B$8&gt;=1),"",IF(1-K21-CONFIG!$B$8&lt;=0,"",ROUNDUP(ROUND(P21/(1-K21-CONFIG!$B$8),10),2)))</f>
        <v/>
      </c>
      <c r="T21" s="3" t="str">
        <f t="shared" si="3"/>
        <v/>
      </c>
      <c r="U21" s="12" t="str">
        <f>IF(A21="","",IF(OR(P21="",K21="",CONFIG!$B$8=""),"FALTA COSTO O SUPUESTO",IF(1-K21-CONFIG!$B$8&lt;=0,"MARGEN INVIABLE","CALCULADO")))</f>
        <v/>
      </c>
    </row>
    <row r="22" spans="1:21" x14ac:dyDescent="0.45">
      <c r="A22" s="8"/>
      <c r="B22" s="8"/>
      <c r="C22" s="8"/>
      <c r="D22" s="8"/>
      <c r="E22" s="8"/>
      <c r="F22" s="8"/>
      <c r="G22" s="7"/>
      <c r="H22" s="7"/>
      <c r="I22" s="7"/>
      <c r="J22" s="7"/>
      <c r="K22" s="6"/>
      <c r="L22" s="7"/>
      <c r="M22" s="5"/>
      <c r="N22" s="5"/>
      <c r="O22" s="5"/>
      <c r="P22" s="9" t="str">
        <f t="shared" si="0"/>
        <v/>
      </c>
      <c r="Q22" s="9" t="str">
        <f t="shared" si="1"/>
        <v/>
      </c>
      <c r="R22" s="10" t="str">
        <f t="shared" si="2"/>
        <v/>
      </c>
      <c r="S22" s="11" t="str">
        <f>IF(OR(T22&lt;&gt;"OK",P22="",K22="",CONFIG!$B$8="",CONFIG!$B$8&lt;0,CONFIG!$B$8&gt;=1),"",IF(1-K22-CONFIG!$B$8&lt;=0,"",ROUNDUP(ROUND(P22/(1-K22-CONFIG!$B$8),10),2)))</f>
        <v/>
      </c>
      <c r="T22" s="3" t="str">
        <f t="shared" si="3"/>
        <v/>
      </c>
      <c r="U22" s="12" t="str">
        <f>IF(A22="","",IF(OR(P22="",K22="",CONFIG!$B$8=""),"FALTA COSTO O SUPUESTO",IF(1-K22-CONFIG!$B$8&lt;=0,"MARGEN INVIABLE","CALCULADO")))</f>
        <v/>
      </c>
    </row>
    <row r="23" spans="1:21" x14ac:dyDescent="0.45">
      <c r="A23" s="8"/>
      <c r="B23" s="8"/>
      <c r="C23" s="8"/>
      <c r="D23" s="8"/>
      <c r="E23" s="8"/>
      <c r="F23" s="8"/>
      <c r="G23" s="7"/>
      <c r="H23" s="7"/>
      <c r="I23" s="7"/>
      <c r="J23" s="7"/>
      <c r="K23" s="6"/>
      <c r="L23" s="7"/>
      <c r="M23" s="5"/>
      <c r="N23" s="5"/>
      <c r="O23" s="5"/>
      <c r="P23" s="9" t="str">
        <f t="shared" si="0"/>
        <v/>
      </c>
      <c r="Q23" s="9" t="str">
        <f t="shared" si="1"/>
        <v/>
      </c>
      <c r="R23" s="10" t="str">
        <f t="shared" si="2"/>
        <v/>
      </c>
      <c r="S23" s="11" t="str">
        <f>IF(OR(T23&lt;&gt;"OK",P23="",K23="",CONFIG!$B$8="",CONFIG!$B$8&lt;0,CONFIG!$B$8&gt;=1),"",IF(1-K23-CONFIG!$B$8&lt;=0,"",ROUNDUP(ROUND(P23/(1-K23-CONFIG!$B$8),10),2)))</f>
        <v/>
      </c>
      <c r="T23" s="3" t="str">
        <f t="shared" si="3"/>
        <v/>
      </c>
      <c r="U23" s="12" t="str">
        <f>IF(A23="","",IF(OR(P23="",K23="",CONFIG!$B$8=""),"FALTA COSTO O SUPUESTO",IF(1-K23-CONFIG!$B$8&lt;=0,"MARGEN INVIABLE","CALCULADO")))</f>
        <v/>
      </c>
    </row>
    <row r="24" spans="1:21" x14ac:dyDescent="0.45">
      <c r="A24" s="8"/>
      <c r="B24" s="8"/>
      <c r="C24" s="8"/>
      <c r="D24" s="8"/>
      <c r="E24" s="8"/>
      <c r="F24" s="8"/>
      <c r="G24" s="7"/>
      <c r="H24" s="7"/>
      <c r="I24" s="7"/>
      <c r="J24" s="7"/>
      <c r="K24" s="6"/>
      <c r="L24" s="7"/>
      <c r="M24" s="5"/>
      <c r="N24" s="5"/>
      <c r="O24" s="5"/>
      <c r="P24" s="9" t="str">
        <f t="shared" si="0"/>
        <v/>
      </c>
      <c r="Q24" s="9" t="str">
        <f t="shared" si="1"/>
        <v/>
      </c>
      <c r="R24" s="10" t="str">
        <f t="shared" si="2"/>
        <v/>
      </c>
      <c r="S24" s="11" t="str">
        <f>IF(OR(T24&lt;&gt;"OK",P24="",K24="",CONFIG!$B$8="",CONFIG!$B$8&lt;0,CONFIG!$B$8&gt;=1),"",IF(1-K24-CONFIG!$B$8&lt;=0,"",ROUNDUP(ROUND(P24/(1-K24-CONFIG!$B$8),10),2)))</f>
        <v/>
      </c>
      <c r="T24" s="3" t="str">
        <f t="shared" si="3"/>
        <v/>
      </c>
      <c r="U24" s="12" t="str">
        <f>IF(A24="","",IF(OR(P24="",K24="",CONFIG!$B$8=""),"FALTA COSTO O SUPUESTO",IF(1-K24-CONFIG!$B$8&lt;=0,"MARGEN INVIABLE","CALCULADO")))</f>
        <v/>
      </c>
    </row>
    <row r="25" spans="1:21" x14ac:dyDescent="0.45">
      <c r="A25" s="8"/>
      <c r="B25" s="8"/>
      <c r="C25" s="8"/>
      <c r="D25" s="8"/>
      <c r="E25" s="8"/>
      <c r="F25" s="8"/>
      <c r="G25" s="7"/>
      <c r="H25" s="7"/>
      <c r="I25" s="7"/>
      <c r="J25" s="7"/>
      <c r="K25" s="6"/>
      <c r="L25" s="7"/>
      <c r="M25" s="5"/>
      <c r="N25" s="5"/>
      <c r="O25" s="5"/>
      <c r="P25" s="9" t="str">
        <f t="shared" si="0"/>
        <v/>
      </c>
      <c r="Q25" s="9" t="str">
        <f t="shared" si="1"/>
        <v/>
      </c>
      <c r="R25" s="10" t="str">
        <f t="shared" si="2"/>
        <v/>
      </c>
      <c r="S25" s="11" t="str">
        <f>IF(OR(T25&lt;&gt;"OK",P25="",K25="",CONFIG!$B$8="",CONFIG!$B$8&lt;0,CONFIG!$B$8&gt;=1),"",IF(1-K25-CONFIG!$B$8&lt;=0,"",ROUNDUP(ROUND(P25/(1-K25-CONFIG!$B$8),10),2)))</f>
        <v/>
      </c>
      <c r="T25" s="3" t="str">
        <f t="shared" si="3"/>
        <v/>
      </c>
      <c r="U25" s="12" t="str">
        <f>IF(A25="","",IF(OR(P25="",K25="",CONFIG!$B$8=""),"FALTA COSTO O SUPUESTO",IF(1-K25-CONFIG!$B$8&lt;=0,"MARGEN INVIABLE","CALCULADO")))</f>
        <v/>
      </c>
    </row>
    <row r="26" spans="1:21" x14ac:dyDescent="0.45">
      <c r="A26" s="8"/>
      <c r="B26" s="8"/>
      <c r="C26" s="8"/>
      <c r="D26" s="8"/>
      <c r="E26" s="8"/>
      <c r="F26" s="8"/>
      <c r="G26" s="7"/>
      <c r="H26" s="7"/>
      <c r="I26" s="7"/>
      <c r="J26" s="7"/>
      <c r="K26" s="6"/>
      <c r="L26" s="7"/>
      <c r="M26" s="5"/>
      <c r="N26" s="5"/>
      <c r="O26" s="5"/>
      <c r="P26" s="9" t="str">
        <f t="shared" si="0"/>
        <v/>
      </c>
      <c r="Q26" s="9" t="str">
        <f t="shared" si="1"/>
        <v/>
      </c>
      <c r="R26" s="10" t="str">
        <f t="shared" si="2"/>
        <v/>
      </c>
      <c r="S26" s="11" t="str">
        <f>IF(OR(T26&lt;&gt;"OK",P26="",K26="",CONFIG!$B$8="",CONFIG!$B$8&lt;0,CONFIG!$B$8&gt;=1),"",IF(1-K26-CONFIG!$B$8&lt;=0,"",ROUNDUP(ROUND(P26/(1-K26-CONFIG!$B$8),10),2)))</f>
        <v/>
      </c>
      <c r="T26" s="3" t="str">
        <f t="shared" si="3"/>
        <v/>
      </c>
      <c r="U26" s="12" t="str">
        <f>IF(A26="","",IF(OR(P26="",K26="",CONFIG!$B$8=""),"FALTA COSTO O SUPUESTO",IF(1-K26-CONFIG!$B$8&lt;=0,"MARGEN INVIABLE","CALCULADO")))</f>
        <v/>
      </c>
    </row>
    <row r="27" spans="1:21" x14ac:dyDescent="0.45">
      <c r="A27" s="8"/>
      <c r="B27" s="8"/>
      <c r="C27" s="8"/>
      <c r="D27" s="8"/>
      <c r="E27" s="8"/>
      <c r="F27" s="8"/>
      <c r="G27" s="7"/>
      <c r="H27" s="7"/>
      <c r="I27" s="7"/>
      <c r="J27" s="7"/>
      <c r="K27" s="6"/>
      <c r="L27" s="7"/>
      <c r="M27" s="5"/>
      <c r="N27" s="5"/>
      <c r="O27" s="5"/>
      <c r="P27" s="9" t="str">
        <f t="shared" si="0"/>
        <v/>
      </c>
      <c r="Q27" s="9" t="str">
        <f t="shared" si="1"/>
        <v/>
      </c>
      <c r="R27" s="10" t="str">
        <f t="shared" si="2"/>
        <v/>
      </c>
      <c r="S27" s="11" t="str">
        <f>IF(OR(T27&lt;&gt;"OK",P27="",K27="",CONFIG!$B$8="",CONFIG!$B$8&lt;0,CONFIG!$B$8&gt;=1),"",IF(1-K27-CONFIG!$B$8&lt;=0,"",ROUNDUP(ROUND(P27/(1-K27-CONFIG!$B$8),10),2)))</f>
        <v/>
      </c>
      <c r="T27" s="3" t="str">
        <f t="shared" si="3"/>
        <v/>
      </c>
      <c r="U27" s="12" t="str">
        <f>IF(A27="","",IF(OR(P27="",K27="",CONFIG!$B$8=""),"FALTA COSTO O SUPUESTO",IF(1-K27-CONFIG!$B$8&lt;=0,"MARGEN INVIABLE","CALCULADO")))</f>
        <v/>
      </c>
    </row>
    <row r="28" spans="1:21" x14ac:dyDescent="0.45">
      <c r="A28" s="8"/>
      <c r="B28" s="8"/>
      <c r="C28" s="8"/>
      <c r="D28" s="8"/>
      <c r="E28" s="8"/>
      <c r="F28" s="8"/>
      <c r="G28" s="7"/>
      <c r="H28" s="7"/>
      <c r="I28" s="7"/>
      <c r="J28" s="7"/>
      <c r="K28" s="6"/>
      <c r="L28" s="7"/>
      <c r="M28" s="5"/>
      <c r="N28" s="5"/>
      <c r="O28" s="5"/>
      <c r="P28" s="9" t="str">
        <f t="shared" si="0"/>
        <v/>
      </c>
      <c r="Q28" s="9" t="str">
        <f t="shared" si="1"/>
        <v/>
      </c>
      <c r="R28" s="10" t="str">
        <f t="shared" si="2"/>
        <v/>
      </c>
      <c r="S28" s="11" t="str">
        <f>IF(OR(T28&lt;&gt;"OK",P28="",K28="",CONFIG!$B$8="",CONFIG!$B$8&lt;0,CONFIG!$B$8&gt;=1),"",IF(1-K28-CONFIG!$B$8&lt;=0,"",ROUNDUP(ROUND(P28/(1-K28-CONFIG!$B$8),10),2)))</f>
        <v/>
      </c>
      <c r="T28" s="3" t="str">
        <f t="shared" si="3"/>
        <v/>
      </c>
      <c r="U28" s="12" t="str">
        <f>IF(A28="","",IF(OR(P28="",K28="",CONFIG!$B$8=""),"FALTA COSTO O SUPUESTO",IF(1-K28-CONFIG!$B$8&lt;=0,"MARGEN INVIABLE","CALCULADO")))</f>
        <v/>
      </c>
    </row>
    <row r="29" spans="1:21" x14ac:dyDescent="0.45">
      <c r="A29" s="8"/>
      <c r="B29" s="8"/>
      <c r="C29" s="8"/>
      <c r="D29" s="8"/>
      <c r="E29" s="8"/>
      <c r="F29" s="8"/>
      <c r="G29" s="7"/>
      <c r="H29" s="7"/>
      <c r="I29" s="7"/>
      <c r="J29" s="7"/>
      <c r="K29" s="6"/>
      <c r="L29" s="7"/>
      <c r="M29" s="5"/>
      <c r="N29" s="5"/>
      <c r="O29" s="5"/>
      <c r="P29" s="9" t="str">
        <f t="shared" si="0"/>
        <v/>
      </c>
      <c r="Q29" s="9" t="str">
        <f t="shared" si="1"/>
        <v/>
      </c>
      <c r="R29" s="10" t="str">
        <f t="shared" si="2"/>
        <v/>
      </c>
      <c r="S29" s="11" t="str">
        <f>IF(OR(T29&lt;&gt;"OK",P29="",K29="",CONFIG!$B$8="",CONFIG!$B$8&lt;0,CONFIG!$B$8&gt;=1),"",IF(1-K29-CONFIG!$B$8&lt;=0,"",ROUNDUP(ROUND(P29/(1-K29-CONFIG!$B$8),10),2)))</f>
        <v/>
      </c>
      <c r="T29" s="3" t="str">
        <f t="shared" si="3"/>
        <v/>
      </c>
      <c r="U29" s="12" t="str">
        <f>IF(A29="","",IF(OR(P29="",K29="",CONFIG!$B$8=""),"FALTA COSTO O SUPUESTO",IF(1-K29-CONFIG!$B$8&lt;=0,"MARGEN INVIABLE","CALCULADO")))</f>
        <v/>
      </c>
    </row>
    <row r="30" spans="1:21" x14ac:dyDescent="0.45">
      <c r="A30" s="8"/>
      <c r="B30" s="8"/>
      <c r="C30" s="8"/>
      <c r="D30" s="8"/>
      <c r="E30" s="8"/>
      <c r="F30" s="8"/>
      <c r="G30" s="7"/>
      <c r="H30" s="7"/>
      <c r="I30" s="7"/>
      <c r="J30" s="7"/>
      <c r="K30" s="6"/>
      <c r="L30" s="7"/>
      <c r="M30" s="5"/>
      <c r="N30" s="5"/>
      <c r="O30" s="5"/>
      <c r="P30" s="9" t="str">
        <f t="shared" si="0"/>
        <v/>
      </c>
      <c r="Q30" s="9" t="str">
        <f t="shared" si="1"/>
        <v/>
      </c>
      <c r="R30" s="10" t="str">
        <f t="shared" si="2"/>
        <v/>
      </c>
      <c r="S30" s="11" t="str">
        <f>IF(OR(T30&lt;&gt;"OK",P30="",K30="",CONFIG!$B$8="",CONFIG!$B$8&lt;0,CONFIG!$B$8&gt;=1),"",IF(1-K30-CONFIG!$B$8&lt;=0,"",ROUNDUP(ROUND(P30/(1-K30-CONFIG!$B$8),10),2)))</f>
        <v/>
      </c>
      <c r="T30" s="3" t="str">
        <f t="shared" si="3"/>
        <v/>
      </c>
      <c r="U30" s="12" t="str">
        <f>IF(A30="","",IF(OR(P30="",K30="",CONFIG!$B$8=""),"FALTA COSTO O SUPUESTO",IF(1-K30-CONFIG!$B$8&lt;=0,"MARGEN INVIABLE","CALCULADO")))</f>
        <v/>
      </c>
    </row>
    <row r="31" spans="1:21" x14ac:dyDescent="0.45">
      <c r="A31" s="8"/>
      <c r="B31" s="8"/>
      <c r="C31" s="8"/>
      <c r="D31" s="8"/>
      <c r="E31" s="8"/>
      <c r="F31" s="8"/>
      <c r="G31" s="7"/>
      <c r="H31" s="7"/>
      <c r="I31" s="7"/>
      <c r="J31" s="7"/>
      <c r="K31" s="6"/>
      <c r="L31" s="7"/>
      <c r="M31" s="5"/>
      <c r="N31" s="5"/>
      <c r="O31" s="5"/>
      <c r="P31" s="9" t="str">
        <f t="shared" si="0"/>
        <v/>
      </c>
      <c r="Q31" s="9" t="str">
        <f t="shared" si="1"/>
        <v/>
      </c>
      <c r="R31" s="10" t="str">
        <f t="shared" si="2"/>
        <v/>
      </c>
      <c r="S31" s="11" t="str">
        <f>IF(OR(T31&lt;&gt;"OK",P31="",K31="",CONFIG!$B$8="",CONFIG!$B$8&lt;0,CONFIG!$B$8&gt;=1),"",IF(1-K31-CONFIG!$B$8&lt;=0,"",ROUNDUP(ROUND(P31/(1-K31-CONFIG!$B$8),10),2)))</f>
        <v/>
      </c>
      <c r="T31" s="3" t="str">
        <f t="shared" si="3"/>
        <v/>
      </c>
      <c r="U31" s="12" t="str">
        <f>IF(A31="","",IF(OR(P31="",K31="",CONFIG!$B$8=""),"FALTA COSTO O SUPUESTO",IF(1-K31-CONFIG!$B$8&lt;=0,"MARGEN INVIABLE","CALCULADO")))</f>
        <v/>
      </c>
    </row>
    <row r="32" spans="1:21" x14ac:dyDescent="0.45">
      <c r="A32" s="8"/>
      <c r="B32" s="8"/>
      <c r="C32" s="8"/>
      <c r="D32" s="8"/>
      <c r="E32" s="8"/>
      <c r="F32" s="8"/>
      <c r="G32" s="7"/>
      <c r="H32" s="7"/>
      <c r="I32" s="7"/>
      <c r="J32" s="7"/>
      <c r="K32" s="6"/>
      <c r="L32" s="7"/>
      <c r="M32" s="5"/>
      <c r="N32" s="5"/>
      <c r="O32" s="5"/>
      <c r="P32" s="9" t="str">
        <f t="shared" si="0"/>
        <v/>
      </c>
      <c r="Q32" s="9" t="str">
        <f t="shared" si="1"/>
        <v/>
      </c>
      <c r="R32" s="10" t="str">
        <f t="shared" si="2"/>
        <v/>
      </c>
      <c r="S32" s="11" t="str">
        <f>IF(OR(T32&lt;&gt;"OK",P32="",K32="",CONFIG!$B$8="",CONFIG!$B$8&lt;0,CONFIG!$B$8&gt;=1),"",IF(1-K32-CONFIG!$B$8&lt;=0,"",ROUNDUP(ROUND(P32/(1-K32-CONFIG!$B$8),10),2)))</f>
        <v/>
      </c>
      <c r="T32" s="3" t="str">
        <f t="shared" si="3"/>
        <v/>
      </c>
      <c r="U32" s="12" t="str">
        <f>IF(A32="","",IF(OR(P32="",K32="",CONFIG!$B$8=""),"FALTA COSTO O SUPUESTO",IF(1-K32-CONFIG!$B$8&lt;=0,"MARGEN INVIABLE","CALCULADO")))</f>
        <v/>
      </c>
    </row>
    <row r="33" spans="1:21" x14ac:dyDescent="0.45">
      <c r="A33" s="8"/>
      <c r="B33" s="8"/>
      <c r="C33" s="8"/>
      <c r="D33" s="8"/>
      <c r="E33" s="8"/>
      <c r="F33" s="8"/>
      <c r="G33" s="7"/>
      <c r="H33" s="7"/>
      <c r="I33" s="7"/>
      <c r="J33" s="7"/>
      <c r="K33" s="6"/>
      <c r="L33" s="7"/>
      <c r="M33" s="5"/>
      <c r="N33" s="5"/>
      <c r="O33" s="5"/>
      <c r="P33" s="9" t="str">
        <f t="shared" si="0"/>
        <v/>
      </c>
      <c r="Q33" s="9" t="str">
        <f t="shared" si="1"/>
        <v/>
      </c>
      <c r="R33" s="10" t="str">
        <f t="shared" si="2"/>
        <v/>
      </c>
      <c r="S33" s="11" t="str">
        <f>IF(OR(T33&lt;&gt;"OK",P33="",K33="",CONFIG!$B$8="",CONFIG!$B$8&lt;0,CONFIG!$B$8&gt;=1),"",IF(1-K33-CONFIG!$B$8&lt;=0,"",ROUNDUP(ROUND(P33/(1-K33-CONFIG!$B$8),10),2)))</f>
        <v/>
      </c>
      <c r="T33" s="3" t="str">
        <f t="shared" si="3"/>
        <v/>
      </c>
      <c r="U33" s="12" t="str">
        <f>IF(A33="","",IF(OR(P33="",K33="",CONFIG!$B$8=""),"FALTA COSTO O SUPUESTO",IF(1-K33-CONFIG!$B$8&lt;=0,"MARGEN INVIABLE","CALCULADO")))</f>
        <v/>
      </c>
    </row>
    <row r="34" spans="1:21" x14ac:dyDescent="0.45">
      <c r="A34" s="8"/>
      <c r="B34" s="8"/>
      <c r="C34" s="8"/>
      <c r="D34" s="8"/>
      <c r="E34" s="8"/>
      <c r="F34" s="8"/>
      <c r="G34" s="7"/>
      <c r="H34" s="7"/>
      <c r="I34" s="7"/>
      <c r="J34" s="7"/>
      <c r="K34" s="6"/>
      <c r="L34" s="7"/>
      <c r="M34" s="5"/>
      <c r="N34" s="5"/>
      <c r="O34" s="5"/>
      <c r="P34" s="9" t="str">
        <f t="shared" si="0"/>
        <v/>
      </c>
      <c r="Q34" s="9" t="str">
        <f t="shared" si="1"/>
        <v/>
      </c>
      <c r="R34" s="10" t="str">
        <f t="shared" si="2"/>
        <v/>
      </c>
      <c r="S34" s="11" t="str">
        <f>IF(OR(T34&lt;&gt;"OK",P34="",K34="",CONFIG!$B$8="",CONFIG!$B$8&lt;0,CONFIG!$B$8&gt;=1),"",IF(1-K34-CONFIG!$B$8&lt;=0,"",ROUNDUP(ROUND(P34/(1-K34-CONFIG!$B$8),10),2)))</f>
        <v/>
      </c>
      <c r="T34" s="3" t="str">
        <f t="shared" si="3"/>
        <v/>
      </c>
      <c r="U34" s="12" t="str">
        <f>IF(A34="","",IF(OR(P34="",K34="",CONFIG!$B$8=""),"FALTA COSTO O SUPUESTO",IF(1-K34-CONFIG!$B$8&lt;=0,"MARGEN INVIABLE","CALCULADO")))</f>
        <v/>
      </c>
    </row>
    <row r="35" spans="1:21" x14ac:dyDescent="0.45">
      <c r="A35" s="8"/>
      <c r="B35" s="8"/>
      <c r="C35" s="8"/>
      <c r="D35" s="8"/>
      <c r="E35" s="8"/>
      <c r="F35" s="8"/>
      <c r="G35" s="7"/>
      <c r="H35" s="7"/>
      <c r="I35" s="7"/>
      <c r="J35" s="7"/>
      <c r="K35" s="6"/>
      <c r="L35" s="7"/>
      <c r="M35" s="5"/>
      <c r="N35" s="5"/>
      <c r="O35" s="5"/>
      <c r="P35" s="9" t="str">
        <f t="shared" si="0"/>
        <v/>
      </c>
      <c r="Q35" s="9" t="str">
        <f t="shared" si="1"/>
        <v/>
      </c>
      <c r="R35" s="10" t="str">
        <f t="shared" si="2"/>
        <v/>
      </c>
      <c r="S35" s="11" t="str">
        <f>IF(OR(T35&lt;&gt;"OK",P35="",K35="",CONFIG!$B$8="",CONFIG!$B$8&lt;0,CONFIG!$B$8&gt;=1),"",IF(1-K35-CONFIG!$B$8&lt;=0,"",ROUNDUP(ROUND(P35/(1-K35-CONFIG!$B$8),10),2)))</f>
        <v/>
      </c>
      <c r="T35" s="3" t="str">
        <f t="shared" si="3"/>
        <v/>
      </c>
      <c r="U35" s="12" t="str">
        <f>IF(A35="","",IF(OR(P35="",K35="",CONFIG!$B$8=""),"FALTA COSTO O SUPUESTO",IF(1-K35-CONFIG!$B$8&lt;=0,"MARGEN INVIABLE","CALCULADO")))</f>
        <v/>
      </c>
    </row>
    <row r="36" spans="1:21" x14ac:dyDescent="0.45">
      <c r="A36" s="8"/>
      <c r="B36" s="8"/>
      <c r="C36" s="8"/>
      <c r="D36" s="8"/>
      <c r="E36" s="8"/>
      <c r="F36" s="8"/>
      <c r="G36" s="7"/>
      <c r="H36" s="7"/>
      <c r="I36" s="7"/>
      <c r="J36" s="7"/>
      <c r="K36" s="6"/>
      <c r="L36" s="7"/>
      <c r="M36" s="5"/>
      <c r="N36" s="5"/>
      <c r="O36" s="5"/>
      <c r="P36" s="9" t="str">
        <f t="shared" si="0"/>
        <v/>
      </c>
      <c r="Q36" s="9" t="str">
        <f t="shared" si="1"/>
        <v/>
      </c>
      <c r="R36" s="10" t="str">
        <f t="shared" si="2"/>
        <v/>
      </c>
      <c r="S36" s="11" t="str">
        <f>IF(OR(T36&lt;&gt;"OK",P36="",K36="",CONFIG!$B$8="",CONFIG!$B$8&lt;0,CONFIG!$B$8&gt;=1),"",IF(1-K36-CONFIG!$B$8&lt;=0,"",ROUNDUP(ROUND(P36/(1-K36-CONFIG!$B$8),10),2)))</f>
        <v/>
      </c>
      <c r="T36" s="3" t="str">
        <f t="shared" si="3"/>
        <v/>
      </c>
      <c r="U36" s="12" t="str">
        <f>IF(A36="","",IF(OR(P36="",K36="",CONFIG!$B$8=""),"FALTA COSTO O SUPUESTO",IF(1-K36-CONFIG!$B$8&lt;=0,"MARGEN INVIABLE","CALCULADO")))</f>
        <v/>
      </c>
    </row>
    <row r="37" spans="1:21" x14ac:dyDescent="0.45">
      <c r="A37" s="8"/>
      <c r="B37" s="8"/>
      <c r="C37" s="8"/>
      <c r="D37" s="8"/>
      <c r="E37" s="8"/>
      <c r="F37" s="8"/>
      <c r="G37" s="7"/>
      <c r="H37" s="7"/>
      <c r="I37" s="7"/>
      <c r="J37" s="7"/>
      <c r="K37" s="6"/>
      <c r="L37" s="7"/>
      <c r="M37" s="5"/>
      <c r="N37" s="5"/>
      <c r="O37" s="5"/>
      <c r="P37" s="9" t="str">
        <f t="shared" si="0"/>
        <v/>
      </c>
      <c r="Q37" s="9" t="str">
        <f t="shared" si="1"/>
        <v/>
      </c>
      <c r="R37" s="10" t="str">
        <f t="shared" si="2"/>
        <v/>
      </c>
      <c r="S37" s="11" t="str">
        <f>IF(OR(T37&lt;&gt;"OK",P37="",K37="",CONFIG!$B$8="",CONFIG!$B$8&lt;0,CONFIG!$B$8&gt;=1),"",IF(1-K37-CONFIG!$B$8&lt;=0,"",ROUNDUP(ROUND(P37/(1-K37-CONFIG!$B$8),10),2)))</f>
        <v/>
      </c>
      <c r="T37" s="3" t="str">
        <f t="shared" si="3"/>
        <v/>
      </c>
      <c r="U37" s="12" t="str">
        <f>IF(A37="","",IF(OR(P37="",K37="",CONFIG!$B$8=""),"FALTA COSTO O SUPUESTO",IF(1-K37-CONFIG!$B$8&lt;=0,"MARGEN INVIABLE","CALCULADO")))</f>
        <v/>
      </c>
    </row>
    <row r="38" spans="1:21" x14ac:dyDescent="0.45">
      <c r="A38" s="8"/>
      <c r="B38" s="8"/>
      <c r="C38" s="8"/>
      <c r="D38" s="8"/>
      <c r="E38" s="8"/>
      <c r="F38" s="8"/>
      <c r="G38" s="7"/>
      <c r="H38" s="7"/>
      <c r="I38" s="7"/>
      <c r="J38" s="7"/>
      <c r="K38" s="6"/>
      <c r="L38" s="7"/>
      <c r="M38" s="5"/>
      <c r="N38" s="5"/>
      <c r="O38" s="5"/>
      <c r="P38" s="9" t="str">
        <f t="shared" ref="P38:P69" si="4">IFERROR(IF(A38="","",IF(OR(COUNT(H38:J38)+COUNT(L38)&lt;4,H38&lt;0,I38&lt;0,J38&lt;0,L38&lt;0,ABS(H38)&gt;1000000000,ABS(I38)&gt;1000000000,ABS(J38)&gt;1000000000,ABS(L38)&gt;1000000000),"",SUM(H38:J38,L38))),"")</f>
        <v/>
      </c>
      <c r="Q38" s="9" t="str">
        <f t="shared" ref="Q38:Q69" si="5">IF(T38&lt;&gt;"OK","",G38*(1-K38)-P38)</f>
        <v/>
      </c>
      <c r="R38" s="10" t="str">
        <f t="shared" ref="R38:R69" si="6">IF(OR(G38="",G38=0,Q38=""),"",Q38/G38)</f>
        <v/>
      </c>
      <c r="S38" s="11" t="str">
        <f>IF(OR(T38&lt;&gt;"OK",P38="",K38="",CONFIG!$B$8="",CONFIG!$B$8&lt;0,CONFIG!$B$8&gt;=1),"",IF(1-K38-CONFIG!$B$8&lt;=0,"",ROUNDUP(ROUND(P38/(1-K38-CONFIG!$B$8),10),2)))</f>
        <v/>
      </c>
      <c r="T38" s="3" t="str">
        <f t="shared" ref="T38:T69" si="7">IFERROR(IF(A38="","",IF(COUNTIF($A$6:$A$105,A38)&gt;1,"DUPLICADO SKU",IF(OR(B38="",C38="",F38="",G38="",K38="",M38="",N38="",O38=""),"FALTA CAMPO",IF(COUNT(H38:J38)+COUNT(L38)&lt;4,"COSTO INCOMPLETO",IF(OR(G38&lt;=0,H38&lt;0,I38&lt;0,J38&lt;0,L38&lt;0,ABS(G38)&gt;1000000000,ABS(H38)&gt;1000000000,ABS(I38)&gt;1000000000,ABS(J38)&gt;1000000000,ABS(L38)&gt;1000000000,ROUND(G38,2)&lt;&gt;G38,ROUND(H38,2)&lt;&gt;H38,ROUND(I38,2)&lt;&gt;I38,ROUND(J38,2)&lt;&gt;J38,ROUND(L38,2)&lt;&gt;L38,K38&lt;0,K38&gt;=1,M38&lt;0,M38&gt;3650,N38&lt;=0,N38&gt;1000000,O38&lt;=0,O38&gt;1000000),"REVISAR VALOR","OK"))))),"REVISAR VALOR")</f>
        <v/>
      </c>
      <c r="U38" s="12" t="str">
        <f>IF(A38="","",IF(OR(P38="",K38="",CONFIG!$B$8=""),"FALTA COSTO O SUPUESTO",IF(1-K38-CONFIG!$B$8&lt;=0,"MARGEN INVIABLE","CALCULADO")))</f>
        <v/>
      </c>
    </row>
    <row r="39" spans="1:21" x14ac:dyDescent="0.45">
      <c r="A39" s="8"/>
      <c r="B39" s="8"/>
      <c r="C39" s="8"/>
      <c r="D39" s="8"/>
      <c r="E39" s="8"/>
      <c r="F39" s="8"/>
      <c r="G39" s="7"/>
      <c r="H39" s="7"/>
      <c r="I39" s="7"/>
      <c r="J39" s="7"/>
      <c r="K39" s="6"/>
      <c r="L39" s="7"/>
      <c r="M39" s="5"/>
      <c r="N39" s="5"/>
      <c r="O39" s="5"/>
      <c r="P39" s="9" t="str">
        <f t="shared" si="4"/>
        <v/>
      </c>
      <c r="Q39" s="9" t="str">
        <f t="shared" si="5"/>
        <v/>
      </c>
      <c r="R39" s="10" t="str">
        <f t="shared" si="6"/>
        <v/>
      </c>
      <c r="S39" s="11" t="str">
        <f>IF(OR(T39&lt;&gt;"OK",P39="",K39="",CONFIG!$B$8="",CONFIG!$B$8&lt;0,CONFIG!$B$8&gt;=1),"",IF(1-K39-CONFIG!$B$8&lt;=0,"",ROUNDUP(ROUND(P39/(1-K39-CONFIG!$B$8),10),2)))</f>
        <v/>
      </c>
      <c r="T39" s="3" t="str">
        <f t="shared" si="7"/>
        <v/>
      </c>
      <c r="U39" s="12" t="str">
        <f>IF(A39="","",IF(OR(P39="",K39="",CONFIG!$B$8=""),"FALTA COSTO O SUPUESTO",IF(1-K39-CONFIG!$B$8&lt;=0,"MARGEN INVIABLE","CALCULADO")))</f>
        <v/>
      </c>
    </row>
    <row r="40" spans="1:21" x14ac:dyDescent="0.45">
      <c r="A40" s="8"/>
      <c r="B40" s="8"/>
      <c r="C40" s="8"/>
      <c r="D40" s="8"/>
      <c r="E40" s="8"/>
      <c r="F40" s="8"/>
      <c r="G40" s="7"/>
      <c r="H40" s="7"/>
      <c r="I40" s="7"/>
      <c r="J40" s="7"/>
      <c r="K40" s="6"/>
      <c r="L40" s="7"/>
      <c r="M40" s="5"/>
      <c r="N40" s="5"/>
      <c r="O40" s="5"/>
      <c r="P40" s="9" t="str">
        <f t="shared" si="4"/>
        <v/>
      </c>
      <c r="Q40" s="9" t="str">
        <f t="shared" si="5"/>
        <v/>
      </c>
      <c r="R40" s="10" t="str">
        <f t="shared" si="6"/>
        <v/>
      </c>
      <c r="S40" s="11" t="str">
        <f>IF(OR(T40&lt;&gt;"OK",P40="",K40="",CONFIG!$B$8="",CONFIG!$B$8&lt;0,CONFIG!$B$8&gt;=1),"",IF(1-K40-CONFIG!$B$8&lt;=0,"",ROUNDUP(ROUND(P40/(1-K40-CONFIG!$B$8),10),2)))</f>
        <v/>
      </c>
      <c r="T40" s="3" t="str">
        <f t="shared" si="7"/>
        <v/>
      </c>
      <c r="U40" s="12" t="str">
        <f>IF(A40="","",IF(OR(P40="",K40="",CONFIG!$B$8=""),"FALTA COSTO O SUPUESTO",IF(1-K40-CONFIG!$B$8&lt;=0,"MARGEN INVIABLE","CALCULADO")))</f>
        <v/>
      </c>
    </row>
    <row r="41" spans="1:21" x14ac:dyDescent="0.45">
      <c r="A41" s="8"/>
      <c r="B41" s="8"/>
      <c r="C41" s="8"/>
      <c r="D41" s="8"/>
      <c r="E41" s="8"/>
      <c r="F41" s="8"/>
      <c r="G41" s="7"/>
      <c r="H41" s="7"/>
      <c r="I41" s="7"/>
      <c r="J41" s="7"/>
      <c r="K41" s="6"/>
      <c r="L41" s="7"/>
      <c r="M41" s="5"/>
      <c r="N41" s="5"/>
      <c r="O41" s="5"/>
      <c r="P41" s="9" t="str">
        <f t="shared" si="4"/>
        <v/>
      </c>
      <c r="Q41" s="9" t="str">
        <f t="shared" si="5"/>
        <v/>
      </c>
      <c r="R41" s="10" t="str">
        <f t="shared" si="6"/>
        <v/>
      </c>
      <c r="S41" s="11" t="str">
        <f>IF(OR(T41&lt;&gt;"OK",P41="",K41="",CONFIG!$B$8="",CONFIG!$B$8&lt;0,CONFIG!$B$8&gt;=1),"",IF(1-K41-CONFIG!$B$8&lt;=0,"",ROUNDUP(ROUND(P41/(1-K41-CONFIG!$B$8),10),2)))</f>
        <v/>
      </c>
      <c r="T41" s="3" t="str">
        <f t="shared" si="7"/>
        <v/>
      </c>
      <c r="U41" s="12" t="str">
        <f>IF(A41="","",IF(OR(P41="",K41="",CONFIG!$B$8=""),"FALTA COSTO O SUPUESTO",IF(1-K41-CONFIG!$B$8&lt;=0,"MARGEN INVIABLE","CALCULADO")))</f>
        <v/>
      </c>
    </row>
    <row r="42" spans="1:21" x14ac:dyDescent="0.45">
      <c r="A42" s="8"/>
      <c r="B42" s="8"/>
      <c r="C42" s="8"/>
      <c r="D42" s="8"/>
      <c r="E42" s="8"/>
      <c r="F42" s="8"/>
      <c r="G42" s="7"/>
      <c r="H42" s="7"/>
      <c r="I42" s="7"/>
      <c r="J42" s="7"/>
      <c r="K42" s="6"/>
      <c r="L42" s="7"/>
      <c r="M42" s="5"/>
      <c r="N42" s="5"/>
      <c r="O42" s="5"/>
      <c r="P42" s="9" t="str">
        <f t="shared" si="4"/>
        <v/>
      </c>
      <c r="Q42" s="9" t="str">
        <f t="shared" si="5"/>
        <v/>
      </c>
      <c r="R42" s="10" t="str">
        <f t="shared" si="6"/>
        <v/>
      </c>
      <c r="S42" s="11" t="str">
        <f>IF(OR(T42&lt;&gt;"OK",P42="",K42="",CONFIG!$B$8="",CONFIG!$B$8&lt;0,CONFIG!$B$8&gt;=1),"",IF(1-K42-CONFIG!$B$8&lt;=0,"",ROUNDUP(ROUND(P42/(1-K42-CONFIG!$B$8),10),2)))</f>
        <v/>
      </c>
      <c r="T42" s="3" t="str">
        <f t="shared" si="7"/>
        <v/>
      </c>
      <c r="U42" s="12" t="str">
        <f>IF(A42="","",IF(OR(P42="",K42="",CONFIG!$B$8=""),"FALTA COSTO O SUPUESTO",IF(1-K42-CONFIG!$B$8&lt;=0,"MARGEN INVIABLE","CALCULADO")))</f>
        <v/>
      </c>
    </row>
    <row r="43" spans="1:21" x14ac:dyDescent="0.45">
      <c r="A43" s="8"/>
      <c r="B43" s="8"/>
      <c r="C43" s="8"/>
      <c r="D43" s="8"/>
      <c r="E43" s="8"/>
      <c r="F43" s="8"/>
      <c r="G43" s="7"/>
      <c r="H43" s="7"/>
      <c r="I43" s="7"/>
      <c r="J43" s="7"/>
      <c r="K43" s="6"/>
      <c r="L43" s="7"/>
      <c r="M43" s="5"/>
      <c r="N43" s="5"/>
      <c r="O43" s="5"/>
      <c r="P43" s="9" t="str">
        <f t="shared" si="4"/>
        <v/>
      </c>
      <c r="Q43" s="9" t="str">
        <f t="shared" si="5"/>
        <v/>
      </c>
      <c r="R43" s="10" t="str">
        <f t="shared" si="6"/>
        <v/>
      </c>
      <c r="S43" s="11" t="str">
        <f>IF(OR(T43&lt;&gt;"OK",P43="",K43="",CONFIG!$B$8="",CONFIG!$B$8&lt;0,CONFIG!$B$8&gt;=1),"",IF(1-K43-CONFIG!$B$8&lt;=0,"",ROUNDUP(ROUND(P43/(1-K43-CONFIG!$B$8),10),2)))</f>
        <v/>
      </c>
      <c r="T43" s="3" t="str">
        <f t="shared" si="7"/>
        <v/>
      </c>
      <c r="U43" s="12" t="str">
        <f>IF(A43="","",IF(OR(P43="",K43="",CONFIG!$B$8=""),"FALTA COSTO O SUPUESTO",IF(1-K43-CONFIG!$B$8&lt;=0,"MARGEN INVIABLE","CALCULADO")))</f>
        <v/>
      </c>
    </row>
    <row r="44" spans="1:21" x14ac:dyDescent="0.45">
      <c r="A44" s="8"/>
      <c r="B44" s="8"/>
      <c r="C44" s="8"/>
      <c r="D44" s="8"/>
      <c r="E44" s="8"/>
      <c r="F44" s="8"/>
      <c r="G44" s="7"/>
      <c r="H44" s="7"/>
      <c r="I44" s="7"/>
      <c r="J44" s="7"/>
      <c r="K44" s="6"/>
      <c r="L44" s="7"/>
      <c r="M44" s="5"/>
      <c r="N44" s="5"/>
      <c r="O44" s="5"/>
      <c r="P44" s="9" t="str">
        <f t="shared" si="4"/>
        <v/>
      </c>
      <c r="Q44" s="9" t="str">
        <f t="shared" si="5"/>
        <v/>
      </c>
      <c r="R44" s="10" t="str">
        <f t="shared" si="6"/>
        <v/>
      </c>
      <c r="S44" s="11" t="str">
        <f>IF(OR(T44&lt;&gt;"OK",P44="",K44="",CONFIG!$B$8="",CONFIG!$B$8&lt;0,CONFIG!$B$8&gt;=1),"",IF(1-K44-CONFIG!$B$8&lt;=0,"",ROUNDUP(ROUND(P44/(1-K44-CONFIG!$B$8),10),2)))</f>
        <v/>
      </c>
      <c r="T44" s="3" t="str">
        <f t="shared" si="7"/>
        <v/>
      </c>
      <c r="U44" s="12" t="str">
        <f>IF(A44="","",IF(OR(P44="",K44="",CONFIG!$B$8=""),"FALTA COSTO O SUPUESTO",IF(1-K44-CONFIG!$B$8&lt;=0,"MARGEN INVIABLE","CALCULADO")))</f>
        <v/>
      </c>
    </row>
    <row r="45" spans="1:21" x14ac:dyDescent="0.45">
      <c r="A45" s="8"/>
      <c r="B45" s="8"/>
      <c r="C45" s="8"/>
      <c r="D45" s="8"/>
      <c r="E45" s="8"/>
      <c r="F45" s="8"/>
      <c r="G45" s="7"/>
      <c r="H45" s="7"/>
      <c r="I45" s="7"/>
      <c r="J45" s="7"/>
      <c r="K45" s="6"/>
      <c r="L45" s="7"/>
      <c r="M45" s="5"/>
      <c r="N45" s="5"/>
      <c r="O45" s="5"/>
      <c r="P45" s="9" t="str">
        <f t="shared" si="4"/>
        <v/>
      </c>
      <c r="Q45" s="9" t="str">
        <f t="shared" si="5"/>
        <v/>
      </c>
      <c r="R45" s="10" t="str">
        <f t="shared" si="6"/>
        <v/>
      </c>
      <c r="S45" s="11" t="str">
        <f>IF(OR(T45&lt;&gt;"OK",P45="",K45="",CONFIG!$B$8="",CONFIG!$B$8&lt;0,CONFIG!$B$8&gt;=1),"",IF(1-K45-CONFIG!$B$8&lt;=0,"",ROUNDUP(ROUND(P45/(1-K45-CONFIG!$B$8),10),2)))</f>
        <v/>
      </c>
      <c r="T45" s="3" t="str">
        <f t="shared" si="7"/>
        <v/>
      </c>
      <c r="U45" s="12" t="str">
        <f>IF(A45="","",IF(OR(P45="",K45="",CONFIG!$B$8=""),"FALTA COSTO O SUPUESTO",IF(1-K45-CONFIG!$B$8&lt;=0,"MARGEN INVIABLE","CALCULADO")))</f>
        <v/>
      </c>
    </row>
    <row r="46" spans="1:21" x14ac:dyDescent="0.45">
      <c r="A46" s="8"/>
      <c r="B46" s="8"/>
      <c r="C46" s="8"/>
      <c r="D46" s="8"/>
      <c r="E46" s="8"/>
      <c r="F46" s="8"/>
      <c r="G46" s="7"/>
      <c r="H46" s="7"/>
      <c r="I46" s="7"/>
      <c r="J46" s="7"/>
      <c r="K46" s="6"/>
      <c r="L46" s="7"/>
      <c r="M46" s="5"/>
      <c r="N46" s="5"/>
      <c r="O46" s="5"/>
      <c r="P46" s="9" t="str">
        <f t="shared" si="4"/>
        <v/>
      </c>
      <c r="Q46" s="9" t="str">
        <f t="shared" si="5"/>
        <v/>
      </c>
      <c r="R46" s="10" t="str">
        <f t="shared" si="6"/>
        <v/>
      </c>
      <c r="S46" s="11" t="str">
        <f>IF(OR(T46&lt;&gt;"OK",P46="",K46="",CONFIG!$B$8="",CONFIG!$B$8&lt;0,CONFIG!$B$8&gt;=1),"",IF(1-K46-CONFIG!$B$8&lt;=0,"",ROUNDUP(ROUND(P46/(1-K46-CONFIG!$B$8),10),2)))</f>
        <v/>
      </c>
      <c r="T46" s="3" t="str">
        <f t="shared" si="7"/>
        <v/>
      </c>
      <c r="U46" s="12" t="str">
        <f>IF(A46="","",IF(OR(P46="",K46="",CONFIG!$B$8=""),"FALTA COSTO O SUPUESTO",IF(1-K46-CONFIG!$B$8&lt;=0,"MARGEN INVIABLE","CALCULADO")))</f>
        <v/>
      </c>
    </row>
    <row r="47" spans="1:21" x14ac:dyDescent="0.45">
      <c r="A47" s="8"/>
      <c r="B47" s="8"/>
      <c r="C47" s="8"/>
      <c r="D47" s="8"/>
      <c r="E47" s="8"/>
      <c r="F47" s="8"/>
      <c r="G47" s="7"/>
      <c r="H47" s="7"/>
      <c r="I47" s="7"/>
      <c r="J47" s="7"/>
      <c r="K47" s="6"/>
      <c r="L47" s="7"/>
      <c r="M47" s="5"/>
      <c r="N47" s="5"/>
      <c r="O47" s="5"/>
      <c r="P47" s="9" t="str">
        <f t="shared" si="4"/>
        <v/>
      </c>
      <c r="Q47" s="9" t="str">
        <f t="shared" si="5"/>
        <v/>
      </c>
      <c r="R47" s="10" t="str">
        <f t="shared" si="6"/>
        <v/>
      </c>
      <c r="S47" s="11" t="str">
        <f>IF(OR(T47&lt;&gt;"OK",P47="",K47="",CONFIG!$B$8="",CONFIG!$B$8&lt;0,CONFIG!$B$8&gt;=1),"",IF(1-K47-CONFIG!$B$8&lt;=0,"",ROUNDUP(ROUND(P47/(1-K47-CONFIG!$B$8),10),2)))</f>
        <v/>
      </c>
      <c r="T47" s="3" t="str">
        <f t="shared" si="7"/>
        <v/>
      </c>
      <c r="U47" s="12" t="str">
        <f>IF(A47="","",IF(OR(P47="",K47="",CONFIG!$B$8=""),"FALTA COSTO O SUPUESTO",IF(1-K47-CONFIG!$B$8&lt;=0,"MARGEN INVIABLE","CALCULADO")))</f>
        <v/>
      </c>
    </row>
    <row r="48" spans="1:21" x14ac:dyDescent="0.45">
      <c r="A48" s="8"/>
      <c r="B48" s="8"/>
      <c r="C48" s="8"/>
      <c r="D48" s="8"/>
      <c r="E48" s="8"/>
      <c r="F48" s="8"/>
      <c r="G48" s="7"/>
      <c r="H48" s="7"/>
      <c r="I48" s="7"/>
      <c r="J48" s="7"/>
      <c r="K48" s="6"/>
      <c r="L48" s="7"/>
      <c r="M48" s="5"/>
      <c r="N48" s="5"/>
      <c r="O48" s="5"/>
      <c r="P48" s="9" t="str">
        <f t="shared" si="4"/>
        <v/>
      </c>
      <c r="Q48" s="9" t="str">
        <f t="shared" si="5"/>
        <v/>
      </c>
      <c r="R48" s="10" t="str">
        <f t="shared" si="6"/>
        <v/>
      </c>
      <c r="S48" s="11" t="str">
        <f>IF(OR(T48&lt;&gt;"OK",P48="",K48="",CONFIG!$B$8="",CONFIG!$B$8&lt;0,CONFIG!$B$8&gt;=1),"",IF(1-K48-CONFIG!$B$8&lt;=0,"",ROUNDUP(ROUND(P48/(1-K48-CONFIG!$B$8),10),2)))</f>
        <v/>
      </c>
      <c r="T48" s="3" t="str">
        <f t="shared" si="7"/>
        <v/>
      </c>
      <c r="U48" s="12" t="str">
        <f>IF(A48="","",IF(OR(P48="",K48="",CONFIG!$B$8=""),"FALTA COSTO O SUPUESTO",IF(1-K48-CONFIG!$B$8&lt;=0,"MARGEN INVIABLE","CALCULADO")))</f>
        <v/>
      </c>
    </row>
    <row r="49" spans="1:21" x14ac:dyDescent="0.45">
      <c r="A49" s="8"/>
      <c r="B49" s="8"/>
      <c r="C49" s="8"/>
      <c r="D49" s="8"/>
      <c r="E49" s="8"/>
      <c r="F49" s="8"/>
      <c r="G49" s="7"/>
      <c r="H49" s="7"/>
      <c r="I49" s="7"/>
      <c r="J49" s="7"/>
      <c r="K49" s="6"/>
      <c r="L49" s="7"/>
      <c r="M49" s="5"/>
      <c r="N49" s="5"/>
      <c r="O49" s="5"/>
      <c r="P49" s="9" t="str">
        <f t="shared" si="4"/>
        <v/>
      </c>
      <c r="Q49" s="9" t="str">
        <f t="shared" si="5"/>
        <v/>
      </c>
      <c r="R49" s="10" t="str">
        <f t="shared" si="6"/>
        <v/>
      </c>
      <c r="S49" s="11" t="str">
        <f>IF(OR(T49&lt;&gt;"OK",P49="",K49="",CONFIG!$B$8="",CONFIG!$B$8&lt;0,CONFIG!$B$8&gt;=1),"",IF(1-K49-CONFIG!$B$8&lt;=0,"",ROUNDUP(ROUND(P49/(1-K49-CONFIG!$B$8),10),2)))</f>
        <v/>
      </c>
      <c r="T49" s="3" t="str">
        <f t="shared" si="7"/>
        <v/>
      </c>
      <c r="U49" s="12" t="str">
        <f>IF(A49="","",IF(OR(P49="",K49="",CONFIG!$B$8=""),"FALTA COSTO O SUPUESTO",IF(1-K49-CONFIG!$B$8&lt;=0,"MARGEN INVIABLE","CALCULADO")))</f>
        <v/>
      </c>
    </row>
    <row r="50" spans="1:21" x14ac:dyDescent="0.45">
      <c r="A50" s="8"/>
      <c r="B50" s="8"/>
      <c r="C50" s="8"/>
      <c r="D50" s="8"/>
      <c r="E50" s="8"/>
      <c r="F50" s="8"/>
      <c r="G50" s="7"/>
      <c r="H50" s="7"/>
      <c r="I50" s="7"/>
      <c r="J50" s="7"/>
      <c r="K50" s="6"/>
      <c r="L50" s="7"/>
      <c r="M50" s="5"/>
      <c r="N50" s="5"/>
      <c r="O50" s="5"/>
      <c r="P50" s="9" t="str">
        <f t="shared" si="4"/>
        <v/>
      </c>
      <c r="Q50" s="9" t="str">
        <f t="shared" si="5"/>
        <v/>
      </c>
      <c r="R50" s="10" t="str">
        <f t="shared" si="6"/>
        <v/>
      </c>
      <c r="S50" s="11" t="str">
        <f>IF(OR(T50&lt;&gt;"OK",P50="",K50="",CONFIG!$B$8="",CONFIG!$B$8&lt;0,CONFIG!$B$8&gt;=1),"",IF(1-K50-CONFIG!$B$8&lt;=0,"",ROUNDUP(ROUND(P50/(1-K50-CONFIG!$B$8),10),2)))</f>
        <v/>
      </c>
      <c r="T50" s="3" t="str">
        <f t="shared" si="7"/>
        <v/>
      </c>
      <c r="U50" s="12" t="str">
        <f>IF(A50="","",IF(OR(P50="",K50="",CONFIG!$B$8=""),"FALTA COSTO O SUPUESTO",IF(1-K50-CONFIG!$B$8&lt;=0,"MARGEN INVIABLE","CALCULADO")))</f>
        <v/>
      </c>
    </row>
    <row r="51" spans="1:21" x14ac:dyDescent="0.45">
      <c r="A51" s="8"/>
      <c r="B51" s="8"/>
      <c r="C51" s="8"/>
      <c r="D51" s="8"/>
      <c r="E51" s="8"/>
      <c r="F51" s="8"/>
      <c r="G51" s="7"/>
      <c r="H51" s="7"/>
      <c r="I51" s="7"/>
      <c r="J51" s="7"/>
      <c r="K51" s="6"/>
      <c r="L51" s="7"/>
      <c r="M51" s="5"/>
      <c r="N51" s="5"/>
      <c r="O51" s="5"/>
      <c r="P51" s="9" t="str">
        <f t="shared" si="4"/>
        <v/>
      </c>
      <c r="Q51" s="9" t="str">
        <f t="shared" si="5"/>
        <v/>
      </c>
      <c r="R51" s="10" t="str">
        <f t="shared" si="6"/>
        <v/>
      </c>
      <c r="S51" s="11" t="str">
        <f>IF(OR(T51&lt;&gt;"OK",P51="",K51="",CONFIG!$B$8="",CONFIG!$B$8&lt;0,CONFIG!$B$8&gt;=1),"",IF(1-K51-CONFIG!$B$8&lt;=0,"",ROUNDUP(ROUND(P51/(1-K51-CONFIG!$B$8),10),2)))</f>
        <v/>
      </c>
      <c r="T51" s="3" t="str">
        <f t="shared" si="7"/>
        <v/>
      </c>
      <c r="U51" s="12" t="str">
        <f>IF(A51="","",IF(OR(P51="",K51="",CONFIG!$B$8=""),"FALTA COSTO O SUPUESTO",IF(1-K51-CONFIG!$B$8&lt;=0,"MARGEN INVIABLE","CALCULADO")))</f>
        <v/>
      </c>
    </row>
    <row r="52" spans="1:21" x14ac:dyDescent="0.45">
      <c r="A52" s="8"/>
      <c r="B52" s="8"/>
      <c r="C52" s="8"/>
      <c r="D52" s="8"/>
      <c r="E52" s="8"/>
      <c r="F52" s="8"/>
      <c r="G52" s="7"/>
      <c r="H52" s="7"/>
      <c r="I52" s="7"/>
      <c r="J52" s="7"/>
      <c r="K52" s="6"/>
      <c r="L52" s="7"/>
      <c r="M52" s="5"/>
      <c r="N52" s="5"/>
      <c r="O52" s="5"/>
      <c r="P52" s="9" t="str">
        <f t="shared" si="4"/>
        <v/>
      </c>
      <c r="Q52" s="9" t="str">
        <f t="shared" si="5"/>
        <v/>
      </c>
      <c r="R52" s="10" t="str">
        <f t="shared" si="6"/>
        <v/>
      </c>
      <c r="S52" s="11" t="str">
        <f>IF(OR(T52&lt;&gt;"OK",P52="",K52="",CONFIG!$B$8="",CONFIG!$B$8&lt;0,CONFIG!$B$8&gt;=1),"",IF(1-K52-CONFIG!$B$8&lt;=0,"",ROUNDUP(ROUND(P52/(1-K52-CONFIG!$B$8),10),2)))</f>
        <v/>
      </c>
      <c r="T52" s="3" t="str">
        <f t="shared" si="7"/>
        <v/>
      </c>
      <c r="U52" s="12" t="str">
        <f>IF(A52="","",IF(OR(P52="",K52="",CONFIG!$B$8=""),"FALTA COSTO O SUPUESTO",IF(1-K52-CONFIG!$B$8&lt;=0,"MARGEN INVIABLE","CALCULADO")))</f>
        <v/>
      </c>
    </row>
    <row r="53" spans="1:21" x14ac:dyDescent="0.45">
      <c r="A53" s="8"/>
      <c r="B53" s="8"/>
      <c r="C53" s="8"/>
      <c r="D53" s="8"/>
      <c r="E53" s="8"/>
      <c r="F53" s="8"/>
      <c r="G53" s="7"/>
      <c r="H53" s="7"/>
      <c r="I53" s="7"/>
      <c r="J53" s="7"/>
      <c r="K53" s="6"/>
      <c r="L53" s="7"/>
      <c r="M53" s="5"/>
      <c r="N53" s="5"/>
      <c r="O53" s="5"/>
      <c r="P53" s="9" t="str">
        <f t="shared" si="4"/>
        <v/>
      </c>
      <c r="Q53" s="9" t="str">
        <f t="shared" si="5"/>
        <v/>
      </c>
      <c r="R53" s="10" t="str">
        <f t="shared" si="6"/>
        <v/>
      </c>
      <c r="S53" s="11" t="str">
        <f>IF(OR(T53&lt;&gt;"OK",P53="",K53="",CONFIG!$B$8="",CONFIG!$B$8&lt;0,CONFIG!$B$8&gt;=1),"",IF(1-K53-CONFIG!$B$8&lt;=0,"",ROUNDUP(ROUND(P53/(1-K53-CONFIG!$B$8),10),2)))</f>
        <v/>
      </c>
      <c r="T53" s="3" t="str">
        <f t="shared" si="7"/>
        <v/>
      </c>
      <c r="U53" s="12" t="str">
        <f>IF(A53="","",IF(OR(P53="",K53="",CONFIG!$B$8=""),"FALTA COSTO O SUPUESTO",IF(1-K53-CONFIG!$B$8&lt;=0,"MARGEN INVIABLE","CALCULADO")))</f>
        <v/>
      </c>
    </row>
    <row r="54" spans="1:21" x14ac:dyDescent="0.45">
      <c r="A54" s="8"/>
      <c r="B54" s="8"/>
      <c r="C54" s="8"/>
      <c r="D54" s="8"/>
      <c r="E54" s="8"/>
      <c r="F54" s="8"/>
      <c r="G54" s="7"/>
      <c r="H54" s="7"/>
      <c r="I54" s="7"/>
      <c r="J54" s="7"/>
      <c r="K54" s="6"/>
      <c r="L54" s="7"/>
      <c r="M54" s="5"/>
      <c r="N54" s="5"/>
      <c r="O54" s="5"/>
      <c r="P54" s="9" t="str">
        <f t="shared" si="4"/>
        <v/>
      </c>
      <c r="Q54" s="9" t="str">
        <f t="shared" si="5"/>
        <v/>
      </c>
      <c r="R54" s="10" t="str">
        <f t="shared" si="6"/>
        <v/>
      </c>
      <c r="S54" s="11" t="str">
        <f>IF(OR(T54&lt;&gt;"OK",P54="",K54="",CONFIG!$B$8="",CONFIG!$B$8&lt;0,CONFIG!$B$8&gt;=1),"",IF(1-K54-CONFIG!$B$8&lt;=0,"",ROUNDUP(ROUND(P54/(1-K54-CONFIG!$B$8),10),2)))</f>
        <v/>
      </c>
      <c r="T54" s="3" t="str">
        <f t="shared" si="7"/>
        <v/>
      </c>
      <c r="U54" s="12" t="str">
        <f>IF(A54="","",IF(OR(P54="",K54="",CONFIG!$B$8=""),"FALTA COSTO O SUPUESTO",IF(1-K54-CONFIG!$B$8&lt;=0,"MARGEN INVIABLE","CALCULADO")))</f>
        <v/>
      </c>
    </row>
    <row r="55" spans="1:21" x14ac:dyDescent="0.45">
      <c r="A55" s="8"/>
      <c r="B55" s="8"/>
      <c r="C55" s="8"/>
      <c r="D55" s="8"/>
      <c r="E55" s="8"/>
      <c r="F55" s="8"/>
      <c r="G55" s="7"/>
      <c r="H55" s="7"/>
      <c r="I55" s="7"/>
      <c r="J55" s="7"/>
      <c r="K55" s="6"/>
      <c r="L55" s="7"/>
      <c r="M55" s="5"/>
      <c r="N55" s="5"/>
      <c r="O55" s="5"/>
      <c r="P55" s="9" t="str">
        <f t="shared" si="4"/>
        <v/>
      </c>
      <c r="Q55" s="9" t="str">
        <f t="shared" si="5"/>
        <v/>
      </c>
      <c r="R55" s="10" t="str">
        <f t="shared" si="6"/>
        <v/>
      </c>
      <c r="S55" s="11" t="str">
        <f>IF(OR(T55&lt;&gt;"OK",P55="",K55="",CONFIG!$B$8="",CONFIG!$B$8&lt;0,CONFIG!$B$8&gt;=1),"",IF(1-K55-CONFIG!$B$8&lt;=0,"",ROUNDUP(ROUND(P55/(1-K55-CONFIG!$B$8),10),2)))</f>
        <v/>
      </c>
      <c r="T55" s="3" t="str">
        <f t="shared" si="7"/>
        <v/>
      </c>
      <c r="U55" s="12" t="str">
        <f>IF(A55="","",IF(OR(P55="",K55="",CONFIG!$B$8=""),"FALTA COSTO O SUPUESTO",IF(1-K55-CONFIG!$B$8&lt;=0,"MARGEN INVIABLE","CALCULADO")))</f>
        <v/>
      </c>
    </row>
    <row r="56" spans="1:21" x14ac:dyDescent="0.45">
      <c r="A56" s="8"/>
      <c r="B56" s="8"/>
      <c r="C56" s="8"/>
      <c r="D56" s="8"/>
      <c r="E56" s="8"/>
      <c r="F56" s="8"/>
      <c r="G56" s="7"/>
      <c r="H56" s="7"/>
      <c r="I56" s="7"/>
      <c r="J56" s="7"/>
      <c r="K56" s="6"/>
      <c r="L56" s="7"/>
      <c r="M56" s="5"/>
      <c r="N56" s="5"/>
      <c r="O56" s="5"/>
      <c r="P56" s="9" t="str">
        <f t="shared" si="4"/>
        <v/>
      </c>
      <c r="Q56" s="9" t="str">
        <f t="shared" si="5"/>
        <v/>
      </c>
      <c r="R56" s="10" t="str">
        <f t="shared" si="6"/>
        <v/>
      </c>
      <c r="S56" s="11" t="str">
        <f>IF(OR(T56&lt;&gt;"OK",P56="",K56="",CONFIG!$B$8="",CONFIG!$B$8&lt;0,CONFIG!$B$8&gt;=1),"",IF(1-K56-CONFIG!$B$8&lt;=0,"",ROUNDUP(ROUND(P56/(1-K56-CONFIG!$B$8),10),2)))</f>
        <v/>
      </c>
      <c r="T56" s="3" t="str">
        <f t="shared" si="7"/>
        <v/>
      </c>
      <c r="U56" s="12" t="str">
        <f>IF(A56="","",IF(OR(P56="",K56="",CONFIG!$B$8=""),"FALTA COSTO O SUPUESTO",IF(1-K56-CONFIG!$B$8&lt;=0,"MARGEN INVIABLE","CALCULADO")))</f>
        <v/>
      </c>
    </row>
    <row r="57" spans="1:21" x14ac:dyDescent="0.45">
      <c r="A57" s="8"/>
      <c r="B57" s="8"/>
      <c r="C57" s="8"/>
      <c r="D57" s="8"/>
      <c r="E57" s="8"/>
      <c r="F57" s="8"/>
      <c r="G57" s="7"/>
      <c r="H57" s="7"/>
      <c r="I57" s="7"/>
      <c r="J57" s="7"/>
      <c r="K57" s="6"/>
      <c r="L57" s="7"/>
      <c r="M57" s="5"/>
      <c r="N57" s="5"/>
      <c r="O57" s="5"/>
      <c r="P57" s="9" t="str">
        <f t="shared" si="4"/>
        <v/>
      </c>
      <c r="Q57" s="9" t="str">
        <f t="shared" si="5"/>
        <v/>
      </c>
      <c r="R57" s="10" t="str">
        <f t="shared" si="6"/>
        <v/>
      </c>
      <c r="S57" s="11" t="str">
        <f>IF(OR(T57&lt;&gt;"OK",P57="",K57="",CONFIG!$B$8="",CONFIG!$B$8&lt;0,CONFIG!$B$8&gt;=1),"",IF(1-K57-CONFIG!$B$8&lt;=0,"",ROUNDUP(ROUND(P57/(1-K57-CONFIG!$B$8),10),2)))</f>
        <v/>
      </c>
      <c r="T57" s="3" t="str">
        <f t="shared" si="7"/>
        <v/>
      </c>
      <c r="U57" s="12" t="str">
        <f>IF(A57="","",IF(OR(P57="",K57="",CONFIG!$B$8=""),"FALTA COSTO O SUPUESTO",IF(1-K57-CONFIG!$B$8&lt;=0,"MARGEN INVIABLE","CALCULADO")))</f>
        <v/>
      </c>
    </row>
    <row r="58" spans="1:21" x14ac:dyDescent="0.45">
      <c r="A58" s="8"/>
      <c r="B58" s="8"/>
      <c r="C58" s="8"/>
      <c r="D58" s="8"/>
      <c r="E58" s="8"/>
      <c r="F58" s="8"/>
      <c r="G58" s="7"/>
      <c r="H58" s="7"/>
      <c r="I58" s="7"/>
      <c r="J58" s="7"/>
      <c r="K58" s="6"/>
      <c r="L58" s="7"/>
      <c r="M58" s="5"/>
      <c r="N58" s="5"/>
      <c r="O58" s="5"/>
      <c r="P58" s="9" t="str">
        <f t="shared" si="4"/>
        <v/>
      </c>
      <c r="Q58" s="9" t="str">
        <f t="shared" si="5"/>
        <v/>
      </c>
      <c r="R58" s="10" t="str">
        <f t="shared" si="6"/>
        <v/>
      </c>
      <c r="S58" s="11" t="str">
        <f>IF(OR(T58&lt;&gt;"OK",P58="",K58="",CONFIG!$B$8="",CONFIG!$B$8&lt;0,CONFIG!$B$8&gt;=1),"",IF(1-K58-CONFIG!$B$8&lt;=0,"",ROUNDUP(ROUND(P58/(1-K58-CONFIG!$B$8),10),2)))</f>
        <v/>
      </c>
      <c r="T58" s="3" t="str">
        <f t="shared" si="7"/>
        <v/>
      </c>
      <c r="U58" s="12" t="str">
        <f>IF(A58="","",IF(OR(P58="",K58="",CONFIG!$B$8=""),"FALTA COSTO O SUPUESTO",IF(1-K58-CONFIG!$B$8&lt;=0,"MARGEN INVIABLE","CALCULADO")))</f>
        <v/>
      </c>
    </row>
    <row r="59" spans="1:21" x14ac:dyDescent="0.45">
      <c r="A59" s="8"/>
      <c r="B59" s="8"/>
      <c r="C59" s="8"/>
      <c r="D59" s="8"/>
      <c r="E59" s="8"/>
      <c r="F59" s="8"/>
      <c r="G59" s="7"/>
      <c r="H59" s="7"/>
      <c r="I59" s="7"/>
      <c r="J59" s="7"/>
      <c r="K59" s="6"/>
      <c r="L59" s="7"/>
      <c r="M59" s="5"/>
      <c r="N59" s="5"/>
      <c r="O59" s="5"/>
      <c r="P59" s="9" t="str">
        <f t="shared" si="4"/>
        <v/>
      </c>
      <c r="Q59" s="9" t="str">
        <f t="shared" si="5"/>
        <v/>
      </c>
      <c r="R59" s="10" t="str">
        <f t="shared" si="6"/>
        <v/>
      </c>
      <c r="S59" s="11" t="str">
        <f>IF(OR(T59&lt;&gt;"OK",P59="",K59="",CONFIG!$B$8="",CONFIG!$B$8&lt;0,CONFIG!$B$8&gt;=1),"",IF(1-K59-CONFIG!$B$8&lt;=0,"",ROUNDUP(ROUND(P59/(1-K59-CONFIG!$B$8),10),2)))</f>
        <v/>
      </c>
      <c r="T59" s="3" t="str">
        <f t="shared" si="7"/>
        <v/>
      </c>
      <c r="U59" s="12" t="str">
        <f>IF(A59="","",IF(OR(P59="",K59="",CONFIG!$B$8=""),"FALTA COSTO O SUPUESTO",IF(1-K59-CONFIG!$B$8&lt;=0,"MARGEN INVIABLE","CALCULADO")))</f>
        <v/>
      </c>
    </row>
    <row r="60" spans="1:21" x14ac:dyDescent="0.45">
      <c r="A60" s="8"/>
      <c r="B60" s="8"/>
      <c r="C60" s="8"/>
      <c r="D60" s="8"/>
      <c r="E60" s="8"/>
      <c r="F60" s="8"/>
      <c r="G60" s="7"/>
      <c r="H60" s="7"/>
      <c r="I60" s="7"/>
      <c r="J60" s="7"/>
      <c r="K60" s="6"/>
      <c r="L60" s="7"/>
      <c r="M60" s="5"/>
      <c r="N60" s="5"/>
      <c r="O60" s="5"/>
      <c r="P60" s="9" t="str">
        <f t="shared" si="4"/>
        <v/>
      </c>
      <c r="Q60" s="9" t="str">
        <f t="shared" si="5"/>
        <v/>
      </c>
      <c r="R60" s="10" t="str">
        <f t="shared" si="6"/>
        <v/>
      </c>
      <c r="S60" s="11" t="str">
        <f>IF(OR(T60&lt;&gt;"OK",P60="",K60="",CONFIG!$B$8="",CONFIG!$B$8&lt;0,CONFIG!$B$8&gt;=1),"",IF(1-K60-CONFIG!$B$8&lt;=0,"",ROUNDUP(ROUND(P60/(1-K60-CONFIG!$B$8),10),2)))</f>
        <v/>
      </c>
      <c r="T60" s="3" t="str">
        <f t="shared" si="7"/>
        <v/>
      </c>
      <c r="U60" s="12" t="str">
        <f>IF(A60="","",IF(OR(P60="",K60="",CONFIG!$B$8=""),"FALTA COSTO O SUPUESTO",IF(1-K60-CONFIG!$B$8&lt;=0,"MARGEN INVIABLE","CALCULADO")))</f>
        <v/>
      </c>
    </row>
    <row r="61" spans="1:21" x14ac:dyDescent="0.45">
      <c r="A61" s="8"/>
      <c r="B61" s="8"/>
      <c r="C61" s="8"/>
      <c r="D61" s="8"/>
      <c r="E61" s="8"/>
      <c r="F61" s="8"/>
      <c r="G61" s="7"/>
      <c r="H61" s="7"/>
      <c r="I61" s="7"/>
      <c r="J61" s="7"/>
      <c r="K61" s="6"/>
      <c r="L61" s="7"/>
      <c r="M61" s="5"/>
      <c r="N61" s="5"/>
      <c r="O61" s="5"/>
      <c r="P61" s="9" t="str">
        <f t="shared" si="4"/>
        <v/>
      </c>
      <c r="Q61" s="9" t="str">
        <f t="shared" si="5"/>
        <v/>
      </c>
      <c r="R61" s="10" t="str">
        <f t="shared" si="6"/>
        <v/>
      </c>
      <c r="S61" s="11" t="str">
        <f>IF(OR(T61&lt;&gt;"OK",P61="",K61="",CONFIG!$B$8="",CONFIG!$B$8&lt;0,CONFIG!$B$8&gt;=1),"",IF(1-K61-CONFIG!$B$8&lt;=0,"",ROUNDUP(ROUND(P61/(1-K61-CONFIG!$B$8),10),2)))</f>
        <v/>
      </c>
      <c r="T61" s="3" t="str">
        <f t="shared" si="7"/>
        <v/>
      </c>
      <c r="U61" s="12" t="str">
        <f>IF(A61="","",IF(OR(P61="",K61="",CONFIG!$B$8=""),"FALTA COSTO O SUPUESTO",IF(1-K61-CONFIG!$B$8&lt;=0,"MARGEN INVIABLE","CALCULADO")))</f>
        <v/>
      </c>
    </row>
    <row r="62" spans="1:21" x14ac:dyDescent="0.45">
      <c r="A62" s="8"/>
      <c r="B62" s="8"/>
      <c r="C62" s="8"/>
      <c r="D62" s="8"/>
      <c r="E62" s="8"/>
      <c r="F62" s="8"/>
      <c r="G62" s="7"/>
      <c r="H62" s="7"/>
      <c r="I62" s="7"/>
      <c r="J62" s="7"/>
      <c r="K62" s="6"/>
      <c r="L62" s="7"/>
      <c r="M62" s="5"/>
      <c r="N62" s="5"/>
      <c r="O62" s="5"/>
      <c r="P62" s="9" t="str">
        <f t="shared" si="4"/>
        <v/>
      </c>
      <c r="Q62" s="9" t="str">
        <f t="shared" si="5"/>
        <v/>
      </c>
      <c r="R62" s="10" t="str">
        <f t="shared" si="6"/>
        <v/>
      </c>
      <c r="S62" s="11" t="str">
        <f>IF(OR(T62&lt;&gt;"OK",P62="",K62="",CONFIG!$B$8="",CONFIG!$B$8&lt;0,CONFIG!$B$8&gt;=1),"",IF(1-K62-CONFIG!$B$8&lt;=0,"",ROUNDUP(ROUND(P62/(1-K62-CONFIG!$B$8),10),2)))</f>
        <v/>
      </c>
      <c r="T62" s="3" t="str">
        <f t="shared" si="7"/>
        <v/>
      </c>
      <c r="U62" s="12" t="str">
        <f>IF(A62="","",IF(OR(P62="",K62="",CONFIG!$B$8=""),"FALTA COSTO O SUPUESTO",IF(1-K62-CONFIG!$B$8&lt;=0,"MARGEN INVIABLE","CALCULADO")))</f>
        <v/>
      </c>
    </row>
    <row r="63" spans="1:21" x14ac:dyDescent="0.45">
      <c r="A63" s="8"/>
      <c r="B63" s="8"/>
      <c r="C63" s="8"/>
      <c r="D63" s="8"/>
      <c r="E63" s="8"/>
      <c r="F63" s="8"/>
      <c r="G63" s="7"/>
      <c r="H63" s="7"/>
      <c r="I63" s="7"/>
      <c r="J63" s="7"/>
      <c r="K63" s="6"/>
      <c r="L63" s="7"/>
      <c r="M63" s="5"/>
      <c r="N63" s="5"/>
      <c r="O63" s="5"/>
      <c r="P63" s="9" t="str">
        <f t="shared" si="4"/>
        <v/>
      </c>
      <c r="Q63" s="9" t="str">
        <f t="shared" si="5"/>
        <v/>
      </c>
      <c r="R63" s="10" t="str">
        <f t="shared" si="6"/>
        <v/>
      </c>
      <c r="S63" s="11" t="str">
        <f>IF(OR(T63&lt;&gt;"OK",P63="",K63="",CONFIG!$B$8="",CONFIG!$B$8&lt;0,CONFIG!$B$8&gt;=1),"",IF(1-K63-CONFIG!$B$8&lt;=0,"",ROUNDUP(ROUND(P63/(1-K63-CONFIG!$B$8),10),2)))</f>
        <v/>
      </c>
      <c r="T63" s="3" t="str">
        <f t="shared" si="7"/>
        <v/>
      </c>
      <c r="U63" s="12" t="str">
        <f>IF(A63="","",IF(OR(P63="",K63="",CONFIG!$B$8=""),"FALTA COSTO O SUPUESTO",IF(1-K63-CONFIG!$B$8&lt;=0,"MARGEN INVIABLE","CALCULADO")))</f>
        <v/>
      </c>
    </row>
    <row r="64" spans="1:21" x14ac:dyDescent="0.45">
      <c r="A64" s="8"/>
      <c r="B64" s="8"/>
      <c r="C64" s="8"/>
      <c r="D64" s="8"/>
      <c r="E64" s="8"/>
      <c r="F64" s="8"/>
      <c r="G64" s="7"/>
      <c r="H64" s="7"/>
      <c r="I64" s="7"/>
      <c r="J64" s="7"/>
      <c r="K64" s="6"/>
      <c r="L64" s="7"/>
      <c r="M64" s="5"/>
      <c r="N64" s="5"/>
      <c r="O64" s="5"/>
      <c r="P64" s="9" t="str">
        <f t="shared" si="4"/>
        <v/>
      </c>
      <c r="Q64" s="9" t="str">
        <f t="shared" si="5"/>
        <v/>
      </c>
      <c r="R64" s="10" t="str">
        <f t="shared" si="6"/>
        <v/>
      </c>
      <c r="S64" s="11" t="str">
        <f>IF(OR(T64&lt;&gt;"OK",P64="",K64="",CONFIG!$B$8="",CONFIG!$B$8&lt;0,CONFIG!$B$8&gt;=1),"",IF(1-K64-CONFIG!$B$8&lt;=0,"",ROUNDUP(ROUND(P64/(1-K64-CONFIG!$B$8),10),2)))</f>
        <v/>
      </c>
      <c r="T64" s="3" t="str">
        <f t="shared" si="7"/>
        <v/>
      </c>
      <c r="U64" s="12" t="str">
        <f>IF(A64="","",IF(OR(P64="",K64="",CONFIG!$B$8=""),"FALTA COSTO O SUPUESTO",IF(1-K64-CONFIG!$B$8&lt;=0,"MARGEN INVIABLE","CALCULADO")))</f>
        <v/>
      </c>
    </row>
    <row r="65" spans="1:21" x14ac:dyDescent="0.45">
      <c r="A65" s="8"/>
      <c r="B65" s="8"/>
      <c r="C65" s="8"/>
      <c r="D65" s="8"/>
      <c r="E65" s="8"/>
      <c r="F65" s="8"/>
      <c r="G65" s="7"/>
      <c r="H65" s="7"/>
      <c r="I65" s="7"/>
      <c r="J65" s="7"/>
      <c r="K65" s="6"/>
      <c r="L65" s="7"/>
      <c r="M65" s="5"/>
      <c r="N65" s="5"/>
      <c r="O65" s="5"/>
      <c r="P65" s="9" t="str">
        <f t="shared" si="4"/>
        <v/>
      </c>
      <c r="Q65" s="9" t="str">
        <f t="shared" si="5"/>
        <v/>
      </c>
      <c r="R65" s="10" t="str">
        <f t="shared" si="6"/>
        <v/>
      </c>
      <c r="S65" s="11" t="str">
        <f>IF(OR(T65&lt;&gt;"OK",P65="",K65="",CONFIG!$B$8="",CONFIG!$B$8&lt;0,CONFIG!$B$8&gt;=1),"",IF(1-K65-CONFIG!$B$8&lt;=0,"",ROUNDUP(ROUND(P65/(1-K65-CONFIG!$B$8),10),2)))</f>
        <v/>
      </c>
      <c r="T65" s="3" t="str">
        <f t="shared" si="7"/>
        <v/>
      </c>
      <c r="U65" s="12" t="str">
        <f>IF(A65="","",IF(OR(P65="",K65="",CONFIG!$B$8=""),"FALTA COSTO O SUPUESTO",IF(1-K65-CONFIG!$B$8&lt;=0,"MARGEN INVIABLE","CALCULADO")))</f>
        <v/>
      </c>
    </row>
    <row r="66" spans="1:21" x14ac:dyDescent="0.45">
      <c r="A66" s="8"/>
      <c r="B66" s="8"/>
      <c r="C66" s="8"/>
      <c r="D66" s="8"/>
      <c r="E66" s="8"/>
      <c r="F66" s="8"/>
      <c r="G66" s="7"/>
      <c r="H66" s="7"/>
      <c r="I66" s="7"/>
      <c r="J66" s="7"/>
      <c r="K66" s="6"/>
      <c r="L66" s="7"/>
      <c r="M66" s="5"/>
      <c r="N66" s="5"/>
      <c r="O66" s="5"/>
      <c r="P66" s="9" t="str">
        <f t="shared" si="4"/>
        <v/>
      </c>
      <c r="Q66" s="9" t="str">
        <f t="shared" si="5"/>
        <v/>
      </c>
      <c r="R66" s="10" t="str">
        <f t="shared" si="6"/>
        <v/>
      </c>
      <c r="S66" s="11" t="str">
        <f>IF(OR(T66&lt;&gt;"OK",P66="",K66="",CONFIG!$B$8="",CONFIG!$B$8&lt;0,CONFIG!$B$8&gt;=1),"",IF(1-K66-CONFIG!$B$8&lt;=0,"",ROUNDUP(ROUND(P66/(1-K66-CONFIG!$B$8),10),2)))</f>
        <v/>
      </c>
      <c r="T66" s="3" t="str">
        <f t="shared" si="7"/>
        <v/>
      </c>
      <c r="U66" s="12" t="str">
        <f>IF(A66="","",IF(OR(P66="",K66="",CONFIG!$B$8=""),"FALTA COSTO O SUPUESTO",IF(1-K66-CONFIG!$B$8&lt;=0,"MARGEN INVIABLE","CALCULADO")))</f>
        <v/>
      </c>
    </row>
    <row r="67" spans="1:21" x14ac:dyDescent="0.45">
      <c r="A67" s="8"/>
      <c r="B67" s="8"/>
      <c r="C67" s="8"/>
      <c r="D67" s="8"/>
      <c r="E67" s="8"/>
      <c r="F67" s="8"/>
      <c r="G67" s="7"/>
      <c r="H67" s="7"/>
      <c r="I67" s="7"/>
      <c r="J67" s="7"/>
      <c r="K67" s="6"/>
      <c r="L67" s="7"/>
      <c r="M67" s="5"/>
      <c r="N67" s="5"/>
      <c r="O67" s="5"/>
      <c r="P67" s="9" t="str">
        <f t="shared" si="4"/>
        <v/>
      </c>
      <c r="Q67" s="9" t="str">
        <f t="shared" si="5"/>
        <v/>
      </c>
      <c r="R67" s="10" t="str">
        <f t="shared" si="6"/>
        <v/>
      </c>
      <c r="S67" s="11" t="str">
        <f>IF(OR(T67&lt;&gt;"OK",P67="",K67="",CONFIG!$B$8="",CONFIG!$B$8&lt;0,CONFIG!$B$8&gt;=1),"",IF(1-K67-CONFIG!$B$8&lt;=0,"",ROUNDUP(ROUND(P67/(1-K67-CONFIG!$B$8),10),2)))</f>
        <v/>
      </c>
      <c r="T67" s="3" t="str">
        <f t="shared" si="7"/>
        <v/>
      </c>
      <c r="U67" s="12" t="str">
        <f>IF(A67="","",IF(OR(P67="",K67="",CONFIG!$B$8=""),"FALTA COSTO O SUPUESTO",IF(1-K67-CONFIG!$B$8&lt;=0,"MARGEN INVIABLE","CALCULADO")))</f>
        <v/>
      </c>
    </row>
    <row r="68" spans="1:21" x14ac:dyDescent="0.45">
      <c r="A68" s="8"/>
      <c r="B68" s="8"/>
      <c r="C68" s="8"/>
      <c r="D68" s="8"/>
      <c r="E68" s="8"/>
      <c r="F68" s="8"/>
      <c r="G68" s="7"/>
      <c r="H68" s="7"/>
      <c r="I68" s="7"/>
      <c r="J68" s="7"/>
      <c r="K68" s="6"/>
      <c r="L68" s="7"/>
      <c r="M68" s="5"/>
      <c r="N68" s="5"/>
      <c r="O68" s="5"/>
      <c r="P68" s="9" t="str">
        <f t="shared" si="4"/>
        <v/>
      </c>
      <c r="Q68" s="9" t="str">
        <f t="shared" si="5"/>
        <v/>
      </c>
      <c r="R68" s="10" t="str">
        <f t="shared" si="6"/>
        <v/>
      </c>
      <c r="S68" s="11" t="str">
        <f>IF(OR(T68&lt;&gt;"OK",P68="",K68="",CONFIG!$B$8="",CONFIG!$B$8&lt;0,CONFIG!$B$8&gt;=1),"",IF(1-K68-CONFIG!$B$8&lt;=0,"",ROUNDUP(ROUND(P68/(1-K68-CONFIG!$B$8),10),2)))</f>
        <v/>
      </c>
      <c r="T68" s="3" t="str">
        <f t="shared" si="7"/>
        <v/>
      </c>
      <c r="U68" s="12" t="str">
        <f>IF(A68="","",IF(OR(P68="",K68="",CONFIG!$B$8=""),"FALTA COSTO O SUPUESTO",IF(1-K68-CONFIG!$B$8&lt;=0,"MARGEN INVIABLE","CALCULADO")))</f>
        <v/>
      </c>
    </row>
    <row r="69" spans="1:21" x14ac:dyDescent="0.45">
      <c r="A69" s="8"/>
      <c r="B69" s="8"/>
      <c r="C69" s="8"/>
      <c r="D69" s="8"/>
      <c r="E69" s="8"/>
      <c r="F69" s="8"/>
      <c r="G69" s="7"/>
      <c r="H69" s="7"/>
      <c r="I69" s="7"/>
      <c r="J69" s="7"/>
      <c r="K69" s="6"/>
      <c r="L69" s="7"/>
      <c r="M69" s="5"/>
      <c r="N69" s="5"/>
      <c r="O69" s="5"/>
      <c r="P69" s="9" t="str">
        <f t="shared" si="4"/>
        <v/>
      </c>
      <c r="Q69" s="9" t="str">
        <f t="shared" si="5"/>
        <v/>
      </c>
      <c r="R69" s="10" t="str">
        <f t="shared" si="6"/>
        <v/>
      </c>
      <c r="S69" s="11" t="str">
        <f>IF(OR(T69&lt;&gt;"OK",P69="",K69="",CONFIG!$B$8="",CONFIG!$B$8&lt;0,CONFIG!$B$8&gt;=1),"",IF(1-K69-CONFIG!$B$8&lt;=0,"",ROUNDUP(ROUND(P69/(1-K69-CONFIG!$B$8),10),2)))</f>
        <v/>
      </c>
      <c r="T69" s="3" t="str">
        <f t="shared" si="7"/>
        <v/>
      </c>
      <c r="U69" s="12" t="str">
        <f>IF(A69="","",IF(OR(P69="",K69="",CONFIG!$B$8=""),"FALTA COSTO O SUPUESTO",IF(1-K69-CONFIG!$B$8&lt;=0,"MARGEN INVIABLE","CALCULADO")))</f>
        <v/>
      </c>
    </row>
    <row r="70" spans="1:21" x14ac:dyDescent="0.45">
      <c r="A70" s="8"/>
      <c r="B70" s="8"/>
      <c r="C70" s="8"/>
      <c r="D70" s="8"/>
      <c r="E70" s="8"/>
      <c r="F70" s="8"/>
      <c r="G70" s="7"/>
      <c r="H70" s="7"/>
      <c r="I70" s="7"/>
      <c r="J70" s="7"/>
      <c r="K70" s="6"/>
      <c r="L70" s="7"/>
      <c r="M70" s="5"/>
      <c r="N70" s="5"/>
      <c r="O70" s="5"/>
      <c r="P70" s="9" t="str">
        <f t="shared" ref="P70:P105" si="8">IFERROR(IF(A70="","",IF(OR(COUNT(H70:J70)+COUNT(L70)&lt;4,H70&lt;0,I70&lt;0,J70&lt;0,L70&lt;0,ABS(H70)&gt;1000000000,ABS(I70)&gt;1000000000,ABS(J70)&gt;1000000000,ABS(L70)&gt;1000000000),"",SUM(H70:J70,L70))),"")</f>
        <v/>
      </c>
      <c r="Q70" s="9" t="str">
        <f t="shared" ref="Q70:Q101" si="9">IF(T70&lt;&gt;"OK","",G70*(1-K70)-P70)</f>
        <v/>
      </c>
      <c r="R70" s="10" t="str">
        <f t="shared" ref="R70:R101" si="10">IF(OR(G70="",G70=0,Q70=""),"",Q70/G70)</f>
        <v/>
      </c>
      <c r="S70" s="11" t="str">
        <f>IF(OR(T70&lt;&gt;"OK",P70="",K70="",CONFIG!$B$8="",CONFIG!$B$8&lt;0,CONFIG!$B$8&gt;=1),"",IF(1-K70-CONFIG!$B$8&lt;=0,"",ROUNDUP(ROUND(P70/(1-K70-CONFIG!$B$8),10),2)))</f>
        <v/>
      </c>
      <c r="T70" s="3" t="str">
        <f t="shared" ref="T70:T105" si="11">IFERROR(IF(A70="","",IF(COUNTIF($A$6:$A$105,A70)&gt;1,"DUPLICADO SKU",IF(OR(B70="",C70="",F70="",G70="",K70="",M70="",N70="",O70=""),"FALTA CAMPO",IF(COUNT(H70:J70)+COUNT(L70)&lt;4,"COSTO INCOMPLETO",IF(OR(G70&lt;=0,H70&lt;0,I70&lt;0,J70&lt;0,L70&lt;0,ABS(G70)&gt;1000000000,ABS(H70)&gt;1000000000,ABS(I70)&gt;1000000000,ABS(J70)&gt;1000000000,ABS(L70)&gt;1000000000,ROUND(G70,2)&lt;&gt;G70,ROUND(H70,2)&lt;&gt;H70,ROUND(I70,2)&lt;&gt;I70,ROUND(J70,2)&lt;&gt;J70,ROUND(L70,2)&lt;&gt;L70,K70&lt;0,K70&gt;=1,M70&lt;0,M70&gt;3650,N70&lt;=0,N70&gt;1000000,O70&lt;=0,O70&gt;1000000),"REVISAR VALOR","OK"))))),"REVISAR VALOR")</f>
        <v/>
      </c>
      <c r="U70" s="12" t="str">
        <f>IF(A70="","",IF(OR(P70="",K70="",CONFIG!$B$8=""),"FALTA COSTO O SUPUESTO",IF(1-K70-CONFIG!$B$8&lt;=0,"MARGEN INVIABLE","CALCULADO")))</f>
        <v/>
      </c>
    </row>
    <row r="71" spans="1:21" x14ac:dyDescent="0.45">
      <c r="A71" s="8"/>
      <c r="B71" s="8"/>
      <c r="C71" s="8"/>
      <c r="D71" s="8"/>
      <c r="E71" s="8"/>
      <c r="F71" s="8"/>
      <c r="G71" s="7"/>
      <c r="H71" s="7"/>
      <c r="I71" s="7"/>
      <c r="J71" s="7"/>
      <c r="K71" s="6"/>
      <c r="L71" s="7"/>
      <c r="M71" s="5"/>
      <c r="N71" s="5"/>
      <c r="O71" s="5"/>
      <c r="P71" s="9" t="str">
        <f t="shared" si="8"/>
        <v/>
      </c>
      <c r="Q71" s="9" t="str">
        <f t="shared" si="9"/>
        <v/>
      </c>
      <c r="R71" s="10" t="str">
        <f t="shared" si="10"/>
        <v/>
      </c>
      <c r="S71" s="11" t="str">
        <f>IF(OR(T71&lt;&gt;"OK",P71="",K71="",CONFIG!$B$8="",CONFIG!$B$8&lt;0,CONFIG!$B$8&gt;=1),"",IF(1-K71-CONFIG!$B$8&lt;=0,"",ROUNDUP(ROUND(P71/(1-K71-CONFIG!$B$8),10),2)))</f>
        <v/>
      </c>
      <c r="T71" s="3" t="str">
        <f t="shared" si="11"/>
        <v/>
      </c>
      <c r="U71" s="12" t="str">
        <f>IF(A71="","",IF(OR(P71="",K71="",CONFIG!$B$8=""),"FALTA COSTO O SUPUESTO",IF(1-K71-CONFIG!$B$8&lt;=0,"MARGEN INVIABLE","CALCULADO")))</f>
        <v/>
      </c>
    </row>
    <row r="72" spans="1:21" x14ac:dyDescent="0.45">
      <c r="A72" s="8"/>
      <c r="B72" s="8"/>
      <c r="C72" s="8"/>
      <c r="D72" s="8"/>
      <c r="E72" s="8"/>
      <c r="F72" s="8"/>
      <c r="G72" s="7"/>
      <c r="H72" s="7"/>
      <c r="I72" s="7"/>
      <c r="J72" s="7"/>
      <c r="K72" s="6"/>
      <c r="L72" s="7"/>
      <c r="M72" s="5"/>
      <c r="N72" s="5"/>
      <c r="O72" s="5"/>
      <c r="P72" s="9" t="str">
        <f t="shared" si="8"/>
        <v/>
      </c>
      <c r="Q72" s="9" t="str">
        <f t="shared" si="9"/>
        <v/>
      </c>
      <c r="R72" s="10" t="str">
        <f t="shared" si="10"/>
        <v/>
      </c>
      <c r="S72" s="11" t="str">
        <f>IF(OR(T72&lt;&gt;"OK",P72="",K72="",CONFIG!$B$8="",CONFIG!$B$8&lt;0,CONFIG!$B$8&gt;=1),"",IF(1-K72-CONFIG!$B$8&lt;=0,"",ROUNDUP(ROUND(P72/(1-K72-CONFIG!$B$8),10),2)))</f>
        <v/>
      </c>
      <c r="T72" s="3" t="str">
        <f t="shared" si="11"/>
        <v/>
      </c>
      <c r="U72" s="12" t="str">
        <f>IF(A72="","",IF(OR(P72="",K72="",CONFIG!$B$8=""),"FALTA COSTO O SUPUESTO",IF(1-K72-CONFIG!$B$8&lt;=0,"MARGEN INVIABLE","CALCULADO")))</f>
        <v/>
      </c>
    </row>
    <row r="73" spans="1:21" x14ac:dyDescent="0.45">
      <c r="A73" s="8"/>
      <c r="B73" s="8"/>
      <c r="C73" s="8"/>
      <c r="D73" s="8"/>
      <c r="E73" s="8"/>
      <c r="F73" s="8"/>
      <c r="G73" s="7"/>
      <c r="H73" s="7"/>
      <c r="I73" s="7"/>
      <c r="J73" s="7"/>
      <c r="K73" s="6"/>
      <c r="L73" s="7"/>
      <c r="M73" s="5"/>
      <c r="N73" s="5"/>
      <c r="O73" s="5"/>
      <c r="P73" s="9" t="str">
        <f t="shared" si="8"/>
        <v/>
      </c>
      <c r="Q73" s="9" t="str">
        <f t="shared" si="9"/>
        <v/>
      </c>
      <c r="R73" s="10" t="str">
        <f t="shared" si="10"/>
        <v/>
      </c>
      <c r="S73" s="11" t="str">
        <f>IF(OR(T73&lt;&gt;"OK",P73="",K73="",CONFIG!$B$8="",CONFIG!$B$8&lt;0,CONFIG!$B$8&gt;=1),"",IF(1-K73-CONFIG!$B$8&lt;=0,"",ROUNDUP(ROUND(P73/(1-K73-CONFIG!$B$8),10),2)))</f>
        <v/>
      </c>
      <c r="T73" s="3" t="str">
        <f t="shared" si="11"/>
        <v/>
      </c>
      <c r="U73" s="12" t="str">
        <f>IF(A73="","",IF(OR(P73="",K73="",CONFIG!$B$8=""),"FALTA COSTO O SUPUESTO",IF(1-K73-CONFIG!$B$8&lt;=0,"MARGEN INVIABLE","CALCULADO")))</f>
        <v/>
      </c>
    </row>
    <row r="74" spans="1:21" x14ac:dyDescent="0.45">
      <c r="A74" s="8"/>
      <c r="B74" s="8"/>
      <c r="C74" s="8"/>
      <c r="D74" s="8"/>
      <c r="E74" s="8"/>
      <c r="F74" s="8"/>
      <c r="G74" s="7"/>
      <c r="H74" s="7"/>
      <c r="I74" s="7"/>
      <c r="J74" s="7"/>
      <c r="K74" s="6"/>
      <c r="L74" s="7"/>
      <c r="M74" s="5"/>
      <c r="N74" s="5"/>
      <c r="O74" s="5"/>
      <c r="P74" s="9" t="str">
        <f t="shared" si="8"/>
        <v/>
      </c>
      <c r="Q74" s="9" t="str">
        <f t="shared" si="9"/>
        <v/>
      </c>
      <c r="R74" s="10" t="str">
        <f t="shared" si="10"/>
        <v/>
      </c>
      <c r="S74" s="11" t="str">
        <f>IF(OR(T74&lt;&gt;"OK",P74="",K74="",CONFIG!$B$8="",CONFIG!$B$8&lt;0,CONFIG!$B$8&gt;=1),"",IF(1-K74-CONFIG!$B$8&lt;=0,"",ROUNDUP(ROUND(P74/(1-K74-CONFIG!$B$8),10),2)))</f>
        <v/>
      </c>
      <c r="T74" s="3" t="str">
        <f t="shared" si="11"/>
        <v/>
      </c>
      <c r="U74" s="12" t="str">
        <f>IF(A74="","",IF(OR(P74="",K74="",CONFIG!$B$8=""),"FALTA COSTO O SUPUESTO",IF(1-K74-CONFIG!$B$8&lt;=0,"MARGEN INVIABLE","CALCULADO")))</f>
        <v/>
      </c>
    </row>
    <row r="75" spans="1:21" x14ac:dyDescent="0.45">
      <c r="A75" s="8"/>
      <c r="B75" s="8"/>
      <c r="C75" s="8"/>
      <c r="D75" s="8"/>
      <c r="E75" s="8"/>
      <c r="F75" s="8"/>
      <c r="G75" s="7"/>
      <c r="H75" s="7"/>
      <c r="I75" s="7"/>
      <c r="J75" s="7"/>
      <c r="K75" s="6"/>
      <c r="L75" s="7"/>
      <c r="M75" s="5"/>
      <c r="N75" s="5"/>
      <c r="O75" s="5"/>
      <c r="P75" s="9" t="str">
        <f t="shared" si="8"/>
        <v/>
      </c>
      <c r="Q75" s="9" t="str">
        <f t="shared" si="9"/>
        <v/>
      </c>
      <c r="R75" s="10" t="str">
        <f t="shared" si="10"/>
        <v/>
      </c>
      <c r="S75" s="11" t="str">
        <f>IF(OR(T75&lt;&gt;"OK",P75="",K75="",CONFIG!$B$8="",CONFIG!$B$8&lt;0,CONFIG!$B$8&gt;=1),"",IF(1-K75-CONFIG!$B$8&lt;=0,"",ROUNDUP(ROUND(P75/(1-K75-CONFIG!$B$8),10),2)))</f>
        <v/>
      </c>
      <c r="T75" s="3" t="str">
        <f t="shared" si="11"/>
        <v/>
      </c>
      <c r="U75" s="12" t="str">
        <f>IF(A75="","",IF(OR(P75="",K75="",CONFIG!$B$8=""),"FALTA COSTO O SUPUESTO",IF(1-K75-CONFIG!$B$8&lt;=0,"MARGEN INVIABLE","CALCULADO")))</f>
        <v/>
      </c>
    </row>
    <row r="76" spans="1:21" x14ac:dyDescent="0.45">
      <c r="A76" s="8"/>
      <c r="B76" s="8"/>
      <c r="C76" s="8"/>
      <c r="D76" s="8"/>
      <c r="E76" s="8"/>
      <c r="F76" s="8"/>
      <c r="G76" s="7"/>
      <c r="H76" s="7"/>
      <c r="I76" s="7"/>
      <c r="J76" s="7"/>
      <c r="K76" s="6"/>
      <c r="L76" s="7"/>
      <c r="M76" s="5"/>
      <c r="N76" s="5"/>
      <c r="O76" s="5"/>
      <c r="P76" s="9" t="str">
        <f t="shared" si="8"/>
        <v/>
      </c>
      <c r="Q76" s="9" t="str">
        <f t="shared" si="9"/>
        <v/>
      </c>
      <c r="R76" s="10" t="str">
        <f t="shared" si="10"/>
        <v/>
      </c>
      <c r="S76" s="11" t="str">
        <f>IF(OR(T76&lt;&gt;"OK",P76="",K76="",CONFIG!$B$8="",CONFIG!$B$8&lt;0,CONFIG!$B$8&gt;=1),"",IF(1-K76-CONFIG!$B$8&lt;=0,"",ROUNDUP(ROUND(P76/(1-K76-CONFIG!$B$8),10),2)))</f>
        <v/>
      </c>
      <c r="T76" s="3" t="str">
        <f t="shared" si="11"/>
        <v/>
      </c>
      <c r="U76" s="12" t="str">
        <f>IF(A76="","",IF(OR(P76="",K76="",CONFIG!$B$8=""),"FALTA COSTO O SUPUESTO",IF(1-K76-CONFIG!$B$8&lt;=0,"MARGEN INVIABLE","CALCULADO")))</f>
        <v/>
      </c>
    </row>
    <row r="77" spans="1:21" x14ac:dyDescent="0.45">
      <c r="A77" s="8"/>
      <c r="B77" s="8"/>
      <c r="C77" s="8"/>
      <c r="D77" s="8"/>
      <c r="E77" s="8"/>
      <c r="F77" s="8"/>
      <c r="G77" s="7"/>
      <c r="H77" s="7"/>
      <c r="I77" s="7"/>
      <c r="J77" s="7"/>
      <c r="K77" s="6"/>
      <c r="L77" s="7"/>
      <c r="M77" s="5"/>
      <c r="N77" s="5"/>
      <c r="O77" s="5"/>
      <c r="P77" s="9" t="str">
        <f t="shared" si="8"/>
        <v/>
      </c>
      <c r="Q77" s="9" t="str">
        <f t="shared" si="9"/>
        <v/>
      </c>
      <c r="R77" s="10" t="str">
        <f t="shared" si="10"/>
        <v/>
      </c>
      <c r="S77" s="11" t="str">
        <f>IF(OR(T77&lt;&gt;"OK",P77="",K77="",CONFIG!$B$8="",CONFIG!$B$8&lt;0,CONFIG!$B$8&gt;=1),"",IF(1-K77-CONFIG!$B$8&lt;=0,"",ROUNDUP(ROUND(P77/(1-K77-CONFIG!$B$8),10),2)))</f>
        <v/>
      </c>
      <c r="T77" s="3" t="str">
        <f t="shared" si="11"/>
        <v/>
      </c>
      <c r="U77" s="12" t="str">
        <f>IF(A77="","",IF(OR(P77="",K77="",CONFIG!$B$8=""),"FALTA COSTO O SUPUESTO",IF(1-K77-CONFIG!$B$8&lt;=0,"MARGEN INVIABLE","CALCULADO")))</f>
        <v/>
      </c>
    </row>
    <row r="78" spans="1:21" x14ac:dyDescent="0.45">
      <c r="A78" s="8"/>
      <c r="B78" s="8"/>
      <c r="C78" s="8"/>
      <c r="D78" s="8"/>
      <c r="E78" s="8"/>
      <c r="F78" s="8"/>
      <c r="G78" s="7"/>
      <c r="H78" s="7"/>
      <c r="I78" s="7"/>
      <c r="J78" s="7"/>
      <c r="K78" s="6"/>
      <c r="L78" s="7"/>
      <c r="M78" s="5"/>
      <c r="N78" s="5"/>
      <c r="O78" s="5"/>
      <c r="P78" s="9" t="str">
        <f t="shared" si="8"/>
        <v/>
      </c>
      <c r="Q78" s="9" t="str">
        <f t="shared" si="9"/>
        <v/>
      </c>
      <c r="R78" s="10" t="str">
        <f t="shared" si="10"/>
        <v/>
      </c>
      <c r="S78" s="11" t="str">
        <f>IF(OR(T78&lt;&gt;"OK",P78="",K78="",CONFIG!$B$8="",CONFIG!$B$8&lt;0,CONFIG!$B$8&gt;=1),"",IF(1-K78-CONFIG!$B$8&lt;=0,"",ROUNDUP(ROUND(P78/(1-K78-CONFIG!$B$8),10),2)))</f>
        <v/>
      </c>
      <c r="T78" s="3" t="str">
        <f t="shared" si="11"/>
        <v/>
      </c>
      <c r="U78" s="12" t="str">
        <f>IF(A78="","",IF(OR(P78="",K78="",CONFIG!$B$8=""),"FALTA COSTO O SUPUESTO",IF(1-K78-CONFIG!$B$8&lt;=0,"MARGEN INVIABLE","CALCULADO")))</f>
        <v/>
      </c>
    </row>
    <row r="79" spans="1:21" x14ac:dyDescent="0.45">
      <c r="A79" s="8"/>
      <c r="B79" s="8"/>
      <c r="C79" s="8"/>
      <c r="D79" s="8"/>
      <c r="E79" s="8"/>
      <c r="F79" s="8"/>
      <c r="G79" s="7"/>
      <c r="H79" s="7"/>
      <c r="I79" s="7"/>
      <c r="J79" s="7"/>
      <c r="K79" s="6"/>
      <c r="L79" s="7"/>
      <c r="M79" s="5"/>
      <c r="N79" s="5"/>
      <c r="O79" s="5"/>
      <c r="P79" s="9" t="str">
        <f t="shared" si="8"/>
        <v/>
      </c>
      <c r="Q79" s="9" t="str">
        <f t="shared" si="9"/>
        <v/>
      </c>
      <c r="R79" s="10" t="str">
        <f t="shared" si="10"/>
        <v/>
      </c>
      <c r="S79" s="11" t="str">
        <f>IF(OR(T79&lt;&gt;"OK",P79="",K79="",CONFIG!$B$8="",CONFIG!$B$8&lt;0,CONFIG!$B$8&gt;=1),"",IF(1-K79-CONFIG!$B$8&lt;=0,"",ROUNDUP(ROUND(P79/(1-K79-CONFIG!$B$8),10),2)))</f>
        <v/>
      </c>
      <c r="T79" s="3" t="str">
        <f t="shared" si="11"/>
        <v/>
      </c>
      <c r="U79" s="12" t="str">
        <f>IF(A79="","",IF(OR(P79="",K79="",CONFIG!$B$8=""),"FALTA COSTO O SUPUESTO",IF(1-K79-CONFIG!$B$8&lt;=0,"MARGEN INVIABLE","CALCULADO")))</f>
        <v/>
      </c>
    </row>
    <row r="80" spans="1:21" x14ac:dyDescent="0.45">
      <c r="A80" s="8"/>
      <c r="B80" s="8"/>
      <c r="C80" s="8"/>
      <c r="D80" s="8"/>
      <c r="E80" s="8"/>
      <c r="F80" s="8"/>
      <c r="G80" s="7"/>
      <c r="H80" s="7"/>
      <c r="I80" s="7"/>
      <c r="J80" s="7"/>
      <c r="K80" s="6"/>
      <c r="L80" s="7"/>
      <c r="M80" s="5"/>
      <c r="N80" s="5"/>
      <c r="O80" s="5"/>
      <c r="P80" s="9" t="str">
        <f t="shared" si="8"/>
        <v/>
      </c>
      <c r="Q80" s="9" t="str">
        <f t="shared" si="9"/>
        <v/>
      </c>
      <c r="R80" s="10" t="str">
        <f t="shared" si="10"/>
        <v/>
      </c>
      <c r="S80" s="11" t="str">
        <f>IF(OR(T80&lt;&gt;"OK",P80="",K80="",CONFIG!$B$8="",CONFIG!$B$8&lt;0,CONFIG!$B$8&gt;=1),"",IF(1-K80-CONFIG!$B$8&lt;=0,"",ROUNDUP(ROUND(P80/(1-K80-CONFIG!$B$8),10),2)))</f>
        <v/>
      </c>
      <c r="T80" s="3" t="str">
        <f t="shared" si="11"/>
        <v/>
      </c>
      <c r="U80" s="12" t="str">
        <f>IF(A80="","",IF(OR(P80="",K80="",CONFIG!$B$8=""),"FALTA COSTO O SUPUESTO",IF(1-K80-CONFIG!$B$8&lt;=0,"MARGEN INVIABLE","CALCULADO")))</f>
        <v/>
      </c>
    </row>
    <row r="81" spans="1:21" x14ac:dyDescent="0.45">
      <c r="A81" s="8"/>
      <c r="B81" s="8"/>
      <c r="C81" s="8"/>
      <c r="D81" s="8"/>
      <c r="E81" s="8"/>
      <c r="F81" s="8"/>
      <c r="G81" s="7"/>
      <c r="H81" s="7"/>
      <c r="I81" s="7"/>
      <c r="J81" s="7"/>
      <c r="K81" s="6"/>
      <c r="L81" s="7"/>
      <c r="M81" s="5"/>
      <c r="N81" s="5"/>
      <c r="O81" s="5"/>
      <c r="P81" s="9" t="str">
        <f t="shared" si="8"/>
        <v/>
      </c>
      <c r="Q81" s="9" t="str">
        <f t="shared" si="9"/>
        <v/>
      </c>
      <c r="R81" s="10" t="str">
        <f t="shared" si="10"/>
        <v/>
      </c>
      <c r="S81" s="11" t="str">
        <f>IF(OR(T81&lt;&gt;"OK",P81="",K81="",CONFIG!$B$8="",CONFIG!$B$8&lt;0,CONFIG!$B$8&gt;=1),"",IF(1-K81-CONFIG!$B$8&lt;=0,"",ROUNDUP(ROUND(P81/(1-K81-CONFIG!$B$8),10),2)))</f>
        <v/>
      </c>
      <c r="T81" s="3" t="str">
        <f t="shared" si="11"/>
        <v/>
      </c>
      <c r="U81" s="12" t="str">
        <f>IF(A81="","",IF(OR(P81="",K81="",CONFIG!$B$8=""),"FALTA COSTO O SUPUESTO",IF(1-K81-CONFIG!$B$8&lt;=0,"MARGEN INVIABLE","CALCULADO")))</f>
        <v/>
      </c>
    </row>
    <row r="82" spans="1:21" x14ac:dyDescent="0.45">
      <c r="A82" s="8"/>
      <c r="B82" s="8"/>
      <c r="C82" s="8"/>
      <c r="D82" s="8"/>
      <c r="E82" s="8"/>
      <c r="F82" s="8"/>
      <c r="G82" s="7"/>
      <c r="H82" s="7"/>
      <c r="I82" s="7"/>
      <c r="J82" s="7"/>
      <c r="K82" s="6"/>
      <c r="L82" s="7"/>
      <c r="M82" s="5"/>
      <c r="N82" s="5"/>
      <c r="O82" s="5"/>
      <c r="P82" s="9" t="str">
        <f t="shared" si="8"/>
        <v/>
      </c>
      <c r="Q82" s="9" t="str">
        <f t="shared" si="9"/>
        <v/>
      </c>
      <c r="R82" s="10" t="str">
        <f t="shared" si="10"/>
        <v/>
      </c>
      <c r="S82" s="11" t="str">
        <f>IF(OR(T82&lt;&gt;"OK",P82="",K82="",CONFIG!$B$8="",CONFIG!$B$8&lt;0,CONFIG!$B$8&gt;=1),"",IF(1-K82-CONFIG!$B$8&lt;=0,"",ROUNDUP(ROUND(P82/(1-K82-CONFIG!$B$8),10),2)))</f>
        <v/>
      </c>
      <c r="T82" s="3" t="str">
        <f t="shared" si="11"/>
        <v/>
      </c>
      <c r="U82" s="12" t="str">
        <f>IF(A82="","",IF(OR(P82="",K82="",CONFIG!$B$8=""),"FALTA COSTO O SUPUESTO",IF(1-K82-CONFIG!$B$8&lt;=0,"MARGEN INVIABLE","CALCULADO")))</f>
        <v/>
      </c>
    </row>
    <row r="83" spans="1:21" x14ac:dyDescent="0.45">
      <c r="A83" s="8"/>
      <c r="B83" s="8"/>
      <c r="C83" s="8"/>
      <c r="D83" s="8"/>
      <c r="E83" s="8"/>
      <c r="F83" s="8"/>
      <c r="G83" s="7"/>
      <c r="H83" s="7"/>
      <c r="I83" s="7"/>
      <c r="J83" s="7"/>
      <c r="K83" s="6"/>
      <c r="L83" s="7"/>
      <c r="M83" s="5"/>
      <c r="N83" s="5"/>
      <c r="O83" s="5"/>
      <c r="P83" s="9" t="str">
        <f t="shared" si="8"/>
        <v/>
      </c>
      <c r="Q83" s="9" t="str">
        <f t="shared" si="9"/>
        <v/>
      </c>
      <c r="R83" s="10" t="str">
        <f t="shared" si="10"/>
        <v/>
      </c>
      <c r="S83" s="11" t="str">
        <f>IF(OR(T83&lt;&gt;"OK",P83="",K83="",CONFIG!$B$8="",CONFIG!$B$8&lt;0,CONFIG!$B$8&gt;=1),"",IF(1-K83-CONFIG!$B$8&lt;=0,"",ROUNDUP(ROUND(P83/(1-K83-CONFIG!$B$8),10),2)))</f>
        <v/>
      </c>
      <c r="T83" s="3" t="str">
        <f t="shared" si="11"/>
        <v/>
      </c>
      <c r="U83" s="12" t="str">
        <f>IF(A83="","",IF(OR(P83="",K83="",CONFIG!$B$8=""),"FALTA COSTO O SUPUESTO",IF(1-K83-CONFIG!$B$8&lt;=0,"MARGEN INVIABLE","CALCULADO")))</f>
        <v/>
      </c>
    </row>
    <row r="84" spans="1:21" x14ac:dyDescent="0.45">
      <c r="A84" s="8"/>
      <c r="B84" s="8"/>
      <c r="C84" s="8"/>
      <c r="D84" s="8"/>
      <c r="E84" s="8"/>
      <c r="F84" s="8"/>
      <c r="G84" s="7"/>
      <c r="H84" s="7"/>
      <c r="I84" s="7"/>
      <c r="J84" s="7"/>
      <c r="K84" s="6"/>
      <c r="L84" s="7"/>
      <c r="M84" s="5"/>
      <c r="N84" s="5"/>
      <c r="O84" s="5"/>
      <c r="P84" s="9" t="str">
        <f t="shared" si="8"/>
        <v/>
      </c>
      <c r="Q84" s="9" t="str">
        <f t="shared" si="9"/>
        <v/>
      </c>
      <c r="R84" s="10" t="str">
        <f t="shared" si="10"/>
        <v/>
      </c>
      <c r="S84" s="11" t="str">
        <f>IF(OR(T84&lt;&gt;"OK",P84="",K84="",CONFIG!$B$8="",CONFIG!$B$8&lt;0,CONFIG!$B$8&gt;=1),"",IF(1-K84-CONFIG!$B$8&lt;=0,"",ROUNDUP(ROUND(P84/(1-K84-CONFIG!$B$8),10),2)))</f>
        <v/>
      </c>
      <c r="T84" s="3" t="str">
        <f t="shared" si="11"/>
        <v/>
      </c>
      <c r="U84" s="12" t="str">
        <f>IF(A84="","",IF(OR(P84="",K84="",CONFIG!$B$8=""),"FALTA COSTO O SUPUESTO",IF(1-K84-CONFIG!$B$8&lt;=0,"MARGEN INVIABLE","CALCULADO")))</f>
        <v/>
      </c>
    </row>
    <row r="85" spans="1:21" x14ac:dyDescent="0.45">
      <c r="A85" s="8"/>
      <c r="B85" s="8"/>
      <c r="C85" s="8"/>
      <c r="D85" s="8"/>
      <c r="E85" s="8"/>
      <c r="F85" s="8"/>
      <c r="G85" s="7"/>
      <c r="H85" s="7"/>
      <c r="I85" s="7"/>
      <c r="J85" s="7"/>
      <c r="K85" s="6"/>
      <c r="L85" s="7"/>
      <c r="M85" s="5"/>
      <c r="N85" s="5"/>
      <c r="O85" s="5"/>
      <c r="P85" s="9" t="str">
        <f t="shared" si="8"/>
        <v/>
      </c>
      <c r="Q85" s="9" t="str">
        <f t="shared" si="9"/>
        <v/>
      </c>
      <c r="R85" s="10" t="str">
        <f t="shared" si="10"/>
        <v/>
      </c>
      <c r="S85" s="11" t="str">
        <f>IF(OR(T85&lt;&gt;"OK",P85="",K85="",CONFIG!$B$8="",CONFIG!$B$8&lt;0,CONFIG!$B$8&gt;=1),"",IF(1-K85-CONFIG!$B$8&lt;=0,"",ROUNDUP(ROUND(P85/(1-K85-CONFIG!$B$8),10),2)))</f>
        <v/>
      </c>
      <c r="T85" s="3" t="str">
        <f t="shared" si="11"/>
        <v/>
      </c>
      <c r="U85" s="12" t="str">
        <f>IF(A85="","",IF(OR(P85="",K85="",CONFIG!$B$8=""),"FALTA COSTO O SUPUESTO",IF(1-K85-CONFIG!$B$8&lt;=0,"MARGEN INVIABLE","CALCULADO")))</f>
        <v/>
      </c>
    </row>
    <row r="86" spans="1:21" x14ac:dyDescent="0.45">
      <c r="A86" s="8"/>
      <c r="B86" s="8"/>
      <c r="C86" s="8"/>
      <c r="D86" s="8"/>
      <c r="E86" s="8"/>
      <c r="F86" s="8"/>
      <c r="G86" s="7"/>
      <c r="H86" s="7"/>
      <c r="I86" s="7"/>
      <c r="J86" s="7"/>
      <c r="K86" s="6"/>
      <c r="L86" s="7"/>
      <c r="M86" s="5"/>
      <c r="N86" s="5"/>
      <c r="O86" s="5"/>
      <c r="P86" s="9" t="str">
        <f t="shared" si="8"/>
        <v/>
      </c>
      <c r="Q86" s="9" t="str">
        <f t="shared" si="9"/>
        <v/>
      </c>
      <c r="R86" s="10" t="str">
        <f t="shared" si="10"/>
        <v/>
      </c>
      <c r="S86" s="11" t="str">
        <f>IF(OR(T86&lt;&gt;"OK",P86="",K86="",CONFIG!$B$8="",CONFIG!$B$8&lt;0,CONFIG!$B$8&gt;=1),"",IF(1-K86-CONFIG!$B$8&lt;=0,"",ROUNDUP(ROUND(P86/(1-K86-CONFIG!$B$8),10),2)))</f>
        <v/>
      </c>
      <c r="T86" s="3" t="str">
        <f t="shared" si="11"/>
        <v/>
      </c>
      <c r="U86" s="12" t="str">
        <f>IF(A86="","",IF(OR(P86="",K86="",CONFIG!$B$8=""),"FALTA COSTO O SUPUESTO",IF(1-K86-CONFIG!$B$8&lt;=0,"MARGEN INVIABLE","CALCULADO")))</f>
        <v/>
      </c>
    </row>
    <row r="87" spans="1:21" x14ac:dyDescent="0.45">
      <c r="A87" s="8"/>
      <c r="B87" s="8"/>
      <c r="C87" s="8"/>
      <c r="D87" s="8"/>
      <c r="E87" s="8"/>
      <c r="F87" s="8"/>
      <c r="G87" s="7"/>
      <c r="H87" s="7"/>
      <c r="I87" s="7"/>
      <c r="J87" s="7"/>
      <c r="K87" s="6"/>
      <c r="L87" s="7"/>
      <c r="M87" s="5"/>
      <c r="N87" s="5"/>
      <c r="O87" s="5"/>
      <c r="P87" s="9" t="str">
        <f t="shared" si="8"/>
        <v/>
      </c>
      <c r="Q87" s="9" t="str">
        <f t="shared" si="9"/>
        <v/>
      </c>
      <c r="R87" s="10" t="str">
        <f t="shared" si="10"/>
        <v/>
      </c>
      <c r="S87" s="11" t="str">
        <f>IF(OR(T87&lt;&gt;"OK",P87="",K87="",CONFIG!$B$8="",CONFIG!$B$8&lt;0,CONFIG!$B$8&gt;=1),"",IF(1-K87-CONFIG!$B$8&lt;=0,"",ROUNDUP(ROUND(P87/(1-K87-CONFIG!$B$8),10),2)))</f>
        <v/>
      </c>
      <c r="T87" s="3" t="str">
        <f t="shared" si="11"/>
        <v/>
      </c>
      <c r="U87" s="12" t="str">
        <f>IF(A87="","",IF(OR(P87="",K87="",CONFIG!$B$8=""),"FALTA COSTO O SUPUESTO",IF(1-K87-CONFIG!$B$8&lt;=0,"MARGEN INVIABLE","CALCULADO")))</f>
        <v/>
      </c>
    </row>
    <row r="88" spans="1:21" x14ac:dyDescent="0.45">
      <c r="A88" s="8"/>
      <c r="B88" s="8"/>
      <c r="C88" s="8"/>
      <c r="D88" s="8"/>
      <c r="E88" s="8"/>
      <c r="F88" s="8"/>
      <c r="G88" s="7"/>
      <c r="H88" s="7"/>
      <c r="I88" s="7"/>
      <c r="J88" s="7"/>
      <c r="K88" s="6"/>
      <c r="L88" s="7"/>
      <c r="M88" s="5"/>
      <c r="N88" s="5"/>
      <c r="O88" s="5"/>
      <c r="P88" s="9" t="str">
        <f t="shared" si="8"/>
        <v/>
      </c>
      <c r="Q88" s="9" t="str">
        <f t="shared" si="9"/>
        <v/>
      </c>
      <c r="R88" s="10" t="str">
        <f t="shared" si="10"/>
        <v/>
      </c>
      <c r="S88" s="11" t="str">
        <f>IF(OR(T88&lt;&gt;"OK",P88="",K88="",CONFIG!$B$8="",CONFIG!$B$8&lt;0,CONFIG!$B$8&gt;=1),"",IF(1-K88-CONFIG!$B$8&lt;=0,"",ROUNDUP(ROUND(P88/(1-K88-CONFIG!$B$8),10),2)))</f>
        <v/>
      </c>
      <c r="T88" s="3" t="str">
        <f t="shared" si="11"/>
        <v/>
      </c>
      <c r="U88" s="12" t="str">
        <f>IF(A88="","",IF(OR(P88="",K88="",CONFIG!$B$8=""),"FALTA COSTO O SUPUESTO",IF(1-K88-CONFIG!$B$8&lt;=0,"MARGEN INVIABLE","CALCULADO")))</f>
        <v/>
      </c>
    </row>
    <row r="89" spans="1:21" x14ac:dyDescent="0.45">
      <c r="A89" s="8"/>
      <c r="B89" s="8"/>
      <c r="C89" s="8"/>
      <c r="D89" s="8"/>
      <c r="E89" s="8"/>
      <c r="F89" s="8"/>
      <c r="G89" s="7"/>
      <c r="H89" s="7"/>
      <c r="I89" s="7"/>
      <c r="J89" s="7"/>
      <c r="K89" s="6"/>
      <c r="L89" s="7"/>
      <c r="M89" s="5"/>
      <c r="N89" s="5"/>
      <c r="O89" s="5"/>
      <c r="P89" s="9" t="str">
        <f t="shared" si="8"/>
        <v/>
      </c>
      <c r="Q89" s="9" t="str">
        <f t="shared" si="9"/>
        <v/>
      </c>
      <c r="R89" s="10" t="str">
        <f t="shared" si="10"/>
        <v/>
      </c>
      <c r="S89" s="11" t="str">
        <f>IF(OR(T89&lt;&gt;"OK",P89="",K89="",CONFIG!$B$8="",CONFIG!$B$8&lt;0,CONFIG!$B$8&gt;=1),"",IF(1-K89-CONFIG!$B$8&lt;=0,"",ROUNDUP(ROUND(P89/(1-K89-CONFIG!$B$8),10),2)))</f>
        <v/>
      </c>
      <c r="T89" s="3" t="str">
        <f t="shared" si="11"/>
        <v/>
      </c>
      <c r="U89" s="12" t="str">
        <f>IF(A89="","",IF(OR(P89="",K89="",CONFIG!$B$8=""),"FALTA COSTO O SUPUESTO",IF(1-K89-CONFIG!$B$8&lt;=0,"MARGEN INVIABLE","CALCULADO")))</f>
        <v/>
      </c>
    </row>
    <row r="90" spans="1:21" x14ac:dyDescent="0.45">
      <c r="A90" s="8"/>
      <c r="B90" s="8"/>
      <c r="C90" s="8"/>
      <c r="D90" s="8"/>
      <c r="E90" s="8"/>
      <c r="F90" s="8"/>
      <c r="G90" s="7"/>
      <c r="H90" s="7"/>
      <c r="I90" s="7"/>
      <c r="J90" s="7"/>
      <c r="K90" s="6"/>
      <c r="L90" s="7"/>
      <c r="M90" s="5"/>
      <c r="N90" s="5"/>
      <c r="O90" s="5"/>
      <c r="P90" s="9" t="str">
        <f t="shared" si="8"/>
        <v/>
      </c>
      <c r="Q90" s="9" t="str">
        <f t="shared" si="9"/>
        <v/>
      </c>
      <c r="R90" s="10" t="str">
        <f t="shared" si="10"/>
        <v/>
      </c>
      <c r="S90" s="11" t="str">
        <f>IF(OR(T90&lt;&gt;"OK",P90="",K90="",CONFIG!$B$8="",CONFIG!$B$8&lt;0,CONFIG!$B$8&gt;=1),"",IF(1-K90-CONFIG!$B$8&lt;=0,"",ROUNDUP(ROUND(P90/(1-K90-CONFIG!$B$8),10),2)))</f>
        <v/>
      </c>
      <c r="T90" s="3" t="str">
        <f t="shared" si="11"/>
        <v/>
      </c>
      <c r="U90" s="12" t="str">
        <f>IF(A90="","",IF(OR(P90="",K90="",CONFIG!$B$8=""),"FALTA COSTO O SUPUESTO",IF(1-K90-CONFIG!$B$8&lt;=0,"MARGEN INVIABLE","CALCULADO")))</f>
        <v/>
      </c>
    </row>
    <row r="91" spans="1:21" x14ac:dyDescent="0.45">
      <c r="A91" s="8"/>
      <c r="B91" s="8"/>
      <c r="C91" s="8"/>
      <c r="D91" s="8"/>
      <c r="E91" s="8"/>
      <c r="F91" s="8"/>
      <c r="G91" s="7"/>
      <c r="H91" s="7"/>
      <c r="I91" s="7"/>
      <c r="J91" s="7"/>
      <c r="K91" s="6"/>
      <c r="L91" s="7"/>
      <c r="M91" s="5"/>
      <c r="N91" s="5"/>
      <c r="O91" s="5"/>
      <c r="P91" s="9" t="str">
        <f t="shared" si="8"/>
        <v/>
      </c>
      <c r="Q91" s="9" t="str">
        <f t="shared" si="9"/>
        <v/>
      </c>
      <c r="R91" s="10" t="str">
        <f t="shared" si="10"/>
        <v/>
      </c>
      <c r="S91" s="11" t="str">
        <f>IF(OR(T91&lt;&gt;"OK",P91="",K91="",CONFIG!$B$8="",CONFIG!$B$8&lt;0,CONFIG!$B$8&gt;=1),"",IF(1-K91-CONFIG!$B$8&lt;=0,"",ROUNDUP(ROUND(P91/(1-K91-CONFIG!$B$8),10),2)))</f>
        <v/>
      </c>
      <c r="T91" s="3" t="str">
        <f t="shared" si="11"/>
        <v/>
      </c>
      <c r="U91" s="12" t="str">
        <f>IF(A91="","",IF(OR(P91="",K91="",CONFIG!$B$8=""),"FALTA COSTO O SUPUESTO",IF(1-K91-CONFIG!$B$8&lt;=0,"MARGEN INVIABLE","CALCULADO")))</f>
        <v/>
      </c>
    </row>
    <row r="92" spans="1:21" x14ac:dyDescent="0.45">
      <c r="A92" s="8"/>
      <c r="B92" s="8"/>
      <c r="C92" s="8"/>
      <c r="D92" s="8"/>
      <c r="E92" s="8"/>
      <c r="F92" s="8"/>
      <c r="G92" s="7"/>
      <c r="H92" s="7"/>
      <c r="I92" s="7"/>
      <c r="J92" s="7"/>
      <c r="K92" s="6"/>
      <c r="L92" s="7"/>
      <c r="M92" s="5"/>
      <c r="N92" s="5"/>
      <c r="O92" s="5"/>
      <c r="P92" s="9" t="str">
        <f t="shared" si="8"/>
        <v/>
      </c>
      <c r="Q92" s="9" t="str">
        <f t="shared" si="9"/>
        <v/>
      </c>
      <c r="R92" s="10" t="str">
        <f t="shared" si="10"/>
        <v/>
      </c>
      <c r="S92" s="11" t="str">
        <f>IF(OR(T92&lt;&gt;"OK",P92="",K92="",CONFIG!$B$8="",CONFIG!$B$8&lt;0,CONFIG!$B$8&gt;=1),"",IF(1-K92-CONFIG!$B$8&lt;=0,"",ROUNDUP(ROUND(P92/(1-K92-CONFIG!$B$8),10),2)))</f>
        <v/>
      </c>
      <c r="T92" s="3" t="str">
        <f t="shared" si="11"/>
        <v/>
      </c>
      <c r="U92" s="12" t="str">
        <f>IF(A92="","",IF(OR(P92="",K92="",CONFIG!$B$8=""),"FALTA COSTO O SUPUESTO",IF(1-K92-CONFIG!$B$8&lt;=0,"MARGEN INVIABLE","CALCULADO")))</f>
        <v/>
      </c>
    </row>
    <row r="93" spans="1:21" x14ac:dyDescent="0.45">
      <c r="A93" s="8"/>
      <c r="B93" s="8"/>
      <c r="C93" s="8"/>
      <c r="D93" s="8"/>
      <c r="E93" s="8"/>
      <c r="F93" s="8"/>
      <c r="G93" s="7"/>
      <c r="H93" s="7"/>
      <c r="I93" s="7"/>
      <c r="J93" s="7"/>
      <c r="K93" s="6"/>
      <c r="L93" s="7"/>
      <c r="M93" s="5"/>
      <c r="N93" s="5"/>
      <c r="O93" s="5"/>
      <c r="P93" s="9" t="str">
        <f t="shared" si="8"/>
        <v/>
      </c>
      <c r="Q93" s="9" t="str">
        <f t="shared" si="9"/>
        <v/>
      </c>
      <c r="R93" s="10" t="str">
        <f t="shared" si="10"/>
        <v/>
      </c>
      <c r="S93" s="11" t="str">
        <f>IF(OR(T93&lt;&gt;"OK",P93="",K93="",CONFIG!$B$8="",CONFIG!$B$8&lt;0,CONFIG!$B$8&gt;=1),"",IF(1-K93-CONFIG!$B$8&lt;=0,"",ROUNDUP(ROUND(P93/(1-K93-CONFIG!$B$8),10),2)))</f>
        <v/>
      </c>
      <c r="T93" s="3" t="str">
        <f t="shared" si="11"/>
        <v/>
      </c>
      <c r="U93" s="12" t="str">
        <f>IF(A93="","",IF(OR(P93="",K93="",CONFIG!$B$8=""),"FALTA COSTO O SUPUESTO",IF(1-K93-CONFIG!$B$8&lt;=0,"MARGEN INVIABLE","CALCULADO")))</f>
        <v/>
      </c>
    </row>
    <row r="94" spans="1:21" x14ac:dyDescent="0.45">
      <c r="A94" s="8"/>
      <c r="B94" s="8"/>
      <c r="C94" s="8"/>
      <c r="D94" s="8"/>
      <c r="E94" s="8"/>
      <c r="F94" s="8"/>
      <c r="G94" s="7"/>
      <c r="H94" s="7"/>
      <c r="I94" s="7"/>
      <c r="J94" s="7"/>
      <c r="K94" s="6"/>
      <c r="L94" s="7"/>
      <c r="M94" s="5"/>
      <c r="N94" s="5"/>
      <c r="O94" s="5"/>
      <c r="P94" s="9" t="str">
        <f t="shared" si="8"/>
        <v/>
      </c>
      <c r="Q94" s="9" t="str">
        <f t="shared" si="9"/>
        <v/>
      </c>
      <c r="R94" s="10" t="str">
        <f t="shared" si="10"/>
        <v/>
      </c>
      <c r="S94" s="11" t="str">
        <f>IF(OR(T94&lt;&gt;"OK",P94="",K94="",CONFIG!$B$8="",CONFIG!$B$8&lt;0,CONFIG!$B$8&gt;=1),"",IF(1-K94-CONFIG!$B$8&lt;=0,"",ROUNDUP(ROUND(P94/(1-K94-CONFIG!$B$8),10),2)))</f>
        <v/>
      </c>
      <c r="T94" s="3" t="str">
        <f t="shared" si="11"/>
        <v/>
      </c>
      <c r="U94" s="12" t="str">
        <f>IF(A94="","",IF(OR(P94="",K94="",CONFIG!$B$8=""),"FALTA COSTO O SUPUESTO",IF(1-K94-CONFIG!$B$8&lt;=0,"MARGEN INVIABLE","CALCULADO")))</f>
        <v/>
      </c>
    </row>
    <row r="95" spans="1:21" x14ac:dyDescent="0.45">
      <c r="A95" s="8"/>
      <c r="B95" s="8"/>
      <c r="C95" s="8"/>
      <c r="D95" s="8"/>
      <c r="E95" s="8"/>
      <c r="F95" s="8"/>
      <c r="G95" s="7"/>
      <c r="H95" s="7"/>
      <c r="I95" s="7"/>
      <c r="J95" s="7"/>
      <c r="K95" s="6"/>
      <c r="L95" s="7"/>
      <c r="M95" s="5"/>
      <c r="N95" s="5"/>
      <c r="O95" s="5"/>
      <c r="P95" s="9" t="str">
        <f t="shared" si="8"/>
        <v/>
      </c>
      <c r="Q95" s="9" t="str">
        <f t="shared" si="9"/>
        <v/>
      </c>
      <c r="R95" s="10" t="str">
        <f t="shared" si="10"/>
        <v/>
      </c>
      <c r="S95" s="11" t="str">
        <f>IF(OR(T95&lt;&gt;"OK",P95="",K95="",CONFIG!$B$8="",CONFIG!$B$8&lt;0,CONFIG!$B$8&gt;=1),"",IF(1-K95-CONFIG!$B$8&lt;=0,"",ROUNDUP(ROUND(P95/(1-K95-CONFIG!$B$8),10),2)))</f>
        <v/>
      </c>
      <c r="T95" s="3" t="str">
        <f t="shared" si="11"/>
        <v/>
      </c>
      <c r="U95" s="12" t="str">
        <f>IF(A95="","",IF(OR(P95="",K95="",CONFIG!$B$8=""),"FALTA COSTO O SUPUESTO",IF(1-K95-CONFIG!$B$8&lt;=0,"MARGEN INVIABLE","CALCULADO")))</f>
        <v/>
      </c>
    </row>
    <row r="96" spans="1:21" x14ac:dyDescent="0.45">
      <c r="A96" s="8"/>
      <c r="B96" s="8"/>
      <c r="C96" s="8"/>
      <c r="D96" s="8"/>
      <c r="E96" s="8"/>
      <c r="F96" s="8"/>
      <c r="G96" s="7"/>
      <c r="H96" s="7"/>
      <c r="I96" s="7"/>
      <c r="J96" s="7"/>
      <c r="K96" s="6"/>
      <c r="L96" s="7"/>
      <c r="M96" s="5"/>
      <c r="N96" s="5"/>
      <c r="O96" s="5"/>
      <c r="P96" s="9" t="str">
        <f t="shared" si="8"/>
        <v/>
      </c>
      <c r="Q96" s="9" t="str">
        <f t="shared" si="9"/>
        <v/>
      </c>
      <c r="R96" s="10" t="str">
        <f t="shared" si="10"/>
        <v/>
      </c>
      <c r="S96" s="11" t="str">
        <f>IF(OR(T96&lt;&gt;"OK",P96="",K96="",CONFIG!$B$8="",CONFIG!$B$8&lt;0,CONFIG!$B$8&gt;=1),"",IF(1-K96-CONFIG!$B$8&lt;=0,"",ROUNDUP(ROUND(P96/(1-K96-CONFIG!$B$8),10),2)))</f>
        <v/>
      </c>
      <c r="T96" s="3" t="str">
        <f t="shared" si="11"/>
        <v/>
      </c>
      <c r="U96" s="12" t="str">
        <f>IF(A96="","",IF(OR(P96="",K96="",CONFIG!$B$8=""),"FALTA COSTO O SUPUESTO",IF(1-K96-CONFIG!$B$8&lt;=0,"MARGEN INVIABLE","CALCULADO")))</f>
        <v/>
      </c>
    </row>
    <row r="97" spans="1:21" x14ac:dyDescent="0.45">
      <c r="A97" s="8"/>
      <c r="B97" s="8"/>
      <c r="C97" s="8"/>
      <c r="D97" s="8"/>
      <c r="E97" s="8"/>
      <c r="F97" s="8"/>
      <c r="G97" s="7"/>
      <c r="H97" s="7"/>
      <c r="I97" s="7"/>
      <c r="J97" s="7"/>
      <c r="K97" s="6"/>
      <c r="L97" s="7"/>
      <c r="M97" s="5"/>
      <c r="N97" s="5"/>
      <c r="O97" s="5"/>
      <c r="P97" s="9" t="str">
        <f t="shared" si="8"/>
        <v/>
      </c>
      <c r="Q97" s="9" t="str">
        <f t="shared" si="9"/>
        <v/>
      </c>
      <c r="R97" s="10" t="str">
        <f t="shared" si="10"/>
        <v/>
      </c>
      <c r="S97" s="11" t="str">
        <f>IF(OR(T97&lt;&gt;"OK",P97="",K97="",CONFIG!$B$8="",CONFIG!$B$8&lt;0,CONFIG!$B$8&gt;=1),"",IF(1-K97-CONFIG!$B$8&lt;=0,"",ROUNDUP(ROUND(P97/(1-K97-CONFIG!$B$8),10),2)))</f>
        <v/>
      </c>
      <c r="T97" s="3" t="str">
        <f t="shared" si="11"/>
        <v/>
      </c>
      <c r="U97" s="12" t="str">
        <f>IF(A97="","",IF(OR(P97="",K97="",CONFIG!$B$8=""),"FALTA COSTO O SUPUESTO",IF(1-K97-CONFIG!$B$8&lt;=0,"MARGEN INVIABLE","CALCULADO")))</f>
        <v/>
      </c>
    </row>
    <row r="98" spans="1:21" x14ac:dyDescent="0.45">
      <c r="A98" s="8"/>
      <c r="B98" s="8"/>
      <c r="C98" s="8"/>
      <c r="D98" s="8"/>
      <c r="E98" s="8"/>
      <c r="F98" s="8"/>
      <c r="G98" s="7"/>
      <c r="H98" s="7"/>
      <c r="I98" s="7"/>
      <c r="J98" s="7"/>
      <c r="K98" s="6"/>
      <c r="L98" s="7"/>
      <c r="M98" s="5"/>
      <c r="N98" s="5"/>
      <c r="O98" s="5"/>
      <c r="P98" s="9" t="str">
        <f t="shared" si="8"/>
        <v/>
      </c>
      <c r="Q98" s="9" t="str">
        <f t="shared" si="9"/>
        <v/>
      </c>
      <c r="R98" s="10" t="str">
        <f t="shared" si="10"/>
        <v/>
      </c>
      <c r="S98" s="11" t="str">
        <f>IF(OR(T98&lt;&gt;"OK",P98="",K98="",CONFIG!$B$8="",CONFIG!$B$8&lt;0,CONFIG!$B$8&gt;=1),"",IF(1-K98-CONFIG!$B$8&lt;=0,"",ROUNDUP(ROUND(P98/(1-K98-CONFIG!$B$8),10),2)))</f>
        <v/>
      </c>
      <c r="T98" s="3" t="str">
        <f t="shared" si="11"/>
        <v/>
      </c>
      <c r="U98" s="12" t="str">
        <f>IF(A98="","",IF(OR(P98="",K98="",CONFIG!$B$8=""),"FALTA COSTO O SUPUESTO",IF(1-K98-CONFIG!$B$8&lt;=0,"MARGEN INVIABLE","CALCULADO")))</f>
        <v/>
      </c>
    </row>
    <row r="99" spans="1:21" x14ac:dyDescent="0.45">
      <c r="A99" s="8"/>
      <c r="B99" s="8"/>
      <c r="C99" s="8"/>
      <c r="D99" s="8"/>
      <c r="E99" s="8"/>
      <c r="F99" s="8"/>
      <c r="G99" s="7"/>
      <c r="H99" s="7"/>
      <c r="I99" s="7"/>
      <c r="J99" s="7"/>
      <c r="K99" s="6"/>
      <c r="L99" s="7"/>
      <c r="M99" s="5"/>
      <c r="N99" s="5"/>
      <c r="O99" s="5"/>
      <c r="P99" s="9" t="str">
        <f t="shared" si="8"/>
        <v/>
      </c>
      <c r="Q99" s="9" t="str">
        <f t="shared" si="9"/>
        <v/>
      </c>
      <c r="R99" s="10" t="str">
        <f t="shared" si="10"/>
        <v/>
      </c>
      <c r="S99" s="11" t="str">
        <f>IF(OR(T99&lt;&gt;"OK",P99="",K99="",CONFIG!$B$8="",CONFIG!$B$8&lt;0,CONFIG!$B$8&gt;=1),"",IF(1-K99-CONFIG!$B$8&lt;=0,"",ROUNDUP(ROUND(P99/(1-K99-CONFIG!$B$8),10),2)))</f>
        <v/>
      </c>
      <c r="T99" s="3" t="str">
        <f t="shared" si="11"/>
        <v/>
      </c>
      <c r="U99" s="12" t="str">
        <f>IF(A99="","",IF(OR(P99="",K99="",CONFIG!$B$8=""),"FALTA COSTO O SUPUESTO",IF(1-K99-CONFIG!$B$8&lt;=0,"MARGEN INVIABLE","CALCULADO")))</f>
        <v/>
      </c>
    </row>
    <row r="100" spans="1:21" x14ac:dyDescent="0.45">
      <c r="A100" s="8"/>
      <c r="B100" s="8"/>
      <c r="C100" s="8"/>
      <c r="D100" s="8"/>
      <c r="E100" s="8"/>
      <c r="F100" s="8"/>
      <c r="G100" s="7"/>
      <c r="H100" s="7"/>
      <c r="I100" s="7"/>
      <c r="J100" s="7"/>
      <c r="K100" s="6"/>
      <c r="L100" s="7"/>
      <c r="M100" s="5"/>
      <c r="N100" s="5"/>
      <c r="O100" s="5"/>
      <c r="P100" s="9" t="str">
        <f t="shared" si="8"/>
        <v/>
      </c>
      <c r="Q100" s="9" t="str">
        <f t="shared" si="9"/>
        <v/>
      </c>
      <c r="R100" s="10" t="str">
        <f t="shared" si="10"/>
        <v/>
      </c>
      <c r="S100" s="11" t="str">
        <f>IF(OR(T100&lt;&gt;"OK",P100="",K100="",CONFIG!$B$8="",CONFIG!$B$8&lt;0,CONFIG!$B$8&gt;=1),"",IF(1-K100-CONFIG!$B$8&lt;=0,"",ROUNDUP(ROUND(P100/(1-K100-CONFIG!$B$8),10),2)))</f>
        <v/>
      </c>
      <c r="T100" s="3" t="str">
        <f t="shared" si="11"/>
        <v/>
      </c>
      <c r="U100" s="12" t="str">
        <f>IF(A100="","",IF(OR(P100="",K100="",CONFIG!$B$8=""),"FALTA COSTO O SUPUESTO",IF(1-K100-CONFIG!$B$8&lt;=0,"MARGEN INVIABLE","CALCULADO")))</f>
        <v/>
      </c>
    </row>
    <row r="101" spans="1:21" x14ac:dyDescent="0.45">
      <c r="A101" s="8"/>
      <c r="B101" s="8"/>
      <c r="C101" s="8"/>
      <c r="D101" s="8"/>
      <c r="E101" s="8"/>
      <c r="F101" s="8"/>
      <c r="G101" s="7"/>
      <c r="H101" s="7"/>
      <c r="I101" s="7"/>
      <c r="J101" s="7"/>
      <c r="K101" s="6"/>
      <c r="L101" s="7"/>
      <c r="M101" s="5"/>
      <c r="N101" s="5"/>
      <c r="O101" s="5"/>
      <c r="P101" s="9" t="str">
        <f t="shared" si="8"/>
        <v/>
      </c>
      <c r="Q101" s="9" t="str">
        <f t="shared" si="9"/>
        <v/>
      </c>
      <c r="R101" s="10" t="str">
        <f t="shared" si="10"/>
        <v/>
      </c>
      <c r="S101" s="11" t="str">
        <f>IF(OR(T101&lt;&gt;"OK",P101="",K101="",CONFIG!$B$8="",CONFIG!$B$8&lt;0,CONFIG!$B$8&gt;=1),"",IF(1-K101-CONFIG!$B$8&lt;=0,"",ROUNDUP(ROUND(P101/(1-K101-CONFIG!$B$8),10),2)))</f>
        <v/>
      </c>
      <c r="T101" s="3" t="str">
        <f t="shared" si="11"/>
        <v/>
      </c>
      <c r="U101" s="12" t="str">
        <f>IF(A101="","",IF(OR(P101="",K101="",CONFIG!$B$8=""),"FALTA COSTO O SUPUESTO",IF(1-K101-CONFIG!$B$8&lt;=0,"MARGEN INVIABLE","CALCULADO")))</f>
        <v/>
      </c>
    </row>
    <row r="102" spans="1:21" x14ac:dyDescent="0.45">
      <c r="A102" s="8"/>
      <c r="B102" s="8"/>
      <c r="C102" s="8"/>
      <c r="D102" s="8"/>
      <c r="E102" s="8"/>
      <c r="F102" s="8"/>
      <c r="G102" s="7"/>
      <c r="H102" s="7"/>
      <c r="I102" s="7"/>
      <c r="J102" s="7"/>
      <c r="K102" s="6"/>
      <c r="L102" s="7"/>
      <c r="M102" s="5"/>
      <c r="N102" s="5"/>
      <c r="O102" s="5"/>
      <c r="P102" s="9" t="str">
        <f t="shared" si="8"/>
        <v/>
      </c>
      <c r="Q102" s="9" t="str">
        <f t="shared" ref="Q102:Q133" si="12">IF(T102&lt;&gt;"OK","",G102*(1-K102)-P102)</f>
        <v/>
      </c>
      <c r="R102" s="10" t="str">
        <f t="shared" ref="R102:R133" si="13">IF(OR(G102="",G102=0,Q102=""),"",Q102/G102)</f>
        <v/>
      </c>
      <c r="S102" s="11" t="str">
        <f>IF(OR(T102&lt;&gt;"OK",P102="",K102="",CONFIG!$B$8="",CONFIG!$B$8&lt;0,CONFIG!$B$8&gt;=1),"",IF(1-K102-CONFIG!$B$8&lt;=0,"",ROUNDUP(ROUND(P102/(1-K102-CONFIG!$B$8),10),2)))</f>
        <v/>
      </c>
      <c r="T102" s="3" t="str">
        <f t="shared" si="11"/>
        <v/>
      </c>
      <c r="U102" s="12" t="str">
        <f>IF(A102="","",IF(OR(P102="",K102="",CONFIG!$B$8=""),"FALTA COSTO O SUPUESTO",IF(1-K102-CONFIG!$B$8&lt;=0,"MARGEN INVIABLE","CALCULADO")))</f>
        <v/>
      </c>
    </row>
    <row r="103" spans="1:21" x14ac:dyDescent="0.45">
      <c r="A103" s="8"/>
      <c r="B103" s="8"/>
      <c r="C103" s="8"/>
      <c r="D103" s="8"/>
      <c r="E103" s="8"/>
      <c r="F103" s="8"/>
      <c r="G103" s="7"/>
      <c r="H103" s="7"/>
      <c r="I103" s="7"/>
      <c r="J103" s="7"/>
      <c r="K103" s="6"/>
      <c r="L103" s="7"/>
      <c r="M103" s="5"/>
      <c r="N103" s="5"/>
      <c r="O103" s="5"/>
      <c r="P103" s="9" t="str">
        <f t="shared" si="8"/>
        <v/>
      </c>
      <c r="Q103" s="9" t="str">
        <f t="shared" si="12"/>
        <v/>
      </c>
      <c r="R103" s="10" t="str">
        <f t="shared" si="13"/>
        <v/>
      </c>
      <c r="S103" s="11" t="str">
        <f>IF(OR(T103&lt;&gt;"OK",P103="",K103="",CONFIG!$B$8="",CONFIG!$B$8&lt;0,CONFIG!$B$8&gt;=1),"",IF(1-K103-CONFIG!$B$8&lt;=0,"",ROUNDUP(ROUND(P103/(1-K103-CONFIG!$B$8),10),2)))</f>
        <v/>
      </c>
      <c r="T103" s="3" t="str">
        <f t="shared" si="11"/>
        <v/>
      </c>
      <c r="U103" s="12" t="str">
        <f>IF(A103="","",IF(OR(P103="",K103="",CONFIG!$B$8=""),"FALTA COSTO O SUPUESTO",IF(1-K103-CONFIG!$B$8&lt;=0,"MARGEN INVIABLE","CALCULADO")))</f>
        <v/>
      </c>
    </row>
    <row r="104" spans="1:21" x14ac:dyDescent="0.45">
      <c r="A104" s="8"/>
      <c r="B104" s="8"/>
      <c r="C104" s="8"/>
      <c r="D104" s="8"/>
      <c r="E104" s="8"/>
      <c r="F104" s="8"/>
      <c r="G104" s="7"/>
      <c r="H104" s="7"/>
      <c r="I104" s="7"/>
      <c r="J104" s="7"/>
      <c r="K104" s="6"/>
      <c r="L104" s="7"/>
      <c r="M104" s="5"/>
      <c r="N104" s="5"/>
      <c r="O104" s="5"/>
      <c r="P104" s="9" t="str">
        <f t="shared" si="8"/>
        <v/>
      </c>
      <c r="Q104" s="9" t="str">
        <f t="shared" si="12"/>
        <v/>
      </c>
      <c r="R104" s="10" t="str">
        <f t="shared" si="13"/>
        <v/>
      </c>
      <c r="S104" s="11" t="str">
        <f>IF(OR(T104&lt;&gt;"OK",P104="",K104="",CONFIG!$B$8="",CONFIG!$B$8&lt;0,CONFIG!$B$8&gt;=1),"",IF(1-K104-CONFIG!$B$8&lt;=0,"",ROUNDUP(ROUND(P104/(1-K104-CONFIG!$B$8),10),2)))</f>
        <v/>
      </c>
      <c r="T104" s="3" t="str">
        <f t="shared" si="11"/>
        <v/>
      </c>
      <c r="U104" s="12" t="str">
        <f>IF(A104="","",IF(OR(P104="",K104="",CONFIG!$B$8=""),"FALTA COSTO O SUPUESTO",IF(1-K104-CONFIG!$B$8&lt;=0,"MARGEN INVIABLE","CALCULADO")))</f>
        <v/>
      </c>
    </row>
    <row r="105" spans="1:21" x14ac:dyDescent="0.45">
      <c r="A105" s="8"/>
      <c r="B105" s="8"/>
      <c r="C105" s="8"/>
      <c r="D105" s="8"/>
      <c r="E105" s="8"/>
      <c r="F105" s="8"/>
      <c r="G105" s="7"/>
      <c r="H105" s="7"/>
      <c r="I105" s="7"/>
      <c r="J105" s="7"/>
      <c r="K105" s="6"/>
      <c r="L105" s="7"/>
      <c r="M105" s="5"/>
      <c r="N105" s="5"/>
      <c r="O105" s="5"/>
      <c r="P105" s="9" t="str">
        <f t="shared" si="8"/>
        <v/>
      </c>
      <c r="Q105" s="9" t="str">
        <f t="shared" si="12"/>
        <v/>
      </c>
      <c r="R105" s="10" t="str">
        <f t="shared" si="13"/>
        <v/>
      </c>
      <c r="S105" s="11" t="str">
        <f>IF(OR(T105&lt;&gt;"OK",P105="",K105="",CONFIG!$B$8="",CONFIG!$B$8&lt;0,CONFIG!$B$8&gt;=1),"",IF(1-K105-CONFIG!$B$8&lt;=0,"",ROUNDUP(ROUND(P105/(1-K105-CONFIG!$B$8),10),2)))</f>
        <v/>
      </c>
      <c r="T105" s="3" t="str">
        <f t="shared" si="11"/>
        <v/>
      </c>
      <c r="U105" s="12" t="str">
        <f>IF(A105="","",IF(OR(P105="",K105="",CONFIG!$B$8=""),"FALTA COSTO O SUPUESTO",IF(1-K105-CONFIG!$B$8&lt;=0,"MARGEN INVIABLE","CALCULADO")))</f>
        <v/>
      </c>
    </row>
  </sheetData>
  <sheetProtection sheet="1" objects="1" scenarios="1" formatColumns="0" sort="0" autoFilter="0"/>
  <mergeCells count="2">
    <mergeCell ref="A1:U1"/>
    <mergeCell ref="A2:U2"/>
  </mergeCells>
  <conditionalFormatting sqref="T6:U105">
    <cfRule type="notContainsText" dxfId="6" priority="1" operator="notContains" text="OK">
      <formula>ISERROR(SEARCH("OK",T6))</formula>
    </cfRule>
  </conditionalFormatting>
  <dataValidations count="5">
    <dataValidation type="list" allowBlank="1" showInputMessage="1" showErrorMessage="1" sqref="F6:F105" xr:uid="{00000000-0002-0000-0200-000000000000}">
      <formula1>"ACTIVO,PRELANZAMIENTO,PAUSADO"</formula1>
    </dataValidation>
    <dataValidation type="decimal" allowBlank="1" showInputMessage="1" showErrorMessage="1" sqref="G6:J105 L6:L105" xr:uid="{00000000-0002-0000-0200-000001000000}">
      <formula1>0</formula1>
      <formula2>1000000000</formula2>
    </dataValidation>
    <dataValidation type="decimal" allowBlank="1" showInputMessage="1" showErrorMessage="1" sqref="K6:K105" xr:uid="{00000000-0002-0000-0200-000003000000}">
      <formula1>0</formula1>
      <formula2>0.9999</formula2>
    </dataValidation>
    <dataValidation type="whole" allowBlank="1" showInputMessage="1" showErrorMessage="1" sqref="M6:M105" xr:uid="{00000000-0002-0000-0200-000004000000}">
      <formula1>0</formula1>
      <formula2>3650</formula2>
    </dataValidation>
    <dataValidation type="whole" allowBlank="1" showInputMessage="1" showErrorMessage="1" sqref="N6:O105" xr:uid="{00000000-0002-0000-0200-000005000000}">
      <formula1>1</formula1>
      <formula2>1000000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B68"/>
    <pageSetUpPr fitToPage="1"/>
  </sheetPr>
  <dimension ref="A1:I10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5.73046875" customWidth="1"/>
    <col min="2" max="4" width="18.73046875" customWidth="1"/>
    <col min="5" max="5" width="21.73046875" customWidth="1"/>
    <col min="6" max="6" width="20.73046875" customWidth="1"/>
    <col min="7" max="7" width="28.73046875" customWidth="1"/>
    <col min="8" max="8" width="24.73046875" customWidth="1"/>
    <col min="9" max="9" width="22.73046875" customWidth="1"/>
  </cols>
  <sheetData>
    <row r="1" spans="1:9" ht="30" customHeight="1" x14ac:dyDescent="0.45">
      <c r="A1" s="21" t="s">
        <v>93</v>
      </c>
      <c r="B1" s="21"/>
      <c r="C1" s="21"/>
      <c r="D1" s="21"/>
      <c r="E1" s="21"/>
      <c r="F1" s="21"/>
      <c r="G1" s="21"/>
      <c r="H1" s="21"/>
      <c r="I1" s="21"/>
    </row>
    <row r="2" spans="1:9" ht="32" customHeight="1" x14ac:dyDescent="0.45">
      <c r="A2" s="22" t="s">
        <v>94</v>
      </c>
      <c r="B2" s="22"/>
      <c r="C2" s="22"/>
      <c r="D2" s="22"/>
      <c r="E2" s="22"/>
      <c r="F2" s="22"/>
      <c r="G2" s="22"/>
      <c r="H2" s="22"/>
      <c r="I2" s="22"/>
    </row>
    <row r="5" spans="1:9" x14ac:dyDescent="0.45">
      <c r="A5" t="s">
        <v>95</v>
      </c>
      <c r="B5" t="s">
        <v>43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62</v>
      </c>
    </row>
    <row r="6" spans="1:9" x14ac:dyDescent="0.45">
      <c r="A6" s="4">
        <v>46259</v>
      </c>
      <c r="B6" s="8" t="s">
        <v>64</v>
      </c>
      <c r="C6" s="5">
        <v>3</v>
      </c>
      <c r="D6" s="5">
        <v>1</v>
      </c>
      <c r="E6" s="5">
        <v>1</v>
      </c>
      <c r="F6" s="7">
        <v>598</v>
      </c>
      <c r="G6" s="7">
        <v>208</v>
      </c>
      <c r="H6" s="8" t="s">
        <v>102</v>
      </c>
      <c r="I6" s="12" t="str">
        <f>IFERROR(IF(COUNTA(A6:H6)=0,"",IF(OR(A6="",B6="",C6="",D6="",E6="",F6=""),"FALTA CAMPO",IF(COUNTIFS($A$6:$A$1005,A6,$B$6:$B$1005,B6)&gt;1,"DUPLICADO FECHA-SKU",IF(COUNTIF(CATALOGO!$A$6:$A$105,B6)&lt;&gt;1,"SKU NO VALIDO",IF(OR(A6&lt;DATE(1900,1,1),A6&gt;DATE(2100,12,31),A6&gt;CONFIG!$B$5,C6&lt;0,C6&gt;1000000,D6&lt;0,D6&gt;1000000,E6&lt;0,E6&gt;1000000,E6&gt;D6,ABS(F6)&gt;1000000000,ABS(G6)&gt;1000000000,ROUND(F6,2)&lt;&gt;F6,AND(G6&lt;&gt;"",ROUND(G6,2)&lt;&gt;G6)),"REVISAR VALOR","OK"))))),"REVISAR VALOR")</f>
        <v>OK</v>
      </c>
    </row>
    <row r="7" spans="1:9" x14ac:dyDescent="0.45">
      <c r="A7" s="4">
        <v>46260</v>
      </c>
      <c r="B7" s="8" t="s">
        <v>64</v>
      </c>
      <c r="C7" s="5">
        <v>3</v>
      </c>
      <c r="D7" s="5">
        <v>1</v>
      </c>
      <c r="E7" s="5">
        <v>1</v>
      </c>
      <c r="F7" s="7">
        <v>598</v>
      </c>
      <c r="G7" s="7">
        <v>208</v>
      </c>
      <c r="H7" s="8" t="s">
        <v>103</v>
      </c>
      <c r="I7" s="12" t="str">
        <f>IFERROR(IF(COUNTA(A7:H7)=0,"",IF(OR(A7="",B7="",C7="",D7="",E7="",F7=""),"FALTA CAMPO",IF(COUNTIFS($A$6:$A$1005,A7,$B$6:$B$1005,B7)&gt;1,"DUPLICADO FECHA-SKU",IF(COUNTIF(CATALOGO!$A$6:$A$105,B7)&lt;&gt;1,"SKU NO VALIDO",IF(OR(A7&lt;DATE(1900,1,1),A7&gt;DATE(2100,12,31),A7&gt;CONFIG!$B$5,C7&lt;0,C7&gt;1000000,D7&lt;0,D7&gt;1000000,E7&lt;0,E7&gt;1000000,E7&gt;D7,ABS(F7)&gt;1000000000,ABS(G7)&gt;1000000000,ROUND(F7,2)&lt;&gt;F7,AND(G7&lt;&gt;"",ROUND(G7,2)&lt;&gt;G7)),"REVISAR VALOR","OK"))))),"REVISAR VALOR")</f>
        <v>OK</v>
      </c>
    </row>
    <row r="8" spans="1:9" x14ac:dyDescent="0.45">
      <c r="A8" s="4">
        <v>46261</v>
      </c>
      <c r="B8" s="8" t="s">
        <v>64</v>
      </c>
      <c r="C8" s="5">
        <v>3</v>
      </c>
      <c r="D8" s="5">
        <v>1</v>
      </c>
      <c r="E8" s="5">
        <v>1</v>
      </c>
      <c r="F8" s="7">
        <v>598</v>
      </c>
      <c r="G8" s="7">
        <v>208</v>
      </c>
      <c r="H8" s="8" t="s">
        <v>104</v>
      </c>
      <c r="I8" s="12" t="str">
        <f>IFERROR(IF(COUNTA(A8:H8)=0,"",IF(OR(A8="",B8="",C8="",D8="",E8="",F8=""),"FALTA CAMPO",IF(COUNTIFS($A$6:$A$1005,A8,$B$6:$B$1005,B8)&gt;1,"DUPLICADO FECHA-SKU",IF(COUNTIF(CATALOGO!$A$6:$A$105,B8)&lt;&gt;1,"SKU NO VALIDO",IF(OR(A8&lt;DATE(1900,1,1),A8&gt;DATE(2100,12,31),A8&gt;CONFIG!$B$5,C8&lt;0,C8&gt;1000000,D8&lt;0,D8&gt;1000000,E8&lt;0,E8&gt;1000000,E8&gt;D8,ABS(F8)&gt;1000000000,ABS(G8)&gt;1000000000,ROUND(F8,2)&lt;&gt;F8,AND(G8&lt;&gt;"",ROUND(G8,2)&lt;&gt;G8)),"REVISAR VALOR","OK"))))),"REVISAR VALOR")</f>
        <v>OK</v>
      </c>
    </row>
    <row r="9" spans="1:9" x14ac:dyDescent="0.45">
      <c r="A9" s="4">
        <v>46262</v>
      </c>
      <c r="B9" s="8" t="s">
        <v>64</v>
      </c>
      <c r="C9" s="5">
        <v>3</v>
      </c>
      <c r="D9" s="5">
        <v>1</v>
      </c>
      <c r="E9" s="5">
        <v>1</v>
      </c>
      <c r="F9" s="7">
        <v>598</v>
      </c>
      <c r="G9" s="7">
        <v>208</v>
      </c>
      <c r="H9" s="8" t="s">
        <v>105</v>
      </c>
      <c r="I9" s="12" t="str">
        <f>IFERROR(IF(COUNTA(A9:H9)=0,"",IF(OR(A9="",B9="",C9="",D9="",E9="",F9=""),"FALTA CAMPO",IF(COUNTIFS($A$6:$A$1005,A9,$B$6:$B$1005,B9)&gt;1,"DUPLICADO FECHA-SKU",IF(COUNTIF(CATALOGO!$A$6:$A$105,B9)&lt;&gt;1,"SKU NO VALIDO",IF(OR(A9&lt;DATE(1900,1,1),A9&gt;DATE(2100,12,31),A9&gt;CONFIG!$B$5,C9&lt;0,C9&gt;1000000,D9&lt;0,D9&gt;1000000,E9&lt;0,E9&gt;1000000,E9&gt;D9,ABS(F9)&gt;1000000000,ABS(G9)&gt;1000000000,ROUND(F9,2)&lt;&gt;F9,AND(G9&lt;&gt;"",ROUND(G9,2)&lt;&gt;G9)),"REVISAR VALOR","OK"))))),"REVISAR VALOR")</f>
        <v>OK</v>
      </c>
    </row>
    <row r="10" spans="1:9" x14ac:dyDescent="0.45">
      <c r="A10" s="4">
        <v>46263</v>
      </c>
      <c r="B10" s="8" t="s">
        <v>64</v>
      </c>
      <c r="C10" s="5">
        <v>2</v>
      </c>
      <c r="D10" s="5">
        <v>1</v>
      </c>
      <c r="E10" s="5">
        <v>0</v>
      </c>
      <c r="F10" s="7">
        <v>299</v>
      </c>
      <c r="G10" s="7">
        <v>208</v>
      </c>
      <c r="H10" s="8" t="s">
        <v>106</v>
      </c>
      <c r="I10" s="12" t="str">
        <f>IFERROR(IF(COUNTA(A10:H10)=0,"",IF(OR(A10="",B10="",C10="",D10="",E10="",F10=""),"FALTA CAMPO",IF(COUNTIFS($A$6:$A$1005,A10,$B$6:$B$1005,B10)&gt;1,"DUPLICADO FECHA-SKU",IF(COUNTIF(CATALOGO!$A$6:$A$105,B10)&lt;&gt;1,"SKU NO VALIDO",IF(OR(A10&lt;DATE(1900,1,1),A10&gt;DATE(2100,12,31),A10&gt;CONFIG!$B$5,C10&lt;0,C10&gt;1000000,D10&lt;0,D10&gt;1000000,E10&lt;0,E10&gt;1000000,E10&gt;D10,ABS(F10)&gt;1000000000,ABS(G10)&gt;1000000000,ROUND(F10,2)&lt;&gt;F10,AND(G10&lt;&gt;"",ROUND(G10,2)&lt;&gt;G10)),"REVISAR VALOR","OK"))))),"REVISAR VALOR")</f>
        <v>OK</v>
      </c>
    </row>
    <row r="11" spans="1:9" x14ac:dyDescent="0.45">
      <c r="A11" s="4">
        <v>46264</v>
      </c>
      <c r="B11" s="8" t="s">
        <v>64</v>
      </c>
      <c r="C11" s="5">
        <v>2</v>
      </c>
      <c r="D11" s="5">
        <v>0</v>
      </c>
      <c r="E11" s="5">
        <v>0</v>
      </c>
      <c r="F11" s="7">
        <v>598</v>
      </c>
      <c r="G11" s="7">
        <v>208</v>
      </c>
      <c r="H11" s="8" t="s">
        <v>107</v>
      </c>
      <c r="I11" s="12" t="str">
        <f>IFERROR(IF(COUNTA(A11:H11)=0,"",IF(OR(A11="",B11="",C11="",D11="",E11="",F11=""),"FALTA CAMPO",IF(COUNTIFS($A$6:$A$1005,A11,$B$6:$B$1005,B11)&gt;1,"DUPLICADO FECHA-SKU",IF(COUNTIF(CATALOGO!$A$6:$A$105,B11)&lt;&gt;1,"SKU NO VALIDO",IF(OR(A11&lt;DATE(1900,1,1),A11&gt;DATE(2100,12,31),A11&gt;CONFIG!$B$5,C11&lt;0,C11&gt;1000000,D11&lt;0,D11&gt;1000000,E11&lt;0,E11&gt;1000000,E11&gt;D11,ABS(F11)&gt;1000000000,ABS(G11)&gt;1000000000,ROUND(F11,2)&lt;&gt;F11,AND(G11&lt;&gt;"",ROUND(G11,2)&lt;&gt;G11)),"REVISAR VALOR","OK"))))),"REVISAR VALOR")</f>
        <v>OK</v>
      </c>
    </row>
    <row r="12" spans="1:9" x14ac:dyDescent="0.45">
      <c r="A12" s="4">
        <v>46265</v>
      </c>
      <c r="B12" s="8" t="s">
        <v>64</v>
      </c>
      <c r="C12" s="5">
        <v>2</v>
      </c>
      <c r="D12" s="5">
        <v>0</v>
      </c>
      <c r="E12" s="5">
        <v>0</v>
      </c>
      <c r="F12" s="7">
        <v>598</v>
      </c>
      <c r="G12" s="7">
        <v>208</v>
      </c>
      <c r="H12" s="8" t="s">
        <v>108</v>
      </c>
      <c r="I12" s="12" t="str">
        <f>IFERROR(IF(COUNTA(A12:H12)=0,"",IF(OR(A12="",B12="",C12="",D12="",E12="",F12=""),"FALTA CAMPO",IF(COUNTIFS($A$6:$A$1005,A12,$B$6:$B$1005,B12)&gt;1,"DUPLICADO FECHA-SKU",IF(COUNTIF(CATALOGO!$A$6:$A$105,B12)&lt;&gt;1,"SKU NO VALIDO",IF(OR(A12&lt;DATE(1900,1,1),A12&gt;DATE(2100,12,31),A12&gt;CONFIG!$B$5,C12&lt;0,C12&gt;1000000,D12&lt;0,D12&gt;1000000,E12&lt;0,E12&gt;1000000,E12&gt;D12,ABS(F12)&gt;1000000000,ABS(G12)&gt;1000000000,ROUND(F12,2)&lt;&gt;F12,AND(G12&lt;&gt;"",ROUND(G12,2)&lt;&gt;G12)),"REVISAR VALOR","OK"))))),"REVISAR VALOR")</f>
        <v>OK</v>
      </c>
    </row>
    <row r="13" spans="1:9" x14ac:dyDescent="0.45">
      <c r="A13" s="4">
        <v>46266</v>
      </c>
      <c r="B13" s="8" t="s">
        <v>64</v>
      </c>
      <c r="C13" s="5">
        <v>2</v>
      </c>
      <c r="D13" s="5">
        <v>0</v>
      </c>
      <c r="E13" s="5">
        <v>0</v>
      </c>
      <c r="F13" s="7">
        <v>598</v>
      </c>
      <c r="G13" s="7">
        <v>208</v>
      </c>
      <c r="H13" s="8" t="s">
        <v>109</v>
      </c>
      <c r="I13" s="12" t="str">
        <f>IFERROR(IF(COUNTA(A13:H13)=0,"",IF(OR(A13="",B13="",C13="",D13="",E13="",F13=""),"FALTA CAMPO",IF(COUNTIFS($A$6:$A$1005,A13,$B$6:$B$1005,B13)&gt;1,"DUPLICADO FECHA-SKU",IF(COUNTIF(CATALOGO!$A$6:$A$105,B13)&lt;&gt;1,"SKU NO VALIDO",IF(OR(A13&lt;DATE(1900,1,1),A13&gt;DATE(2100,12,31),A13&gt;CONFIG!$B$5,C13&lt;0,C13&gt;1000000,D13&lt;0,D13&gt;1000000,E13&lt;0,E13&gt;1000000,E13&gt;D13,ABS(F13)&gt;1000000000,ABS(G13)&gt;1000000000,ROUND(F13,2)&lt;&gt;F13,AND(G13&lt;&gt;"",ROUND(G13,2)&lt;&gt;G13)),"REVISAR VALOR","OK"))))),"REVISAR VALOR")</f>
        <v>OK</v>
      </c>
    </row>
    <row r="14" spans="1:9" x14ac:dyDescent="0.45">
      <c r="A14" s="4">
        <v>46267</v>
      </c>
      <c r="B14" s="8" t="s">
        <v>64</v>
      </c>
      <c r="C14" s="5">
        <v>2</v>
      </c>
      <c r="D14" s="5">
        <v>0</v>
      </c>
      <c r="E14" s="5">
        <v>0</v>
      </c>
      <c r="F14" s="7">
        <v>598</v>
      </c>
      <c r="G14" s="7">
        <v>208</v>
      </c>
      <c r="H14" s="8" t="s">
        <v>110</v>
      </c>
      <c r="I14" s="12" t="str">
        <f>IFERROR(IF(COUNTA(A14:H14)=0,"",IF(OR(A14="",B14="",C14="",D14="",E14="",F14=""),"FALTA CAMPO",IF(COUNTIFS($A$6:$A$1005,A14,$B$6:$B$1005,B14)&gt;1,"DUPLICADO FECHA-SKU",IF(COUNTIF(CATALOGO!$A$6:$A$105,B14)&lt;&gt;1,"SKU NO VALIDO",IF(OR(A14&lt;DATE(1900,1,1),A14&gt;DATE(2100,12,31),A14&gt;CONFIG!$B$5,C14&lt;0,C14&gt;1000000,D14&lt;0,D14&gt;1000000,E14&lt;0,E14&gt;1000000,E14&gt;D14,ABS(F14)&gt;1000000000,ABS(G14)&gt;1000000000,ROUND(F14,2)&lt;&gt;F14,AND(G14&lt;&gt;"",ROUND(G14,2)&lt;&gt;G14)),"REVISAR VALOR","OK"))))),"REVISAR VALOR")</f>
        <v>OK</v>
      </c>
    </row>
    <row r="15" spans="1:9" x14ac:dyDescent="0.45">
      <c r="A15" s="4">
        <v>46268</v>
      </c>
      <c r="B15" s="8" t="s">
        <v>64</v>
      </c>
      <c r="C15" s="5">
        <v>2</v>
      </c>
      <c r="D15" s="5">
        <v>0</v>
      </c>
      <c r="E15" s="5">
        <v>0</v>
      </c>
      <c r="F15" s="7">
        <v>598</v>
      </c>
      <c r="G15" s="7">
        <v>208</v>
      </c>
      <c r="H15" s="8" t="s">
        <v>111</v>
      </c>
      <c r="I15" s="12" t="str">
        <f>IFERROR(IF(COUNTA(A15:H15)=0,"",IF(OR(A15="",B15="",C15="",D15="",E15="",F15=""),"FALTA CAMPO",IF(COUNTIFS($A$6:$A$1005,A15,$B$6:$B$1005,B15)&gt;1,"DUPLICADO FECHA-SKU",IF(COUNTIF(CATALOGO!$A$6:$A$105,B15)&lt;&gt;1,"SKU NO VALIDO",IF(OR(A15&lt;DATE(1900,1,1),A15&gt;DATE(2100,12,31),A15&gt;CONFIG!$B$5,C15&lt;0,C15&gt;1000000,D15&lt;0,D15&gt;1000000,E15&lt;0,E15&gt;1000000,E15&gt;D15,ABS(F15)&gt;1000000000,ABS(G15)&gt;1000000000,ROUND(F15,2)&lt;&gt;F15,AND(G15&lt;&gt;"",ROUND(G15,2)&lt;&gt;G15)),"REVISAR VALOR","OK"))))),"REVISAR VALOR")</f>
        <v>OK</v>
      </c>
    </row>
    <row r="16" spans="1:9" x14ac:dyDescent="0.45">
      <c r="A16" s="4">
        <v>46269</v>
      </c>
      <c r="B16" s="8" t="s">
        <v>64</v>
      </c>
      <c r="C16" s="5">
        <v>2</v>
      </c>
      <c r="D16" s="5">
        <v>0</v>
      </c>
      <c r="E16" s="5">
        <v>0</v>
      </c>
      <c r="F16" s="7">
        <v>598</v>
      </c>
      <c r="G16" s="7">
        <v>208</v>
      </c>
      <c r="H16" s="8" t="s">
        <v>112</v>
      </c>
      <c r="I16" s="12" t="str">
        <f>IFERROR(IF(COUNTA(A16:H16)=0,"",IF(OR(A16="",B16="",C16="",D16="",E16="",F16=""),"FALTA CAMPO",IF(COUNTIFS($A$6:$A$1005,A16,$B$6:$B$1005,B16)&gt;1,"DUPLICADO FECHA-SKU",IF(COUNTIF(CATALOGO!$A$6:$A$105,B16)&lt;&gt;1,"SKU NO VALIDO",IF(OR(A16&lt;DATE(1900,1,1),A16&gt;DATE(2100,12,31),A16&gt;CONFIG!$B$5,C16&lt;0,C16&gt;1000000,D16&lt;0,D16&gt;1000000,E16&lt;0,E16&gt;1000000,E16&gt;D16,ABS(F16)&gt;1000000000,ABS(G16)&gt;1000000000,ROUND(F16,2)&lt;&gt;F16,AND(G16&lt;&gt;"",ROUND(G16,2)&lt;&gt;G16)),"REVISAR VALOR","OK"))))),"REVISAR VALOR")</f>
        <v>OK</v>
      </c>
    </row>
    <row r="17" spans="1:9" x14ac:dyDescent="0.45">
      <c r="A17" s="4">
        <v>46270</v>
      </c>
      <c r="B17" s="8" t="s">
        <v>64</v>
      </c>
      <c r="C17" s="5">
        <v>2</v>
      </c>
      <c r="D17" s="5">
        <v>0</v>
      </c>
      <c r="E17" s="5">
        <v>0</v>
      </c>
      <c r="F17" s="7">
        <v>598</v>
      </c>
      <c r="G17" s="7">
        <v>208</v>
      </c>
      <c r="H17" s="8" t="s">
        <v>113</v>
      </c>
      <c r="I17" s="12" t="str">
        <f>IFERROR(IF(COUNTA(A17:H17)=0,"",IF(OR(A17="",B17="",C17="",D17="",E17="",F17=""),"FALTA CAMPO",IF(COUNTIFS($A$6:$A$1005,A17,$B$6:$B$1005,B17)&gt;1,"DUPLICADO FECHA-SKU",IF(COUNTIF(CATALOGO!$A$6:$A$105,B17)&lt;&gt;1,"SKU NO VALIDO",IF(OR(A17&lt;DATE(1900,1,1),A17&gt;DATE(2100,12,31),A17&gt;CONFIG!$B$5,C17&lt;0,C17&gt;1000000,D17&lt;0,D17&gt;1000000,E17&lt;0,E17&gt;1000000,E17&gt;D17,ABS(F17)&gt;1000000000,ABS(G17)&gt;1000000000,ROUND(F17,2)&lt;&gt;F17,AND(G17&lt;&gt;"",ROUND(G17,2)&lt;&gt;G17)),"REVISAR VALOR","OK"))))),"REVISAR VALOR")</f>
        <v>OK</v>
      </c>
    </row>
    <row r="18" spans="1:9" x14ac:dyDescent="0.45">
      <c r="A18" s="4">
        <v>46271</v>
      </c>
      <c r="B18" s="8" t="s">
        <v>64</v>
      </c>
      <c r="C18" s="5">
        <v>2</v>
      </c>
      <c r="D18" s="5">
        <v>0</v>
      </c>
      <c r="E18" s="5">
        <v>0</v>
      </c>
      <c r="F18" s="7">
        <v>598</v>
      </c>
      <c r="G18" s="7">
        <v>208</v>
      </c>
      <c r="H18" s="8" t="s">
        <v>114</v>
      </c>
      <c r="I18" s="12" t="str">
        <f>IFERROR(IF(COUNTA(A18:H18)=0,"",IF(OR(A18="",B18="",C18="",D18="",E18="",F18=""),"FALTA CAMPO",IF(COUNTIFS($A$6:$A$1005,A18,$B$6:$B$1005,B18)&gt;1,"DUPLICADO FECHA-SKU",IF(COUNTIF(CATALOGO!$A$6:$A$105,B18)&lt;&gt;1,"SKU NO VALIDO",IF(OR(A18&lt;DATE(1900,1,1),A18&gt;DATE(2100,12,31),A18&gt;CONFIG!$B$5,C18&lt;0,C18&gt;1000000,D18&lt;0,D18&gt;1000000,E18&lt;0,E18&gt;1000000,E18&gt;D18,ABS(F18)&gt;1000000000,ABS(G18)&gt;1000000000,ROUND(F18,2)&lt;&gt;F18,AND(G18&lt;&gt;"",ROUND(G18,2)&lt;&gt;G18)),"REVISAR VALOR","OK"))))),"REVISAR VALOR")</f>
        <v>OK</v>
      </c>
    </row>
    <row r="19" spans="1:9" x14ac:dyDescent="0.45">
      <c r="A19" s="4">
        <v>46272</v>
      </c>
      <c r="B19" s="8" t="s">
        <v>64</v>
      </c>
      <c r="C19" s="5">
        <v>2</v>
      </c>
      <c r="D19" s="5">
        <v>0</v>
      </c>
      <c r="E19" s="5">
        <v>0</v>
      </c>
      <c r="F19" s="7">
        <v>598</v>
      </c>
      <c r="G19" s="7">
        <v>208</v>
      </c>
      <c r="H19" s="8" t="s">
        <v>115</v>
      </c>
      <c r="I19" s="12" t="str">
        <f>IFERROR(IF(COUNTA(A19:H19)=0,"",IF(OR(A19="",B19="",C19="",D19="",E19="",F19=""),"FALTA CAMPO",IF(COUNTIFS($A$6:$A$1005,A19,$B$6:$B$1005,B19)&gt;1,"DUPLICADO FECHA-SKU",IF(COUNTIF(CATALOGO!$A$6:$A$105,B19)&lt;&gt;1,"SKU NO VALIDO",IF(OR(A19&lt;DATE(1900,1,1),A19&gt;DATE(2100,12,31),A19&gt;CONFIG!$B$5,C19&lt;0,C19&gt;1000000,D19&lt;0,D19&gt;1000000,E19&lt;0,E19&gt;1000000,E19&gt;D19,ABS(F19)&gt;1000000000,ABS(G19)&gt;1000000000,ROUND(F19,2)&lt;&gt;F19,AND(G19&lt;&gt;"",ROUND(G19,2)&lt;&gt;G19)),"REVISAR VALOR","OK"))))),"REVISAR VALOR")</f>
        <v>OK</v>
      </c>
    </row>
    <row r="20" spans="1:9" x14ac:dyDescent="0.45">
      <c r="A20" s="4">
        <v>46273</v>
      </c>
      <c r="B20" s="8" t="s">
        <v>64</v>
      </c>
      <c r="C20" s="5">
        <v>2</v>
      </c>
      <c r="D20" s="5">
        <v>0</v>
      </c>
      <c r="E20" s="5">
        <v>0</v>
      </c>
      <c r="F20" s="7">
        <v>598</v>
      </c>
      <c r="G20" s="7">
        <v>208</v>
      </c>
      <c r="H20" s="8" t="s">
        <v>116</v>
      </c>
      <c r="I20" s="12" t="str">
        <f>IFERROR(IF(COUNTA(A20:H20)=0,"",IF(OR(A20="",B20="",C20="",D20="",E20="",F20=""),"FALTA CAMPO",IF(COUNTIFS($A$6:$A$1005,A20,$B$6:$B$1005,B20)&gt;1,"DUPLICADO FECHA-SKU",IF(COUNTIF(CATALOGO!$A$6:$A$105,B20)&lt;&gt;1,"SKU NO VALIDO",IF(OR(A20&lt;DATE(1900,1,1),A20&gt;DATE(2100,12,31),A20&gt;CONFIG!$B$5,C20&lt;0,C20&gt;1000000,D20&lt;0,D20&gt;1000000,E20&lt;0,E20&gt;1000000,E20&gt;D20,ABS(F20)&gt;1000000000,ABS(G20)&gt;1000000000,ROUND(F20,2)&lt;&gt;F20,AND(G20&lt;&gt;"",ROUND(G20,2)&lt;&gt;G20)),"REVISAR VALOR","OK"))))),"REVISAR VALOR")</f>
        <v>OK</v>
      </c>
    </row>
    <row r="21" spans="1:9" x14ac:dyDescent="0.45">
      <c r="A21" s="4">
        <v>46274</v>
      </c>
      <c r="B21" s="8" t="s">
        <v>64</v>
      </c>
      <c r="C21" s="5">
        <v>2</v>
      </c>
      <c r="D21" s="5">
        <v>0</v>
      </c>
      <c r="E21" s="5">
        <v>0</v>
      </c>
      <c r="F21" s="7">
        <v>598</v>
      </c>
      <c r="G21" s="7">
        <v>208</v>
      </c>
      <c r="H21" s="8" t="s">
        <v>117</v>
      </c>
      <c r="I21" s="12" t="str">
        <f>IFERROR(IF(COUNTA(A21:H21)=0,"",IF(OR(A21="",B21="",C21="",D21="",E21="",F21=""),"FALTA CAMPO",IF(COUNTIFS($A$6:$A$1005,A21,$B$6:$B$1005,B21)&gt;1,"DUPLICADO FECHA-SKU",IF(COUNTIF(CATALOGO!$A$6:$A$105,B21)&lt;&gt;1,"SKU NO VALIDO",IF(OR(A21&lt;DATE(1900,1,1),A21&gt;DATE(2100,12,31),A21&gt;CONFIG!$B$5,C21&lt;0,C21&gt;1000000,D21&lt;0,D21&gt;1000000,E21&lt;0,E21&gt;1000000,E21&gt;D21,ABS(F21)&gt;1000000000,ABS(G21)&gt;1000000000,ROUND(F21,2)&lt;&gt;F21,AND(G21&lt;&gt;"",ROUND(G21,2)&lt;&gt;G21)),"REVISAR VALOR","OK"))))),"REVISAR VALOR")</f>
        <v>OK</v>
      </c>
    </row>
    <row r="22" spans="1:9" x14ac:dyDescent="0.45">
      <c r="A22" s="4">
        <v>46275</v>
      </c>
      <c r="B22" s="8" t="s">
        <v>64</v>
      </c>
      <c r="C22" s="5">
        <v>2</v>
      </c>
      <c r="D22" s="5">
        <v>0</v>
      </c>
      <c r="E22" s="5">
        <v>0</v>
      </c>
      <c r="F22" s="7">
        <v>598</v>
      </c>
      <c r="G22" s="7">
        <v>208</v>
      </c>
      <c r="H22" s="8" t="s">
        <v>118</v>
      </c>
      <c r="I22" s="12" t="str">
        <f>IFERROR(IF(COUNTA(A22:H22)=0,"",IF(OR(A22="",B22="",C22="",D22="",E22="",F22=""),"FALTA CAMPO",IF(COUNTIFS($A$6:$A$1005,A22,$B$6:$B$1005,B22)&gt;1,"DUPLICADO FECHA-SKU",IF(COUNTIF(CATALOGO!$A$6:$A$105,B22)&lt;&gt;1,"SKU NO VALIDO",IF(OR(A22&lt;DATE(1900,1,1),A22&gt;DATE(2100,12,31),A22&gt;CONFIG!$B$5,C22&lt;0,C22&gt;1000000,D22&lt;0,D22&gt;1000000,E22&lt;0,E22&gt;1000000,E22&gt;D22,ABS(F22)&gt;1000000000,ABS(G22)&gt;1000000000,ROUND(F22,2)&lt;&gt;F22,AND(G22&lt;&gt;"",ROUND(G22,2)&lt;&gt;G22)),"REVISAR VALOR","OK"))))),"REVISAR VALOR")</f>
        <v>OK</v>
      </c>
    </row>
    <row r="23" spans="1:9" x14ac:dyDescent="0.45">
      <c r="A23" s="4">
        <v>46276</v>
      </c>
      <c r="B23" s="8" t="s">
        <v>64</v>
      </c>
      <c r="C23" s="5">
        <v>2</v>
      </c>
      <c r="D23" s="5">
        <v>0</v>
      </c>
      <c r="E23" s="5">
        <v>0</v>
      </c>
      <c r="F23" s="7">
        <v>598</v>
      </c>
      <c r="G23" s="7">
        <v>208</v>
      </c>
      <c r="H23" s="8" t="s">
        <v>119</v>
      </c>
      <c r="I23" s="12" t="str">
        <f>IFERROR(IF(COUNTA(A23:H23)=0,"",IF(OR(A23="",B23="",C23="",D23="",E23="",F23=""),"FALTA CAMPO",IF(COUNTIFS($A$6:$A$1005,A23,$B$6:$B$1005,B23)&gt;1,"DUPLICADO FECHA-SKU",IF(COUNTIF(CATALOGO!$A$6:$A$105,B23)&lt;&gt;1,"SKU NO VALIDO",IF(OR(A23&lt;DATE(1900,1,1),A23&gt;DATE(2100,12,31),A23&gt;CONFIG!$B$5,C23&lt;0,C23&gt;1000000,D23&lt;0,D23&gt;1000000,E23&lt;0,E23&gt;1000000,E23&gt;D23,ABS(F23)&gt;1000000000,ABS(G23)&gt;1000000000,ROUND(F23,2)&lt;&gt;F23,AND(G23&lt;&gt;"",ROUND(G23,2)&lt;&gt;G23)),"REVISAR VALOR","OK"))))),"REVISAR VALOR")</f>
        <v>OK</v>
      </c>
    </row>
    <row r="24" spans="1:9" x14ac:dyDescent="0.45">
      <c r="A24" s="4">
        <v>46277</v>
      </c>
      <c r="B24" s="8" t="s">
        <v>64</v>
      </c>
      <c r="C24" s="5">
        <v>2</v>
      </c>
      <c r="D24" s="5">
        <v>0</v>
      </c>
      <c r="E24" s="5">
        <v>0</v>
      </c>
      <c r="F24" s="7">
        <v>598</v>
      </c>
      <c r="G24" s="7">
        <v>208</v>
      </c>
      <c r="H24" s="8" t="s">
        <v>120</v>
      </c>
      <c r="I24" s="12" t="str">
        <f>IFERROR(IF(COUNTA(A24:H24)=0,"",IF(OR(A24="",B24="",C24="",D24="",E24="",F24=""),"FALTA CAMPO",IF(COUNTIFS($A$6:$A$1005,A24,$B$6:$B$1005,B24)&gt;1,"DUPLICADO FECHA-SKU",IF(COUNTIF(CATALOGO!$A$6:$A$105,B24)&lt;&gt;1,"SKU NO VALIDO",IF(OR(A24&lt;DATE(1900,1,1),A24&gt;DATE(2100,12,31),A24&gt;CONFIG!$B$5,C24&lt;0,C24&gt;1000000,D24&lt;0,D24&gt;1000000,E24&lt;0,E24&gt;1000000,E24&gt;D24,ABS(F24)&gt;1000000000,ABS(G24)&gt;1000000000,ROUND(F24,2)&lt;&gt;F24,AND(G24&lt;&gt;"",ROUND(G24,2)&lt;&gt;G24)),"REVISAR VALOR","OK"))))),"REVISAR VALOR")</f>
        <v>OK</v>
      </c>
    </row>
    <row r="25" spans="1:9" x14ac:dyDescent="0.45">
      <c r="A25" s="4">
        <v>46278</v>
      </c>
      <c r="B25" s="8" t="s">
        <v>64</v>
      </c>
      <c r="C25" s="5">
        <v>2</v>
      </c>
      <c r="D25" s="5">
        <v>0</v>
      </c>
      <c r="E25" s="5">
        <v>0</v>
      </c>
      <c r="F25" s="7">
        <v>598</v>
      </c>
      <c r="G25" s="7">
        <v>208</v>
      </c>
      <c r="H25" s="8" t="s">
        <v>121</v>
      </c>
      <c r="I25" s="12" t="str">
        <f>IFERROR(IF(COUNTA(A25:H25)=0,"",IF(OR(A25="",B25="",C25="",D25="",E25="",F25=""),"FALTA CAMPO",IF(COUNTIFS($A$6:$A$1005,A25,$B$6:$B$1005,B25)&gt;1,"DUPLICADO FECHA-SKU",IF(COUNTIF(CATALOGO!$A$6:$A$105,B25)&lt;&gt;1,"SKU NO VALIDO",IF(OR(A25&lt;DATE(1900,1,1),A25&gt;DATE(2100,12,31),A25&gt;CONFIG!$B$5,C25&lt;0,C25&gt;1000000,D25&lt;0,D25&gt;1000000,E25&lt;0,E25&gt;1000000,E25&gt;D25,ABS(F25)&gt;1000000000,ABS(G25)&gt;1000000000,ROUND(F25,2)&lt;&gt;F25,AND(G25&lt;&gt;"",ROUND(G25,2)&lt;&gt;G25)),"REVISAR VALOR","OK"))))),"REVISAR VALOR")</f>
        <v>OK</v>
      </c>
    </row>
    <row r="26" spans="1:9" x14ac:dyDescent="0.45">
      <c r="A26" s="4">
        <v>46279</v>
      </c>
      <c r="B26" s="8" t="s">
        <v>64</v>
      </c>
      <c r="C26" s="5">
        <v>2</v>
      </c>
      <c r="D26" s="5">
        <v>0</v>
      </c>
      <c r="E26" s="5">
        <v>0</v>
      </c>
      <c r="F26" s="7">
        <v>598</v>
      </c>
      <c r="G26" s="7">
        <v>208</v>
      </c>
      <c r="H26" s="8" t="s">
        <v>122</v>
      </c>
      <c r="I26" s="12" t="str">
        <f>IFERROR(IF(COUNTA(A26:H26)=0,"",IF(OR(A26="",B26="",C26="",D26="",E26="",F26=""),"FALTA CAMPO",IF(COUNTIFS($A$6:$A$1005,A26,$B$6:$B$1005,B26)&gt;1,"DUPLICADO FECHA-SKU",IF(COUNTIF(CATALOGO!$A$6:$A$105,B26)&lt;&gt;1,"SKU NO VALIDO",IF(OR(A26&lt;DATE(1900,1,1),A26&gt;DATE(2100,12,31),A26&gt;CONFIG!$B$5,C26&lt;0,C26&gt;1000000,D26&lt;0,D26&gt;1000000,E26&lt;0,E26&gt;1000000,E26&gt;D26,ABS(F26)&gt;1000000000,ABS(G26)&gt;1000000000,ROUND(F26,2)&lt;&gt;F26,AND(G26&lt;&gt;"",ROUND(G26,2)&lt;&gt;G26)),"REVISAR VALOR","OK"))))),"REVISAR VALOR")</f>
        <v>OK</v>
      </c>
    </row>
    <row r="27" spans="1:9" x14ac:dyDescent="0.45">
      <c r="A27" s="4">
        <v>46280</v>
      </c>
      <c r="B27" s="8" t="s">
        <v>64</v>
      </c>
      <c r="C27" s="5">
        <v>2</v>
      </c>
      <c r="D27" s="5">
        <v>0</v>
      </c>
      <c r="E27" s="5">
        <v>0</v>
      </c>
      <c r="F27" s="7">
        <v>598</v>
      </c>
      <c r="G27" s="7">
        <v>208</v>
      </c>
      <c r="H27" s="8" t="s">
        <v>123</v>
      </c>
      <c r="I27" s="12" t="str">
        <f>IFERROR(IF(COUNTA(A27:H27)=0,"",IF(OR(A27="",B27="",C27="",D27="",E27="",F27=""),"FALTA CAMPO",IF(COUNTIFS($A$6:$A$1005,A27,$B$6:$B$1005,B27)&gt;1,"DUPLICADO FECHA-SKU",IF(COUNTIF(CATALOGO!$A$6:$A$105,B27)&lt;&gt;1,"SKU NO VALIDO",IF(OR(A27&lt;DATE(1900,1,1),A27&gt;DATE(2100,12,31),A27&gt;CONFIG!$B$5,C27&lt;0,C27&gt;1000000,D27&lt;0,D27&gt;1000000,E27&lt;0,E27&gt;1000000,E27&gt;D27,ABS(F27)&gt;1000000000,ABS(G27)&gt;1000000000,ROUND(F27,2)&lt;&gt;F27,AND(G27&lt;&gt;"",ROUND(G27,2)&lt;&gt;G27)),"REVISAR VALOR","OK"))))),"REVISAR VALOR")</f>
        <v>OK</v>
      </c>
    </row>
    <row r="28" spans="1:9" x14ac:dyDescent="0.45">
      <c r="A28" s="4">
        <v>46281</v>
      </c>
      <c r="B28" s="8" t="s">
        <v>64</v>
      </c>
      <c r="C28" s="5">
        <v>2</v>
      </c>
      <c r="D28" s="5">
        <v>0</v>
      </c>
      <c r="E28" s="5">
        <v>0</v>
      </c>
      <c r="F28" s="7">
        <v>598</v>
      </c>
      <c r="G28" s="7">
        <v>208</v>
      </c>
      <c r="H28" s="8" t="s">
        <v>124</v>
      </c>
      <c r="I28" s="12" t="str">
        <f>IFERROR(IF(COUNTA(A28:H28)=0,"",IF(OR(A28="",B28="",C28="",D28="",E28="",F28=""),"FALTA CAMPO",IF(COUNTIFS($A$6:$A$1005,A28,$B$6:$B$1005,B28)&gt;1,"DUPLICADO FECHA-SKU",IF(COUNTIF(CATALOGO!$A$6:$A$105,B28)&lt;&gt;1,"SKU NO VALIDO",IF(OR(A28&lt;DATE(1900,1,1),A28&gt;DATE(2100,12,31),A28&gt;CONFIG!$B$5,C28&lt;0,C28&gt;1000000,D28&lt;0,D28&gt;1000000,E28&lt;0,E28&gt;1000000,E28&gt;D28,ABS(F28)&gt;1000000000,ABS(G28)&gt;1000000000,ROUND(F28,2)&lt;&gt;F28,AND(G28&lt;&gt;"",ROUND(G28,2)&lt;&gt;G28)),"REVISAR VALOR","OK"))))),"REVISAR VALOR")</f>
        <v>OK</v>
      </c>
    </row>
    <row r="29" spans="1:9" x14ac:dyDescent="0.45">
      <c r="A29" s="4">
        <v>46282</v>
      </c>
      <c r="B29" s="8" t="s">
        <v>64</v>
      </c>
      <c r="C29" s="5">
        <v>2</v>
      </c>
      <c r="D29" s="5">
        <v>0</v>
      </c>
      <c r="E29" s="5">
        <v>0</v>
      </c>
      <c r="F29" s="7">
        <v>598</v>
      </c>
      <c r="G29" s="7">
        <v>208</v>
      </c>
      <c r="H29" s="8" t="s">
        <v>125</v>
      </c>
      <c r="I29" s="12" t="str">
        <f>IFERROR(IF(COUNTA(A29:H29)=0,"",IF(OR(A29="",B29="",C29="",D29="",E29="",F29=""),"FALTA CAMPO",IF(COUNTIFS($A$6:$A$1005,A29,$B$6:$B$1005,B29)&gt;1,"DUPLICADO FECHA-SKU",IF(COUNTIF(CATALOGO!$A$6:$A$105,B29)&lt;&gt;1,"SKU NO VALIDO",IF(OR(A29&lt;DATE(1900,1,1),A29&gt;DATE(2100,12,31),A29&gt;CONFIG!$B$5,C29&lt;0,C29&gt;1000000,D29&lt;0,D29&gt;1000000,E29&lt;0,E29&gt;1000000,E29&gt;D29,ABS(F29)&gt;1000000000,ABS(G29)&gt;1000000000,ROUND(F29,2)&lt;&gt;F29,AND(G29&lt;&gt;"",ROUND(G29,2)&lt;&gt;G29)),"REVISAR VALOR","OK"))))),"REVISAR VALOR")</f>
        <v>OK</v>
      </c>
    </row>
    <row r="30" spans="1:9" x14ac:dyDescent="0.45">
      <c r="A30" s="4">
        <v>46283</v>
      </c>
      <c r="B30" s="8" t="s">
        <v>64</v>
      </c>
      <c r="C30" s="5">
        <v>2</v>
      </c>
      <c r="D30" s="5">
        <v>0</v>
      </c>
      <c r="E30" s="5">
        <v>0</v>
      </c>
      <c r="F30" s="7">
        <v>598</v>
      </c>
      <c r="G30" s="7">
        <v>208</v>
      </c>
      <c r="H30" s="8" t="s">
        <v>126</v>
      </c>
      <c r="I30" s="12" t="str">
        <f>IFERROR(IF(COUNTA(A30:H30)=0,"",IF(OR(A30="",B30="",C30="",D30="",E30="",F30=""),"FALTA CAMPO",IF(COUNTIFS($A$6:$A$1005,A30,$B$6:$B$1005,B30)&gt;1,"DUPLICADO FECHA-SKU",IF(COUNTIF(CATALOGO!$A$6:$A$105,B30)&lt;&gt;1,"SKU NO VALIDO",IF(OR(A30&lt;DATE(1900,1,1),A30&gt;DATE(2100,12,31),A30&gt;CONFIG!$B$5,C30&lt;0,C30&gt;1000000,D30&lt;0,D30&gt;1000000,E30&lt;0,E30&gt;1000000,E30&gt;D30,ABS(F30)&gt;1000000000,ABS(G30)&gt;1000000000,ROUND(F30,2)&lt;&gt;F30,AND(G30&lt;&gt;"",ROUND(G30,2)&lt;&gt;G30)),"REVISAR VALOR","OK"))))),"REVISAR VALOR")</f>
        <v>OK</v>
      </c>
    </row>
    <row r="31" spans="1:9" x14ac:dyDescent="0.45">
      <c r="A31" s="4">
        <v>46284</v>
      </c>
      <c r="B31" s="8" t="s">
        <v>64</v>
      </c>
      <c r="C31" s="5">
        <v>2</v>
      </c>
      <c r="D31" s="5">
        <v>0</v>
      </c>
      <c r="E31" s="5">
        <v>0</v>
      </c>
      <c r="F31" s="7">
        <v>598</v>
      </c>
      <c r="G31" s="7">
        <v>208</v>
      </c>
      <c r="H31" s="8" t="s">
        <v>127</v>
      </c>
      <c r="I31" s="12" t="str">
        <f>IFERROR(IF(COUNTA(A31:H31)=0,"",IF(OR(A31="",B31="",C31="",D31="",E31="",F31=""),"FALTA CAMPO",IF(COUNTIFS($A$6:$A$1005,A31,$B$6:$B$1005,B31)&gt;1,"DUPLICADO FECHA-SKU",IF(COUNTIF(CATALOGO!$A$6:$A$105,B31)&lt;&gt;1,"SKU NO VALIDO",IF(OR(A31&lt;DATE(1900,1,1),A31&gt;DATE(2100,12,31),A31&gt;CONFIG!$B$5,C31&lt;0,C31&gt;1000000,D31&lt;0,D31&gt;1000000,E31&lt;0,E31&gt;1000000,E31&gt;D31,ABS(F31)&gt;1000000000,ABS(G31)&gt;1000000000,ROUND(F31,2)&lt;&gt;F31,AND(G31&lt;&gt;"",ROUND(G31,2)&lt;&gt;G31)),"REVISAR VALOR","OK"))))),"REVISAR VALOR")</f>
        <v>OK</v>
      </c>
    </row>
    <row r="32" spans="1:9" x14ac:dyDescent="0.45">
      <c r="A32" s="4">
        <v>46285</v>
      </c>
      <c r="B32" s="8" t="s">
        <v>64</v>
      </c>
      <c r="C32" s="5">
        <v>2</v>
      </c>
      <c r="D32" s="5">
        <v>0</v>
      </c>
      <c r="E32" s="5">
        <v>0</v>
      </c>
      <c r="F32" s="7">
        <v>598</v>
      </c>
      <c r="G32" s="7">
        <v>208</v>
      </c>
      <c r="H32" s="8" t="s">
        <v>128</v>
      </c>
      <c r="I32" s="12" t="str">
        <f>IFERROR(IF(COUNTA(A32:H32)=0,"",IF(OR(A32="",B32="",C32="",D32="",E32="",F32=""),"FALTA CAMPO",IF(COUNTIFS($A$6:$A$1005,A32,$B$6:$B$1005,B32)&gt;1,"DUPLICADO FECHA-SKU",IF(COUNTIF(CATALOGO!$A$6:$A$105,B32)&lt;&gt;1,"SKU NO VALIDO",IF(OR(A32&lt;DATE(1900,1,1),A32&gt;DATE(2100,12,31),A32&gt;CONFIG!$B$5,C32&lt;0,C32&gt;1000000,D32&lt;0,D32&gt;1000000,E32&lt;0,E32&gt;1000000,E32&gt;D32,ABS(F32)&gt;1000000000,ABS(G32)&gt;1000000000,ROUND(F32,2)&lt;&gt;F32,AND(G32&lt;&gt;"",ROUND(G32,2)&lt;&gt;G32)),"REVISAR VALOR","OK"))))),"REVISAR VALOR")</f>
        <v>OK</v>
      </c>
    </row>
    <row r="33" spans="1:9" x14ac:dyDescent="0.45">
      <c r="A33" s="4">
        <v>46286</v>
      </c>
      <c r="B33" s="8" t="s">
        <v>64</v>
      </c>
      <c r="C33" s="5">
        <v>2</v>
      </c>
      <c r="D33" s="5">
        <v>0</v>
      </c>
      <c r="E33" s="5">
        <v>0</v>
      </c>
      <c r="F33" s="7">
        <v>598</v>
      </c>
      <c r="G33" s="7">
        <v>208</v>
      </c>
      <c r="H33" s="8" t="s">
        <v>129</v>
      </c>
      <c r="I33" s="12" t="str">
        <f>IFERROR(IF(COUNTA(A33:H33)=0,"",IF(OR(A33="",B33="",C33="",D33="",E33="",F33=""),"FALTA CAMPO",IF(COUNTIFS($A$6:$A$1005,A33,$B$6:$B$1005,B33)&gt;1,"DUPLICADO FECHA-SKU",IF(COUNTIF(CATALOGO!$A$6:$A$105,B33)&lt;&gt;1,"SKU NO VALIDO",IF(OR(A33&lt;DATE(1900,1,1),A33&gt;DATE(2100,12,31),A33&gt;CONFIG!$B$5,C33&lt;0,C33&gt;1000000,D33&lt;0,D33&gt;1000000,E33&lt;0,E33&gt;1000000,E33&gt;D33,ABS(F33)&gt;1000000000,ABS(G33)&gt;1000000000,ROUND(F33,2)&lt;&gt;F33,AND(G33&lt;&gt;"",ROUND(G33,2)&lt;&gt;G33)),"REVISAR VALOR","OK"))))),"REVISAR VALOR")</f>
        <v>OK</v>
      </c>
    </row>
    <row r="34" spans="1:9" x14ac:dyDescent="0.45">
      <c r="A34" s="4">
        <v>46259</v>
      </c>
      <c r="B34" s="8" t="s">
        <v>70</v>
      </c>
      <c r="C34" s="5">
        <v>1</v>
      </c>
      <c r="D34" s="5">
        <v>1</v>
      </c>
      <c r="E34" s="5">
        <v>0</v>
      </c>
      <c r="F34" s="7">
        <v>0</v>
      </c>
      <c r="G34" s="7">
        <v>104</v>
      </c>
      <c r="H34" s="8" t="s">
        <v>102</v>
      </c>
      <c r="I34" s="12" t="str">
        <f>IFERROR(IF(COUNTA(A34:H34)=0,"",IF(OR(A34="",B34="",C34="",D34="",E34="",F34=""),"FALTA CAMPO",IF(COUNTIFS($A$6:$A$1005,A34,$B$6:$B$1005,B34)&gt;1,"DUPLICADO FECHA-SKU",IF(COUNTIF(CATALOGO!$A$6:$A$105,B34)&lt;&gt;1,"SKU NO VALIDO",IF(OR(A34&lt;DATE(1900,1,1),A34&gt;DATE(2100,12,31),A34&gt;CONFIG!$B$5,C34&lt;0,C34&gt;1000000,D34&lt;0,D34&gt;1000000,E34&lt;0,E34&gt;1000000,E34&gt;D34,ABS(F34)&gt;1000000000,ABS(G34)&gt;1000000000,ROUND(F34,2)&lt;&gt;F34,AND(G34&lt;&gt;"",ROUND(G34,2)&lt;&gt;G34)),"REVISAR VALOR","OK"))))),"REVISAR VALOR")</f>
        <v>OK</v>
      </c>
    </row>
    <row r="35" spans="1:9" x14ac:dyDescent="0.45">
      <c r="A35" s="4">
        <v>46260</v>
      </c>
      <c r="B35" s="8" t="s">
        <v>70</v>
      </c>
      <c r="C35" s="5">
        <v>1</v>
      </c>
      <c r="D35" s="5">
        <v>0</v>
      </c>
      <c r="E35" s="5">
        <v>0</v>
      </c>
      <c r="F35" s="7">
        <v>299</v>
      </c>
      <c r="G35" s="7">
        <v>104</v>
      </c>
      <c r="H35" s="8" t="s">
        <v>103</v>
      </c>
      <c r="I35" s="12" t="str">
        <f>IFERROR(IF(COUNTA(A35:H35)=0,"",IF(OR(A35="",B35="",C35="",D35="",E35="",F35=""),"FALTA CAMPO",IF(COUNTIFS($A$6:$A$1005,A35,$B$6:$B$1005,B35)&gt;1,"DUPLICADO FECHA-SKU",IF(COUNTIF(CATALOGO!$A$6:$A$105,B35)&lt;&gt;1,"SKU NO VALIDO",IF(OR(A35&lt;DATE(1900,1,1),A35&gt;DATE(2100,12,31),A35&gt;CONFIG!$B$5,C35&lt;0,C35&gt;1000000,D35&lt;0,D35&gt;1000000,E35&lt;0,E35&gt;1000000,E35&gt;D35,ABS(F35)&gt;1000000000,ABS(G35)&gt;1000000000,ROUND(F35,2)&lt;&gt;F35,AND(G35&lt;&gt;"",ROUND(G35,2)&lt;&gt;G35)),"REVISAR VALOR","OK"))))),"REVISAR VALOR")</f>
        <v>OK</v>
      </c>
    </row>
    <row r="36" spans="1:9" x14ac:dyDescent="0.45">
      <c r="A36" s="4">
        <v>46261</v>
      </c>
      <c r="B36" s="8" t="s">
        <v>70</v>
      </c>
      <c r="C36" s="5">
        <v>1</v>
      </c>
      <c r="D36" s="5">
        <v>0</v>
      </c>
      <c r="E36" s="5">
        <v>0</v>
      </c>
      <c r="F36" s="7">
        <v>299</v>
      </c>
      <c r="G36" s="7">
        <v>104</v>
      </c>
      <c r="H36" s="8" t="s">
        <v>104</v>
      </c>
      <c r="I36" s="12" t="str">
        <f>IFERROR(IF(COUNTA(A36:H36)=0,"",IF(OR(A36="",B36="",C36="",D36="",E36="",F36=""),"FALTA CAMPO",IF(COUNTIFS($A$6:$A$1005,A36,$B$6:$B$1005,B36)&gt;1,"DUPLICADO FECHA-SKU",IF(COUNTIF(CATALOGO!$A$6:$A$105,B36)&lt;&gt;1,"SKU NO VALIDO",IF(OR(A36&lt;DATE(1900,1,1),A36&gt;DATE(2100,12,31),A36&gt;CONFIG!$B$5,C36&lt;0,C36&gt;1000000,D36&lt;0,D36&gt;1000000,E36&lt;0,E36&gt;1000000,E36&gt;D36,ABS(F36)&gt;1000000000,ABS(G36)&gt;1000000000,ROUND(F36,2)&lt;&gt;F36,AND(G36&lt;&gt;"",ROUND(G36,2)&lt;&gt;G36)),"REVISAR VALOR","OK"))))),"REVISAR VALOR")</f>
        <v>OK</v>
      </c>
    </row>
    <row r="37" spans="1:9" x14ac:dyDescent="0.45">
      <c r="A37" s="4">
        <v>46262</v>
      </c>
      <c r="B37" s="8" t="s">
        <v>70</v>
      </c>
      <c r="C37" s="5">
        <v>1</v>
      </c>
      <c r="D37" s="5">
        <v>0</v>
      </c>
      <c r="E37" s="5">
        <v>0</v>
      </c>
      <c r="F37" s="7">
        <v>299</v>
      </c>
      <c r="G37" s="7">
        <v>104</v>
      </c>
      <c r="H37" s="8" t="s">
        <v>105</v>
      </c>
      <c r="I37" s="12" t="str">
        <f>IFERROR(IF(COUNTA(A37:H37)=0,"",IF(OR(A37="",B37="",C37="",D37="",E37="",F37=""),"FALTA CAMPO",IF(COUNTIFS($A$6:$A$1005,A37,$B$6:$B$1005,B37)&gt;1,"DUPLICADO FECHA-SKU",IF(COUNTIF(CATALOGO!$A$6:$A$105,B37)&lt;&gt;1,"SKU NO VALIDO",IF(OR(A37&lt;DATE(1900,1,1),A37&gt;DATE(2100,12,31),A37&gt;CONFIG!$B$5,C37&lt;0,C37&gt;1000000,D37&lt;0,D37&gt;1000000,E37&lt;0,E37&gt;1000000,E37&gt;D37,ABS(F37)&gt;1000000000,ABS(G37)&gt;1000000000,ROUND(F37,2)&lt;&gt;F37,AND(G37&lt;&gt;"",ROUND(G37,2)&lt;&gt;G37)),"REVISAR VALOR","OK"))))),"REVISAR VALOR")</f>
        <v>OK</v>
      </c>
    </row>
    <row r="38" spans="1:9" x14ac:dyDescent="0.45">
      <c r="A38" s="4">
        <v>46263</v>
      </c>
      <c r="B38" s="8" t="s">
        <v>70</v>
      </c>
      <c r="C38" s="5">
        <v>1</v>
      </c>
      <c r="D38" s="5">
        <v>0</v>
      </c>
      <c r="E38" s="5">
        <v>0</v>
      </c>
      <c r="F38" s="7">
        <v>299</v>
      </c>
      <c r="G38" s="7">
        <v>104</v>
      </c>
      <c r="H38" s="8" t="s">
        <v>106</v>
      </c>
      <c r="I38" s="12" t="str">
        <f>IFERROR(IF(COUNTA(A38:H38)=0,"",IF(OR(A38="",B38="",C38="",D38="",E38="",F38=""),"FALTA CAMPO",IF(COUNTIFS($A$6:$A$1005,A38,$B$6:$B$1005,B38)&gt;1,"DUPLICADO FECHA-SKU",IF(COUNTIF(CATALOGO!$A$6:$A$105,B38)&lt;&gt;1,"SKU NO VALIDO",IF(OR(A38&lt;DATE(1900,1,1),A38&gt;DATE(2100,12,31),A38&gt;CONFIG!$B$5,C38&lt;0,C38&gt;1000000,D38&lt;0,D38&gt;1000000,E38&lt;0,E38&gt;1000000,E38&gt;D38,ABS(F38)&gt;1000000000,ABS(G38)&gt;1000000000,ROUND(F38,2)&lt;&gt;F38,AND(G38&lt;&gt;"",ROUND(G38,2)&lt;&gt;G38)),"REVISAR VALOR","OK"))))),"REVISAR VALOR")</f>
        <v>OK</v>
      </c>
    </row>
    <row r="39" spans="1:9" x14ac:dyDescent="0.45">
      <c r="A39" s="4">
        <v>46264</v>
      </c>
      <c r="B39" s="8" t="s">
        <v>70</v>
      </c>
      <c r="C39" s="5">
        <v>1</v>
      </c>
      <c r="D39" s="5">
        <v>0</v>
      </c>
      <c r="E39" s="5">
        <v>0</v>
      </c>
      <c r="F39" s="7">
        <v>299</v>
      </c>
      <c r="G39" s="7">
        <v>104</v>
      </c>
      <c r="H39" s="8" t="s">
        <v>107</v>
      </c>
      <c r="I39" s="12" t="str">
        <f>IFERROR(IF(COUNTA(A39:H39)=0,"",IF(OR(A39="",B39="",C39="",D39="",E39="",F39=""),"FALTA CAMPO",IF(COUNTIFS($A$6:$A$1005,A39,$B$6:$B$1005,B39)&gt;1,"DUPLICADO FECHA-SKU",IF(COUNTIF(CATALOGO!$A$6:$A$105,B39)&lt;&gt;1,"SKU NO VALIDO",IF(OR(A39&lt;DATE(1900,1,1),A39&gt;DATE(2100,12,31),A39&gt;CONFIG!$B$5,C39&lt;0,C39&gt;1000000,D39&lt;0,D39&gt;1000000,E39&lt;0,E39&gt;1000000,E39&gt;D39,ABS(F39)&gt;1000000000,ABS(G39)&gt;1000000000,ROUND(F39,2)&lt;&gt;F39,AND(G39&lt;&gt;"",ROUND(G39,2)&lt;&gt;G39)),"REVISAR VALOR","OK"))))),"REVISAR VALOR")</f>
        <v>OK</v>
      </c>
    </row>
    <row r="40" spans="1:9" x14ac:dyDescent="0.45">
      <c r="A40" s="4">
        <v>46265</v>
      </c>
      <c r="B40" s="8" t="s">
        <v>70</v>
      </c>
      <c r="C40" s="5">
        <v>1</v>
      </c>
      <c r="D40" s="5">
        <v>0</v>
      </c>
      <c r="E40" s="5">
        <v>0</v>
      </c>
      <c r="F40" s="7">
        <v>299</v>
      </c>
      <c r="G40" s="7">
        <v>104</v>
      </c>
      <c r="H40" s="8" t="s">
        <v>108</v>
      </c>
      <c r="I40" s="12" t="str">
        <f>IFERROR(IF(COUNTA(A40:H40)=0,"",IF(OR(A40="",B40="",C40="",D40="",E40="",F40=""),"FALTA CAMPO",IF(COUNTIFS($A$6:$A$1005,A40,$B$6:$B$1005,B40)&gt;1,"DUPLICADO FECHA-SKU",IF(COUNTIF(CATALOGO!$A$6:$A$105,B40)&lt;&gt;1,"SKU NO VALIDO",IF(OR(A40&lt;DATE(1900,1,1),A40&gt;DATE(2100,12,31),A40&gt;CONFIG!$B$5,C40&lt;0,C40&gt;1000000,D40&lt;0,D40&gt;1000000,E40&lt;0,E40&gt;1000000,E40&gt;D40,ABS(F40)&gt;1000000000,ABS(G40)&gt;1000000000,ROUND(F40,2)&lt;&gt;F40,AND(G40&lt;&gt;"",ROUND(G40,2)&lt;&gt;G40)),"REVISAR VALOR","OK"))))),"REVISAR VALOR")</f>
        <v>OK</v>
      </c>
    </row>
    <row r="41" spans="1:9" x14ac:dyDescent="0.45">
      <c r="A41" s="4">
        <v>46266</v>
      </c>
      <c r="B41" s="8" t="s">
        <v>70</v>
      </c>
      <c r="C41" s="5">
        <v>1</v>
      </c>
      <c r="D41" s="5">
        <v>0</v>
      </c>
      <c r="E41" s="5">
        <v>0</v>
      </c>
      <c r="F41" s="7">
        <v>299</v>
      </c>
      <c r="G41" s="7">
        <v>104</v>
      </c>
      <c r="H41" s="8" t="s">
        <v>109</v>
      </c>
      <c r="I41" s="12" t="str">
        <f>IFERROR(IF(COUNTA(A41:H41)=0,"",IF(OR(A41="",B41="",C41="",D41="",E41="",F41=""),"FALTA CAMPO",IF(COUNTIFS($A$6:$A$1005,A41,$B$6:$B$1005,B41)&gt;1,"DUPLICADO FECHA-SKU",IF(COUNTIF(CATALOGO!$A$6:$A$105,B41)&lt;&gt;1,"SKU NO VALIDO",IF(OR(A41&lt;DATE(1900,1,1),A41&gt;DATE(2100,12,31),A41&gt;CONFIG!$B$5,C41&lt;0,C41&gt;1000000,D41&lt;0,D41&gt;1000000,E41&lt;0,E41&gt;1000000,E41&gt;D41,ABS(F41)&gt;1000000000,ABS(G41)&gt;1000000000,ROUND(F41,2)&lt;&gt;F41,AND(G41&lt;&gt;"",ROUND(G41,2)&lt;&gt;G41)),"REVISAR VALOR","OK"))))),"REVISAR VALOR")</f>
        <v>OK</v>
      </c>
    </row>
    <row r="42" spans="1:9" x14ac:dyDescent="0.45">
      <c r="A42" s="4">
        <v>46267</v>
      </c>
      <c r="B42" s="8" t="s">
        <v>70</v>
      </c>
      <c r="C42" s="5">
        <v>1</v>
      </c>
      <c r="D42" s="5">
        <v>0</v>
      </c>
      <c r="E42" s="5">
        <v>0</v>
      </c>
      <c r="F42" s="7">
        <v>299</v>
      </c>
      <c r="G42" s="7">
        <v>104</v>
      </c>
      <c r="H42" s="8" t="s">
        <v>110</v>
      </c>
      <c r="I42" s="12" t="str">
        <f>IFERROR(IF(COUNTA(A42:H42)=0,"",IF(OR(A42="",B42="",C42="",D42="",E42="",F42=""),"FALTA CAMPO",IF(COUNTIFS($A$6:$A$1005,A42,$B$6:$B$1005,B42)&gt;1,"DUPLICADO FECHA-SKU",IF(COUNTIF(CATALOGO!$A$6:$A$105,B42)&lt;&gt;1,"SKU NO VALIDO",IF(OR(A42&lt;DATE(1900,1,1),A42&gt;DATE(2100,12,31),A42&gt;CONFIG!$B$5,C42&lt;0,C42&gt;1000000,D42&lt;0,D42&gt;1000000,E42&lt;0,E42&gt;1000000,E42&gt;D42,ABS(F42)&gt;1000000000,ABS(G42)&gt;1000000000,ROUND(F42,2)&lt;&gt;F42,AND(G42&lt;&gt;"",ROUND(G42,2)&lt;&gt;G42)),"REVISAR VALOR","OK"))))),"REVISAR VALOR")</f>
        <v>OK</v>
      </c>
    </row>
    <row r="43" spans="1:9" x14ac:dyDescent="0.45">
      <c r="A43" s="4">
        <v>46268</v>
      </c>
      <c r="B43" s="8" t="s">
        <v>70</v>
      </c>
      <c r="C43" s="5">
        <v>1</v>
      </c>
      <c r="D43" s="5">
        <v>0</v>
      </c>
      <c r="E43" s="5">
        <v>0</v>
      </c>
      <c r="F43" s="7">
        <v>299</v>
      </c>
      <c r="G43" s="7">
        <v>104</v>
      </c>
      <c r="H43" s="8" t="s">
        <v>111</v>
      </c>
      <c r="I43" s="12" t="str">
        <f>IFERROR(IF(COUNTA(A43:H43)=0,"",IF(OR(A43="",B43="",C43="",D43="",E43="",F43=""),"FALTA CAMPO",IF(COUNTIFS($A$6:$A$1005,A43,$B$6:$B$1005,B43)&gt;1,"DUPLICADO FECHA-SKU",IF(COUNTIF(CATALOGO!$A$6:$A$105,B43)&lt;&gt;1,"SKU NO VALIDO",IF(OR(A43&lt;DATE(1900,1,1),A43&gt;DATE(2100,12,31),A43&gt;CONFIG!$B$5,C43&lt;0,C43&gt;1000000,D43&lt;0,D43&gt;1000000,E43&lt;0,E43&gt;1000000,E43&gt;D43,ABS(F43)&gt;1000000000,ABS(G43)&gt;1000000000,ROUND(F43,2)&lt;&gt;F43,AND(G43&lt;&gt;"",ROUND(G43,2)&lt;&gt;G43)),"REVISAR VALOR","OK"))))),"REVISAR VALOR")</f>
        <v>OK</v>
      </c>
    </row>
    <row r="44" spans="1:9" x14ac:dyDescent="0.45">
      <c r="A44" s="4">
        <v>46269</v>
      </c>
      <c r="B44" s="8" t="s">
        <v>70</v>
      </c>
      <c r="C44" s="5">
        <v>1</v>
      </c>
      <c r="D44" s="5">
        <v>0</v>
      </c>
      <c r="E44" s="5">
        <v>0</v>
      </c>
      <c r="F44" s="7">
        <v>299</v>
      </c>
      <c r="G44" s="7">
        <v>104</v>
      </c>
      <c r="H44" s="8" t="s">
        <v>112</v>
      </c>
      <c r="I44" s="12" t="str">
        <f>IFERROR(IF(COUNTA(A44:H44)=0,"",IF(OR(A44="",B44="",C44="",D44="",E44="",F44=""),"FALTA CAMPO",IF(COUNTIFS($A$6:$A$1005,A44,$B$6:$B$1005,B44)&gt;1,"DUPLICADO FECHA-SKU",IF(COUNTIF(CATALOGO!$A$6:$A$105,B44)&lt;&gt;1,"SKU NO VALIDO",IF(OR(A44&lt;DATE(1900,1,1),A44&gt;DATE(2100,12,31),A44&gt;CONFIG!$B$5,C44&lt;0,C44&gt;1000000,D44&lt;0,D44&gt;1000000,E44&lt;0,E44&gt;1000000,E44&gt;D44,ABS(F44)&gt;1000000000,ABS(G44)&gt;1000000000,ROUND(F44,2)&lt;&gt;F44,AND(G44&lt;&gt;"",ROUND(G44,2)&lt;&gt;G44)),"REVISAR VALOR","OK"))))),"REVISAR VALOR")</f>
        <v>OK</v>
      </c>
    </row>
    <row r="45" spans="1:9" x14ac:dyDescent="0.45">
      <c r="A45" s="4">
        <v>46270</v>
      </c>
      <c r="B45" s="8" t="s">
        <v>70</v>
      </c>
      <c r="C45" s="5">
        <v>1</v>
      </c>
      <c r="D45" s="5">
        <v>0</v>
      </c>
      <c r="E45" s="5">
        <v>0</v>
      </c>
      <c r="F45" s="7">
        <v>299</v>
      </c>
      <c r="G45" s="7">
        <v>104</v>
      </c>
      <c r="H45" s="8" t="s">
        <v>113</v>
      </c>
      <c r="I45" s="12" t="str">
        <f>IFERROR(IF(COUNTA(A45:H45)=0,"",IF(OR(A45="",B45="",C45="",D45="",E45="",F45=""),"FALTA CAMPO",IF(COUNTIFS($A$6:$A$1005,A45,$B$6:$B$1005,B45)&gt;1,"DUPLICADO FECHA-SKU",IF(COUNTIF(CATALOGO!$A$6:$A$105,B45)&lt;&gt;1,"SKU NO VALIDO",IF(OR(A45&lt;DATE(1900,1,1),A45&gt;DATE(2100,12,31),A45&gt;CONFIG!$B$5,C45&lt;0,C45&gt;1000000,D45&lt;0,D45&gt;1000000,E45&lt;0,E45&gt;1000000,E45&gt;D45,ABS(F45)&gt;1000000000,ABS(G45)&gt;1000000000,ROUND(F45,2)&lt;&gt;F45,AND(G45&lt;&gt;"",ROUND(G45,2)&lt;&gt;G45)),"REVISAR VALOR","OK"))))),"REVISAR VALOR")</f>
        <v>OK</v>
      </c>
    </row>
    <row r="46" spans="1:9" x14ac:dyDescent="0.45">
      <c r="A46" s="4">
        <v>46271</v>
      </c>
      <c r="B46" s="8" t="s">
        <v>70</v>
      </c>
      <c r="C46" s="5">
        <v>1</v>
      </c>
      <c r="D46" s="5">
        <v>0</v>
      </c>
      <c r="E46" s="5">
        <v>0</v>
      </c>
      <c r="F46" s="7">
        <v>299</v>
      </c>
      <c r="G46" s="7">
        <v>104</v>
      </c>
      <c r="H46" s="8" t="s">
        <v>114</v>
      </c>
      <c r="I46" s="12" t="str">
        <f>IFERROR(IF(COUNTA(A46:H46)=0,"",IF(OR(A46="",B46="",C46="",D46="",E46="",F46=""),"FALTA CAMPO",IF(COUNTIFS($A$6:$A$1005,A46,$B$6:$B$1005,B46)&gt;1,"DUPLICADO FECHA-SKU",IF(COUNTIF(CATALOGO!$A$6:$A$105,B46)&lt;&gt;1,"SKU NO VALIDO",IF(OR(A46&lt;DATE(1900,1,1),A46&gt;DATE(2100,12,31),A46&gt;CONFIG!$B$5,C46&lt;0,C46&gt;1000000,D46&lt;0,D46&gt;1000000,E46&lt;0,E46&gt;1000000,E46&gt;D46,ABS(F46)&gt;1000000000,ABS(G46)&gt;1000000000,ROUND(F46,2)&lt;&gt;F46,AND(G46&lt;&gt;"",ROUND(G46,2)&lt;&gt;G46)),"REVISAR VALOR","OK"))))),"REVISAR VALOR")</f>
        <v>OK</v>
      </c>
    </row>
    <row r="47" spans="1:9" x14ac:dyDescent="0.45">
      <c r="A47" s="4">
        <v>46272</v>
      </c>
      <c r="B47" s="8" t="s">
        <v>70</v>
      </c>
      <c r="C47" s="5">
        <v>1</v>
      </c>
      <c r="D47" s="5">
        <v>0</v>
      </c>
      <c r="E47" s="5">
        <v>0</v>
      </c>
      <c r="F47" s="7">
        <v>299</v>
      </c>
      <c r="G47" s="7">
        <v>104</v>
      </c>
      <c r="H47" s="8" t="s">
        <v>115</v>
      </c>
      <c r="I47" s="12" t="str">
        <f>IFERROR(IF(COUNTA(A47:H47)=0,"",IF(OR(A47="",B47="",C47="",D47="",E47="",F47=""),"FALTA CAMPO",IF(COUNTIFS($A$6:$A$1005,A47,$B$6:$B$1005,B47)&gt;1,"DUPLICADO FECHA-SKU",IF(COUNTIF(CATALOGO!$A$6:$A$105,B47)&lt;&gt;1,"SKU NO VALIDO",IF(OR(A47&lt;DATE(1900,1,1),A47&gt;DATE(2100,12,31),A47&gt;CONFIG!$B$5,C47&lt;0,C47&gt;1000000,D47&lt;0,D47&gt;1000000,E47&lt;0,E47&gt;1000000,E47&gt;D47,ABS(F47)&gt;1000000000,ABS(G47)&gt;1000000000,ROUND(F47,2)&lt;&gt;F47,AND(G47&lt;&gt;"",ROUND(G47,2)&lt;&gt;G47)),"REVISAR VALOR","OK"))))),"REVISAR VALOR")</f>
        <v>OK</v>
      </c>
    </row>
    <row r="48" spans="1:9" x14ac:dyDescent="0.45">
      <c r="A48" s="4">
        <v>46273</v>
      </c>
      <c r="B48" s="8" t="s">
        <v>70</v>
      </c>
      <c r="C48" s="5">
        <v>1</v>
      </c>
      <c r="D48" s="5">
        <v>0</v>
      </c>
      <c r="E48" s="5">
        <v>0</v>
      </c>
      <c r="F48" s="7">
        <v>299</v>
      </c>
      <c r="G48" s="7">
        <v>104</v>
      </c>
      <c r="H48" s="8" t="s">
        <v>116</v>
      </c>
      <c r="I48" s="12" t="str">
        <f>IFERROR(IF(COUNTA(A48:H48)=0,"",IF(OR(A48="",B48="",C48="",D48="",E48="",F48=""),"FALTA CAMPO",IF(COUNTIFS($A$6:$A$1005,A48,$B$6:$B$1005,B48)&gt;1,"DUPLICADO FECHA-SKU",IF(COUNTIF(CATALOGO!$A$6:$A$105,B48)&lt;&gt;1,"SKU NO VALIDO",IF(OR(A48&lt;DATE(1900,1,1),A48&gt;DATE(2100,12,31),A48&gt;CONFIG!$B$5,C48&lt;0,C48&gt;1000000,D48&lt;0,D48&gt;1000000,E48&lt;0,E48&gt;1000000,E48&gt;D48,ABS(F48)&gt;1000000000,ABS(G48)&gt;1000000000,ROUND(F48,2)&lt;&gt;F48,AND(G48&lt;&gt;"",ROUND(G48,2)&lt;&gt;G48)),"REVISAR VALOR","OK"))))),"REVISAR VALOR")</f>
        <v>OK</v>
      </c>
    </row>
    <row r="49" spans="1:9" x14ac:dyDescent="0.45">
      <c r="A49" s="4">
        <v>46274</v>
      </c>
      <c r="B49" s="8" t="s">
        <v>70</v>
      </c>
      <c r="C49" s="5">
        <v>1</v>
      </c>
      <c r="D49" s="5">
        <v>0</v>
      </c>
      <c r="E49" s="5">
        <v>0</v>
      </c>
      <c r="F49" s="7">
        <v>299</v>
      </c>
      <c r="G49" s="7">
        <v>104</v>
      </c>
      <c r="H49" s="8" t="s">
        <v>117</v>
      </c>
      <c r="I49" s="12" t="str">
        <f>IFERROR(IF(COUNTA(A49:H49)=0,"",IF(OR(A49="",B49="",C49="",D49="",E49="",F49=""),"FALTA CAMPO",IF(COUNTIFS($A$6:$A$1005,A49,$B$6:$B$1005,B49)&gt;1,"DUPLICADO FECHA-SKU",IF(COUNTIF(CATALOGO!$A$6:$A$105,B49)&lt;&gt;1,"SKU NO VALIDO",IF(OR(A49&lt;DATE(1900,1,1),A49&gt;DATE(2100,12,31),A49&gt;CONFIG!$B$5,C49&lt;0,C49&gt;1000000,D49&lt;0,D49&gt;1000000,E49&lt;0,E49&gt;1000000,E49&gt;D49,ABS(F49)&gt;1000000000,ABS(G49)&gt;1000000000,ROUND(F49,2)&lt;&gt;F49,AND(G49&lt;&gt;"",ROUND(G49,2)&lt;&gt;G49)),"REVISAR VALOR","OK"))))),"REVISAR VALOR")</f>
        <v>OK</v>
      </c>
    </row>
    <row r="50" spans="1:9" x14ac:dyDescent="0.45">
      <c r="A50" s="4">
        <v>46275</v>
      </c>
      <c r="B50" s="8" t="s">
        <v>70</v>
      </c>
      <c r="C50" s="5">
        <v>1</v>
      </c>
      <c r="D50" s="5">
        <v>0</v>
      </c>
      <c r="E50" s="5">
        <v>0</v>
      </c>
      <c r="F50" s="7">
        <v>299</v>
      </c>
      <c r="G50" s="7">
        <v>104</v>
      </c>
      <c r="H50" s="8" t="s">
        <v>118</v>
      </c>
      <c r="I50" s="12" t="str">
        <f>IFERROR(IF(COUNTA(A50:H50)=0,"",IF(OR(A50="",B50="",C50="",D50="",E50="",F50=""),"FALTA CAMPO",IF(COUNTIFS($A$6:$A$1005,A50,$B$6:$B$1005,B50)&gt;1,"DUPLICADO FECHA-SKU",IF(COUNTIF(CATALOGO!$A$6:$A$105,B50)&lt;&gt;1,"SKU NO VALIDO",IF(OR(A50&lt;DATE(1900,1,1),A50&gt;DATE(2100,12,31),A50&gt;CONFIG!$B$5,C50&lt;0,C50&gt;1000000,D50&lt;0,D50&gt;1000000,E50&lt;0,E50&gt;1000000,E50&gt;D50,ABS(F50)&gt;1000000000,ABS(G50)&gt;1000000000,ROUND(F50,2)&lt;&gt;F50,AND(G50&lt;&gt;"",ROUND(G50,2)&lt;&gt;G50)),"REVISAR VALOR","OK"))))),"REVISAR VALOR")</f>
        <v>OK</v>
      </c>
    </row>
    <row r="51" spans="1:9" x14ac:dyDescent="0.45">
      <c r="A51" s="4">
        <v>46276</v>
      </c>
      <c r="B51" s="8" t="s">
        <v>70</v>
      </c>
      <c r="C51" s="5">
        <v>1</v>
      </c>
      <c r="D51" s="5">
        <v>0</v>
      </c>
      <c r="E51" s="5">
        <v>0</v>
      </c>
      <c r="F51" s="7">
        <v>299</v>
      </c>
      <c r="G51" s="7">
        <v>104</v>
      </c>
      <c r="H51" s="8" t="s">
        <v>119</v>
      </c>
      <c r="I51" s="12" t="str">
        <f>IFERROR(IF(COUNTA(A51:H51)=0,"",IF(OR(A51="",B51="",C51="",D51="",E51="",F51=""),"FALTA CAMPO",IF(COUNTIFS($A$6:$A$1005,A51,$B$6:$B$1005,B51)&gt;1,"DUPLICADO FECHA-SKU",IF(COUNTIF(CATALOGO!$A$6:$A$105,B51)&lt;&gt;1,"SKU NO VALIDO",IF(OR(A51&lt;DATE(1900,1,1),A51&gt;DATE(2100,12,31),A51&gt;CONFIG!$B$5,C51&lt;0,C51&gt;1000000,D51&lt;0,D51&gt;1000000,E51&lt;0,E51&gt;1000000,E51&gt;D51,ABS(F51)&gt;1000000000,ABS(G51)&gt;1000000000,ROUND(F51,2)&lt;&gt;F51,AND(G51&lt;&gt;"",ROUND(G51,2)&lt;&gt;G51)),"REVISAR VALOR","OK"))))),"REVISAR VALOR")</f>
        <v>OK</v>
      </c>
    </row>
    <row r="52" spans="1:9" x14ac:dyDescent="0.45">
      <c r="A52" s="4">
        <v>46277</v>
      </c>
      <c r="B52" s="8" t="s">
        <v>70</v>
      </c>
      <c r="C52" s="5">
        <v>1</v>
      </c>
      <c r="D52" s="5">
        <v>0</v>
      </c>
      <c r="E52" s="5">
        <v>0</v>
      </c>
      <c r="F52" s="7">
        <v>299</v>
      </c>
      <c r="G52" s="7">
        <v>104</v>
      </c>
      <c r="H52" s="8" t="s">
        <v>120</v>
      </c>
      <c r="I52" s="12" t="str">
        <f>IFERROR(IF(COUNTA(A52:H52)=0,"",IF(OR(A52="",B52="",C52="",D52="",E52="",F52=""),"FALTA CAMPO",IF(COUNTIFS($A$6:$A$1005,A52,$B$6:$B$1005,B52)&gt;1,"DUPLICADO FECHA-SKU",IF(COUNTIF(CATALOGO!$A$6:$A$105,B52)&lt;&gt;1,"SKU NO VALIDO",IF(OR(A52&lt;DATE(1900,1,1),A52&gt;DATE(2100,12,31),A52&gt;CONFIG!$B$5,C52&lt;0,C52&gt;1000000,D52&lt;0,D52&gt;1000000,E52&lt;0,E52&gt;1000000,E52&gt;D52,ABS(F52)&gt;1000000000,ABS(G52)&gt;1000000000,ROUND(F52,2)&lt;&gt;F52,AND(G52&lt;&gt;"",ROUND(G52,2)&lt;&gt;G52)),"REVISAR VALOR","OK"))))),"REVISAR VALOR")</f>
        <v>OK</v>
      </c>
    </row>
    <row r="53" spans="1:9" x14ac:dyDescent="0.45">
      <c r="A53" s="4">
        <v>46278</v>
      </c>
      <c r="B53" s="8" t="s">
        <v>70</v>
      </c>
      <c r="C53" s="5">
        <v>1</v>
      </c>
      <c r="D53" s="5">
        <v>0</v>
      </c>
      <c r="E53" s="5">
        <v>0</v>
      </c>
      <c r="F53" s="7">
        <v>299</v>
      </c>
      <c r="G53" s="7">
        <v>104</v>
      </c>
      <c r="H53" s="8" t="s">
        <v>121</v>
      </c>
      <c r="I53" s="12" t="str">
        <f>IFERROR(IF(COUNTA(A53:H53)=0,"",IF(OR(A53="",B53="",C53="",D53="",E53="",F53=""),"FALTA CAMPO",IF(COUNTIFS($A$6:$A$1005,A53,$B$6:$B$1005,B53)&gt;1,"DUPLICADO FECHA-SKU",IF(COUNTIF(CATALOGO!$A$6:$A$105,B53)&lt;&gt;1,"SKU NO VALIDO",IF(OR(A53&lt;DATE(1900,1,1),A53&gt;DATE(2100,12,31),A53&gt;CONFIG!$B$5,C53&lt;0,C53&gt;1000000,D53&lt;0,D53&gt;1000000,E53&lt;0,E53&gt;1000000,E53&gt;D53,ABS(F53)&gt;1000000000,ABS(G53)&gt;1000000000,ROUND(F53,2)&lt;&gt;F53,AND(G53&lt;&gt;"",ROUND(G53,2)&lt;&gt;G53)),"REVISAR VALOR","OK"))))),"REVISAR VALOR")</f>
        <v>OK</v>
      </c>
    </row>
    <row r="54" spans="1:9" x14ac:dyDescent="0.45">
      <c r="A54" s="4">
        <v>46279</v>
      </c>
      <c r="B54" s="8" t="s">
        <v>70</v>
      </c>
      <c r="C54" s="5">
        <v>1</v>
      </c>
      <c r="D54" s="5">
        <v>0</v>
      </c>
      <c r="E54" s="5">
        <v>0</v>
      </c>
      <c r="F54" s="7">
        <v>299</v>
      </c>
      <c r="G54" s="7">
        <v>104</v>
      </c>
      <c r="H54" s="8" t="s">
        <v>122</v>
      </c>
      <c r="I54" s="12" t="str">
        <f>IFERROR(IF(COUNTA(A54:H54)=0,"",IF(OR(A54="",B54="",C54="",D54="",E54="",F54=""),"FALTA CAMPO",IF(COUNTIFS($A$6:$A$1005,A54,$B$6:$B$1005,B54)&gt;1,"DUPLICADO FECHA-SKU",IF(COUNTIF(CATALOGO!$A$6:$A$105,B54)&lt;&gt;1,"SKU NO VALIDO",IF(OR(A54&lt;DATE(1900,1,1),A54&gt;DATE(2100,12,31),A54&gt;CONFIG!$B$5,C54&lt;0,C54&gt;1000000,D54&lt;0,D54&gt;1000000,E54&lt;0,E54&gt;1000000,E54&gt;D54,ABS(F54)&gt;1000000000,ABS(G54)&gt;1000000000,ROUND(F54,2)&lt;&gt;F54,AND(G54&lt;&gt;"",ROUND(G54,2)&lt;&gt;G54)),"REVISAR VALOR","OK"))))),"REVISAR VALOR")</f>
        <v>OK</v>
      </c>
    </row>
    <row r="55" spans="1:9" x14ac:dyDescent="0.45">
      <c r="A55" s="4">
        <v>46280</v>
      </c>
      <c r="B55" s="8" t="s">
        <v>70</v>
      </c>
      <c r="C55" s="5">
        <v>1</v>
      </c>
      <c r="D55" s="5">
        <v>0</v>
      </c>
      <c r="E55" s="5">
        <v>0</v>
      </c>
      <c r="F55" s="7">
        <v>299</v>
      </c>
      <c r="G55" s="7">
        <v>104</v>
      </c>
      <c r="H55" s="8" t="s">
        <v>123</v>
      </c>
      <c r="I55" s="12" t="str">
        <f>IFERROR(IF(COUNTA(A55:H55)=0,"",IF(OR(A55="",B55="",C55="",D55="",E55="",F55=""),"FALTA CAMPO",IF(COUNTIFS($A$6:$A$1005,A55,$B$6:$B$1005,B55)&gt;1,"DUPLICADO FECHA-SKU",IF(COUNTIF(CATALOGO!$A$6:$A$105,B55)&lt;&gt;1,"SKU NO VALIDO",IF(OR(A55&lt;DATE(1900,1,1),A55&gt;DATE(2100,12,31),A55&gt;CONFIG!$B$5,C55&lt;0,C55&gt;1000000,D55&lt;0,D55&gt;1000000,E55&lt;0,E55&gt;1000000,E55&gt;D55,ABS(F55)&gt;1000000000,ABS(G55)&gt;1000000000,ROUND(F55,2)&lt;&gt;F55,AND(G55&lt;&gt;"",ROUND(G55,2)&lt;&gt;G55)),"REVISAR VALOR","OK"))))),"REVISAR VALOR")</f>
        <v>OK</v>
      </c>
    </row>
    <row r="56" spans="1:9" x14ac:dyDescent="0.45">
      <c r="A56" s="4">
        <v>46281</v>
      </c>
      <c r="B56" s="8" t="s">
        <v>70</v>
      </c>
      <c r="C56" s="5">
        <v>1</v>
      </c>
      <c r="D56" s="5">
        <v>0</v>
      </c>
      <c r="E56" s="5">
        <v>0</v>
      </c>
      <c r="F56" s="7">
        <v>299</v>
      </c>
      <c r="G56" s="7">
        <v>104</v>
      </c>
      <c r="H56" s="8" t="s">
        <v>124</v>
      </c>
      <c r="I56" s="12" t="str">
        <f>IFERROR(IF(COUNTA(A56:H56)=0,"",IF(OR(A56="",B56="",C56="",D56="",E56="",F56=""),"FALTA CAMPO",IF(COUNTIFS($A$6:$A$1005,A56,$B$6:$B$1005,B56)&gt;1,"DUPLICADO FECHA-SKU",IF(COUNTIF(CATALOGO!$A$6:$A$105,B56)&lt;&gt;1,"SKU NO VALIDO",IF(OR(A56&lt;DATE(1900,1,1),A56&gt;DATE(2100,12,31),A56&gt;CONFIG!$B$5,C56&lt;0,C56&gt;1000000,D56&lt;0,D56&gt;1000000,E56&lt;0,E56&gt;1000000,E56&gt;D56,ABS(F56)&gt;1000000000,ABS(G56)&gt;1000000000,ROUND(F56,2)&lt;&gt;F56,AND(G56&lt;&gt;"",ROUND(G56,2)&lt;&gt;G56)),"REVISAR VALOR","OK"))))),"REVISAR VALOR")</f>
        <v>OK</v>
      </c>
    </row>
    <row r="57" spans="1:9" x14ac:dyDescent="0.45">
      <c r="A57" s="4">
        <v>46282</v>
      </c>
      <c r="B57" s="8" t="s">
        <v>70</v>
      </c>
      <c r="C57" s="5">
        <v>1</v>
      </c>
      <c r="D57" s="5">
        <v>0</v>
      </c>
      <c r="E57" s="5">
        <v>0</v>
      </c>
      <c r="F57" s="7">
        <v>299</v>
      </c>
      <c r="G57" s="7">
        <v>104</v>
      </c>
      <c r="H57" s="8" t="s">
        <v>125</v>
      </c>
      <c r="I57" s="12" t="str">
        <f>IFERROR(IF(COUNTA(A57:H57)=0,"",IF(OR(A57="",B57="",C57="",D57="",E57="",F57=""),"FALTA CAMPO",IF(COUNTIFS($A$6:$A$1005,A57,$B$6:$B$1005,B57)&gt;1,"DUPLICADO FECHA-SKU",IF(COUNTIF(CATALOGO!$A$6:$A$105,B57)&lt;&gt;1,"SKU NO VALIDO",IF(OR(A57&lt;DATE(1900,1,1),A57&gt;DATE(2100,12,31),A57&gt;CONFIG!$B$5,C57&lt;0,C57&gt;1000000,D57&lt;0,D57&gt;1000000,E57&lt;0,E57&gt;1000000,E57&gt;D57,ABS(F57)&gt;1000000000,ABS(G57)&gt;1000000000,ROUND(F57,2)&lt;&gt;F57,AND(G57&lt;&gt;"",ROUND(G57,2)&lt;&gt;G57)),"REVISAR VALOR","OK"))))),"REVISAR VALOR")</f>
        <v>OK</v>
      </c>
    </row>
    <row r="58" spans="1:9" x14ac:dyDescent="0.45">
      <c r="A58" s="4">
        <v>46283</v>
      </c>
      <c r="B58" s="8" t="s">
        <v>70</v>
      </c>
      <c r="C58" s="5">
        <v>1</v>
      </c>
      <c r="D58" s="5">
        <v>0</v>
      </c>
      <c r="E58" s="5">
        <v>0</v>
      </c>
      <c r="F58" s="7">
        <v>299</v>
      </c>
      <c r="G58" s="7">
        <v>104</v>
      </c>
      <c r="H58" s="8" t="s">
        <v>126</v>
      </c>
      <c r="I58" s="12" t="str">
        <f>IFERROR(IF(COUNTA(A58:H58)=0,"",IF(OR(A58="",B58="",C58="",D58="",E58="",F58=""),"FALTA CAMPO",IF(COUNTIFS($A$6:$A$1005,A58,$B$6:$B$1005,B58)&gt;1,"DUPLICADO FECHA-SKU",IF(COUNTIF(CATALOGO!$A$6:$A$105,B58)&lt;&gt;1,"SKU NO VALIDO",IF(OR(A58&lt;DATE(1900,1,1),A58&gt;DATE(2100,12,31),A58&gt;CONFIG!$B$5,C58&lt;0,C58&gt;1000000,D58&lt;0,D58&gt;1000000,E58&lt;0,E58&gt;1000000,E58&gt;D58,ABS(F58)&gt;1000000000,ABS(G58)&gt;1000000000,ROUND(F58,2)&lt;&gt;F58,AND(G58&lt;&gt;"",ROUND(G58,2)&lt;&gt;G58)),"REVISAR VALOR","OK"))))),"REVISAR VALOR")</f>
        <v>OK</v>
      </c>
    </row>
    <row r="59" spans="1:9" x14ac:dyDescent="0.45">
      <c r="A59" s="4">
        <v>46284</v>
      </c>
      <c r="B59" s="8" t="s">
        <v>70</v>
      </c>
      <c r="C59" s="5">
        <v>1</v>
      </c>
      <c r="D59" s="5">
        <v>0</v>
      </c>
      <c r="E59" s="5">
        <v>0</v>
      </c>
      <c r="F59" s="7">
        <v>299</v>
      </c>
      <c r="G59" s="7">
        <v>104</v>
      </c>
      <c r="H59" s="8" t="s">
        <v>127</v>
      </c>
      <c r="I59" s="12" t="str">
        <f>IFERROR(IF(COUNTA(A59:H59)=0,"",IF(OR(A59="",B59="",C59="",D59="",E59="",F59=""),"FALTA CAMPO",IF(COUNTIFS($A$6:$A$1005,A59,$B$6:$B$1005,B59)&gt;1,"DUPLICADO FECHA-SKU",IF(COUNTIF(CATALOGO!$A$6:$A$105,B59)&lt;&gt;1,"SKU NO VALIDO",IF(OR(A59&lt;DATE(1900,1,1),A59&gt;DATE(2100,12,31),A59&gt;CONFIG!$B$5,C59&lt;0,C59&gt;1000000,D59&lt;0,D59&gt;1000000,E59&lt;0,E59&gt;1000000,E59&gt;D59,ABS(F59)&gt;1000000000,ABS(G59)&gt;1000000000,ROUND(F59,2)&lt;&gt;F59,AND(G59&lt;&gt;"",ROUND(G59,2)&lt;&gt;G59)),"REVISAR VALOR","OK"))))),"REVISAR VALOR")</f>
        <v>OK</v>
      </c>
    </row>
    <row r="60" spans="1:9" x14ac:dyDescent="0.45">
      <c r="A60" s="4">
        <v>46285</v>
      </c>
      <c r="B60" s="8" t="s">
        <v>70</v>
      </c>
      <c r="C60" s="5">
        <v>1</v>
      </c>
      <c r="D60" s="5">
        <v>0</v>
      </c>
      <c r="E60" s="5">
        <v>0</v>
      </c>
      <c r="F60" s="7">
        <v>299</v>
      </c>
      <c r="G60" s="7">
        <v>104</v>
      </c>
      <c r="H60" s="8" t="s">
        <v>128</v>
      </c>
      <c r="I60" s="12" t="str">
        <f>IFERROR(IF(COUNTA(A60:H60)=0,"",IF(OR(A60="",B60="",C60="",D60="",E60="",F60=""),"FALTA CAMPO",IF(COUNTIFS($A$6:$A$1005,A60,$B$6:$B$1005,B60)&gt;1,"DUPLICADO FECHA-SKU",IF(COUNTIF(CATALOGO!$A$6:$A$105,B60)&lt;&gt;1,"SKU NO VALIDO",IF(OR(A60&lt;DATE(1900,1,1),A60&gt;DATE(2100,12,31),A60&gt;CONFIG!$B$5,C60&lt;0,C60&gt;1000000,D60&lt;0,D60&gt;1000000,E60&lt;0,E60&gt;1000000,E60&gt;D60,ABS(F60)&gt;1000000000,ABS(G60)&gt;1000000000,ROUND(F60,2)&lt;&gt;F60,AND(G60&lt;&gt;"",ROUND(G60,2)&lt;&gt;G60)),"REVISAR VALOR","OK"))))),"REVISAR VALOR")</f>
        <v>OK</v>
      </c>
    </row>
    <row r="61" spans="1:9" x14ac:dyDescent="0.45">
      <c r="A61" s="4">
        <v>46286</v>
      </c>
      <c r="B61" s="8" t="s">
        <v>70</v>
      </c>
      <c r="C61" s="5">
        <v>1</v>
      </c>
      <c r="D61" s="5">
        <v>0</v>
      </c>
      <c r="E61" s="5">
        <v>0</v>
      </c>
      <c r="F61" s="7">
        <v>299</v>
      </c>
      <c r="G61" s="7">
        <v>104</v>
      </c>
      <c r="H61" s="8" t="s">
        <v>129</v>
      </c>
      <c r="I61" s="12" t="str">
        <f>IFERROR(IF(COUNTA(A61:H61)=0,"",IF(OR(A61="",B61="",C61="",D61="",E61="",F61=""),"FALTA CAMPO",IF(COUNTIFS($A$6:$A$1005,A61,$B$6:$B$1005,B61)&gt;1,"DUPLICADO FECHA-SKU",IF(COUNTIF(CATALOGO!$A$6:$A$105,B61)&lt;&gt;1,"SKU NO VALIDO",IF(OR(A61&lt;DATE(1900,1,1),A61&gt;DATE(2100,12,31),A61&gt;CONFIG!$B$5,C61&lt;0,C61&gt;1000000,D61&lt;0,D61&gt;1000000,E61&lt;0,E61&gt;1000000,E61&gt;D61,ABS(F61)&gt;1000000000,ABS(G61)&gt;1000000000,ROUND(F61,2)&lt;&gt;F61,AND(G61&lt;&gt;"",ROUND(G61,2)&lt;&gt;G61)),"REVISAR VALOR","OK"))))),"REVISAR VALOR")</f>
        <v>OK</v>
      </c>
    </row>
    <row r="62" spans="1:9" x14ac:dyDescent="0.45">
      <c r="A62" s="4">
        <v>46259</v>
      </c>
      <c r="B62" s="8" t="s">
        <v>72</v>
      </c>
      <c r="C62" s="5">
        <v>0</v>
      </c>
      <c r="D62" s="5">
        <v>0</v>
      </c>
      <c r="E62" s="5">
        <v>0</v>
      </c>
      <c r="F62" s="7">
        <v>0</v>
      </c>
      <c r="G62" s="7">
        <v>0</v>
      </c>
      <c r="H62" s="8" t="s">
        <v>102</v>
      </c>
      <c r="I62" s="12" t="str">
        <f>IFERROR(IF(COUNTA(A62:H62)=0,"",IF(OR(A62="",B62="",C62="",D62="",E62="",F62=""),"FALTA CAMPO",IF(COUNTIFS($A$6:$A$1005,A62,$B$6:$B$1005,B62)&gt;1,"DUPLICADO FECHA-SKU",IF(COUNTIF(CATALOGO!$A$6:$A$105,B62)&lt;&gt;1,"SKU NO VALIDO",IF(OR(A62&lt;DATE(1900,1,1),A62&gt;DATE(2100,12,31),A62&gt;CONFIG!$B$5,C62&lt;0,C62&gt;1000000,D62&lt;0,D62&gt;1000000,E62&lt;0,E62&gt;1000000,E62&gt;D62,ABS(F62)&gt;1000000000,ABS(G62)&gt;1000000000,ROUND(F62,2)&lt;&gt;F62,AND(G62&lt;&gt;"",ROUND(G62,2)&lt;&gt;G62)),"REVISAR VALOR","OK"))))),"REVISAR VALOR")</f>
        <v>OK</v>
      </c>
    </row>
    <row r="63" spans="1:9" x14ac:dyDescent="0.45">
      <c r="A63" s="4">
        <v>46260</v>
      </c>
      <c r="B63" s="8" t="s">
        <v>72</v>
      </c>
      <c r="C63" s="5">
        <v>0</v>
      </c>
      <c r="D63" s="5">
        <v>0</v>
      </c>
      <c r="E63" s="5">
        <v>0</v>
      </c>
      <c r="F63" s="7">
        <v>0</v>
      </c>
      <c r="G63" s="7">
        <v>0</v>
      </c>
      <c r="H63" s="8" t="s">
        <v>103</v>
      </c>
      <c r="I63" s="12" t="str">
        <f>IFERROR(IF(COUNTA(A63:H63)=0,"",IF(OR(A63="",B63="",C63="",D63="",E63="",F63=""),"FALTA CAMPO",IF(COUNTIFS($A$6:$A$1005,A63,$B$6:$B$1005,B63)&gt;1,"DUPLICADO FECHA-SKU",IF(COUNTIF(CATALOGO!$A$6:$A$105,B63)&lt;&gt;1,"SKU NO VALIDO",IF(OR(A63&lt;DATE(1900,1,1),A63&gt;DATE(2100,12,31),A63&gt;CONFIG!$B$5,C63&lt;0,C63&gt;1000000,D63&lt;0,D63&gt;1000000,E63&lt;0,E63&gt;1000000,E63&gt;D63,ABS(F63)&gt;1000000000,ABS(G63)&gt;1000000000,ROUND(F63,2)&lt;&gt;F63,AND(G63&lt;&gt;"",ROUND(G63,2)&lt;&gt;G63)),"REVISAR VALOR","OK"))))),"REVISAR VALOR")</f>
        <v>OK</v>
      </c>
    </row>
    <row r="64" spans="1:9" x14ac:dyDescent="0.45">
      <c r="A64" s="4">
        <v>46261</v>
      </c>
      <c r="B64" s="8" t="s">
        <v>72</v>
      </c>
      <c r="C64" s="5">
        <v>0</v>
      </c>
      <c r="D64" s="5">
        <v>0</v>
      </c>
      <c r="E64" s="5">
        <v>0</v>
      </c>
      <c r="F64" s="7">
        <v>0</v>
      </c>
      <c r="G64" s="7">
        <v>0</v>
      </c>
      <c r="H64" s="8" t="s">
        <v>104</v>
      </c>
      <c r="I64" s="12" t="str">
        <f>IFERROR(IF(COUNTA(A64:H64)=0,"",IF(OR(A64="",B64="",C64="",D64="",E64="",F64=""),"FALTA CAMPO",IF(COUNTIFS($A$6:$A$1005,A64,$B$6:$B$1005,B64)&gt;1,"DUPLICADO FECHA-SKU",IF(COUNTIF(CATALOGO!$A$6:$A$105,B64)&lt;&gt;1,"SKU NO VALIDO",IF(OR(A64&lt;DATE(1900,1,1),A64&gt;DATE(2100,12,31),A64&gt;CONFIG!$B$5,C64&lt;0,C64&gt;1000000,D64&lt;0,D64&gt;1000000,E64&lt;0,E64&gt;1000000,E64&gt;D64,ABS(F64)&gt;1000000000,ABS(G64)&gt;1000000000,ROUND(F64,2)&lt;&gt;F64,AND(G64&lt;&gt;"",ROUND(G64,2)&lt;&gt;G64)),"REVISAR VALOR","OK"))))),"REVISAR VALOR")</f>
        <v>OK</v>
      </c>
    </row>
    <row r="65" spans="1:9" x14ac:dyDescent="0.45">
      <c r="A65" s="4">
        <v>46262</v>
      </c>
      <c r="B65" s="8" t="s">
        <v>72</v>
      </c>
      <c r="C65" s="5">
        <v>0</v>
      </c>
      <c r="D65" s="5">
        <v>0</v>
      </c>
      <c r="E65" s="5">
        <v>0</v>
      </c>
      <c r="F65" s="7">
        <v>0</v>
      </c>
      <c r="G65" s="7">
        <v>0</v>
      </c>
      <c r="H65" s="8" t="s">
        <v>105</v>
      </c>
      <c r="I65" s="12" t="str">
        <f>IFERROR(IF(COUNTA(A65:H65)=0,"",IF(OR(A65="",B65="",C65="",D65="",E65="",F65=""),"FALTA CAMPO",IF(COUNTIFS($A$6:$A$1005,A65,$B$6:$B$1005,B65)&gt;1,"DUPLICADO FECHA-SKU",IF(COUNTIF(CATALOGO!$A$6:$A$105,B65)&lt;&gt;1,"SKU NO VALIDO",IF(OR(A65&lt;DATE(1900,1,1),A65&gt;DATE(2100,12,31),A65&gt;CONFIG!$B$5,C65&lt;0,C65&gt;1000000,D65&lt;0,D65&gt;1000000,E65&lt;0,E65&gt;1000000,E65&gt;D65,ABS(F65)&gt;1000000000,ABS(G65)&gt;1000000000,ROUND(F65,2)&lt;&gt;F65,AND(G65&lt;&gt;"",ROUND(G65,2)&lt;&gt;G65)),"REVISAR VALOR","OK"))))),"REVISAR VALOR")</f>
        <v>OK</v>
      </c>
    </row>
    <row r="66" spans="1:9" x14ac:dyDescent="0.45">
      <c r="A66" s="4">
        <v>46263</v>
      </c>
      <c r="B66" s="8" t="s">
        <v>72</v>
      </c>
      <c r="C66" s="5">
        <v>0</v>
      </c>
      <c r="D66" s="5">
        <v>0</v>
      </c>
      <c r="E66" s="5">
        <v>0</v>
      </c>
      <c r="F66" s="7">
        <v>0</v>
      </c>
      <c r="G66" s="7">
        <v>0</v>
      </c>
      <c r="H66" s="8" t="s">
        <v>106</v>
      </c>
      <c r="I66" s="12" t="str">
        <f>IFERROR(IF(COUNTA(A66:H66)=0,"",IF(OR(A66="",B66="",C66="",D66="",E66="",F66=""),"FALTA CAMPO",IF(COUNTIFS($A$6:$A$1005,A66,$B$6:$B$1005,B66)&gt;1,"DUPLICADO FECHA-SKU",IF(COUNTIF(CATALOGO!$A$6:$A$105,B66)&lt;&gt;1,"SKU NO VALIDO",IF(OR(A66&lt;DATE(1900,1,1),A66&gt;DATE(2100,12,31),A66&gt;CONFIG!$B$5,C66&lt;0,C66&gt;1000000,D66&lt;0,D66&gt;1000000,E66&lt;0,E66&gt;1000000,E66&gt;D66,ABS(F66)&gt;1000000000,ABS(G66)&gt;1000000000,ROUND(F66,2)&lt;&gt;F66,AND(G66&lt;&gt;"",ROUND(G66,2)&lt;&gt;G66)),"REVISAR VALOR","OK"))))),"REVISAR VALOR")</f>
        <v>OK</v>
      </c>
    </row>
    <row r="67" spans="1:9" x14ac:dyDescent="0.45">
      <c r="A67" s="4">
        <v>46264</v>
      </c>
      <c r="B67" s="8" t="s">
        <v>72</v>
      </c>
      <c r="C67" s="5">
        <v>0</v>
      </c>
      <c r="D67" s="5">
        <v>0</v>
      </c>
      <c r="E67" s="5">
        <v>0</v>
      </c>
      <c r="F67" s="7">
        <v>0</v>
      </c>
      <c r="G67" s="7">
        <v>0</v>
      </c>
      <c r="H67" s="8" t="s">
        <v>107</v>
      </c>
      <c r="I67" s="12" t="str">
        <f>IFERROR(IF(COUNTA(A67:H67)=0,"",IF(OR(A67="",B67="",C67="",D67="",E67="",F67=""),"FALTA CAMPO",IF(COUNTIFS($A$6:$A$1005,A67,$B$6:$B$1005,B67)&gt;1,"DUPLICADO FECHA-SKU",IF(COUNTIF(CATALOGO!$A$6:$A$105,B67)&lt;&gt;1,"SKU NO VALIDO",IF(OR(A67&lt;DATE(1900,1,1),A67&gt;DATE(2100,12,31),A67&gt;CONFIG!$B$5,C67&lt;0,C67&gt;1000000,D67&lt;0,D67&gt;1000000,E67&lt;0,E67&gt;1000000,E67&gt;D67,ABS(F67)&gt;1000000000,ABS(G67)&gt;1000000000,ROUND(F67,2)&lt;&gt;F67,AND(G67&lt;&gt;"",ROUND(G67,2)&lt;&gt;G67)),"REVISAR VALOR","OK"))))),"REVISAR VALOR")</f>
        <v>OK</v>
      </c>
    </row>
    <row r="68" spans="1:9" x14ac:dyDescent="0.45">
      <c r="A68" s="4">
        <v>46265</v>
      </c>
      <c r="B68" s="8" t="s">
        <v>72</v>
      </c>
      <c r="C68" s="5">
        <v>0</v>
      </c>
      <c r="D68" s="5">
        <v>0</v>
      </c>
      <c r="E68" s="5">
        <v>0</v>
      </c>
      <c r="F68" s="7">
        <v>0</v>
      </c>
      <c r="G68" s="7">
        <v>0</v>
      </c>
      <c r="H68" s="8" t="s">
        <v>108</v>
      </c>
      <c r="I68" s="12" t="str">
        <f>IFERROR(IF(COUNTA(A68:H68)=0,"",IF(OR(A68="",B68="",C68="",D68="",E68="",F68=""),"FALTA CAMPO",IF(COUNTIFS($A$6:$A$1005,A68,$B$6:$B$1005,B68)&gt;1,"DUPLICADO FECHA-SKU",IF(COUNTIF(CATALOGO!$A$6:$A$105,B68)&lt;&gt;1,"SKU NO VALIDO",IF(OR(A68&lt;DATE(1900,1,1),A68&gt;DATE(2100,12,31),A68&gt;CONFIG!$B$5,C68&lt;0,C68&gt;1000000,D68&lt;0,D68&gt;1000000,E68&lt;0,E68&gt;1000000,E68&gt;D68,ABS(F68)&gt;1000000000,ABS(G68)&gt;1000000000,ROUND(F68,2)&lt;&gt;F68,AND(G68&lt;&gt;"",ROUND(G68,2)&lt;&gt;G68)),"REVISAR VALOR","OK"))))),"REVISAR VALOR")</f>
        <v>OK</v>
      </c>
    </row>
    <row r="69" spans="1:9" x14ac:dyDescent="0.45">
      <c r="A69" s="4">
        <v>46266</v>
      </c>
      <c r="B69" s="8" t="s">
        <v>72</v>
      </c>
      <c r="C69" s="5">
        <v>0</v>
      </c>
      <c r="D69" s="5">
        <v>0</v>
      </c>
      <c r="E69" s="5">
        <v>0</v>
      </c>
      <c r="F69" s="7">
        <v>0</v>
      </c>
      <c r="G69" s="7">
        <v>0</v>
      </c>
      <c r="H69" s="8" t="s">
        <v>109</v>
      </c>
      <c r="I69" s="12" t="str">
        <f>IFERROR(IF(COUNTA(A69:H69)=0,"",IF(OR(A69="",B69="",C69="",D69="",E69="",F69=""),"FALTA CAMPO",IF(COUNTIFS($A$6:$A$1005,A69,$B$6:$B$1005,B69)&gt;1,"DUPLICADO FECHA-SKU",IF(COUNTIF(CATALOGO!$A$6:$A$105,B69)&lt;&gt;1,"SKU NO VALIDO",IF(OR(A69&lt;DATE(1900,1,1),A69&gt;DATE(2100,12,31),A69&gt;CONFIG!$B$5,C69&lt;0,C69&gt;1000000,D69&lt;0,D69&gt;1000000,E69&lt;0,E69&gt;1000000,E69&gt;D69,ABS(F69)&gt;1000000000,ABS(G69)&gt;1000000000,ROUND(F69,2)&lt;&gt;F69,AND(G69&lt;&gt;"",ROUND(G69,2)&lt;&gt;G69)),"REVISAR VALOR","OK"))))),"REVISAR VALOR")</f>
        <v>OK</v>
      </c>
    </row>
    <row r="70" spans="1:9" x14ac:dyDescent="0.45">
      <c r="A70" s="4">
        <v>46267</v>
      </c>
      <c r="B70" s="8" t="s">
        <v>72</v>
      </c>
      <c r="C70" s="5">
        <v>0</v>
      </c>
      <c r="D70" s="5">
        <v>0</v>
      </c>
      <c r="E70" s="5">
        <v>0</v>
      </c>
      <c r="F70" s="7">
        <v>0</v>
      </c>
      <c r="G70" s="7">
        <v>0</v>
      </c>
      <c r="H70" s="8" t="s">
        <v>110</v>
      </c>
      <c r="I70" s="12" t="str">
        <f>IFERROR(IF(COUNTA(A70:H70)=0,"",IF(OR(A70="",B70="",C70="",D70="",E70="",F70=""),"FALTA CAMPO",IF(COUNTIFS($A$6:$A$1005,A70,$B$6:$B$1005,B70)&gt;1,"DUPLICADO FECHA-SKU",IF(COUNTIF(CATALOGO!$A$6:$A$105,B70)&lt;&gt;1,"SKU NO VALIDO",IF(OR(A70&lt;DATE(1900,1,1),A70&gt;DATE(2100,12,31),A70&gt;CONFIG!$B$5,C70&lt;0,C70&gt;1000000,D70&lt;0,D70&gt;1000000,E70&lt;0,E70&gt;1000000,E70&gt;D70,ABS(F70)&gt;1000000000,ABS(G70)&gt;1000000000,ROUND(F70,2)&lt;&gt;F70,AND(G70&lt;&gt;"",ROUND(G70,2)&lt;&gt;G70)),"REVISAR VALOR","OK"))))),"REVISAR VALOR")</f>
        <v>OK</v>
      </c>
    </row>
    <row r="71" spans="1:9" x14ac:dyDescent="0.45">
      <c r="A71" s="4">
        <v>46268</v>
      </c>
      <c r="B71" s="8" t="s">
        <v>72</v>
      </c>
      <c r="C71" s="5">
        <v>0</v>
      </c>
      <c r="D71" s="5">
        <v>0</v>
      </c>
      <c r="E71" s="5">
        <v>0</v>
      </c>
      <c r="F71" s="7">
        <v>0</v>
      </c>
      <c r="G71" s="7">
        <v>0</v>
      </c>
      <c r="H71" s="8" t="s">
        <v>111</v>
      </c>
      <c r="I71" s="12" t="str">
        <f>IFERROR(IF(COUNTA(A71:H71)=0,"",IF(OR(A71="",B71="",C71="",D71="",E71="",F71=""),"FALTA CAMPO",IF(COUNTIFS($A$6:$A$1005,A71,$B$6:$B$1005,B71)&gt;1,"DUPLICADO FECHA-SKU",IF(COUNTIF(CATALOGO!$A$6:$A$105,B71)&lt;&gt;1,"SKU NO VALIDO",IF(OR(A71&lt;DATE(1900,1,1),A71&gt;DATE(2100,12,31),A71&gt;CONFIG!$B$5,C71&lt;0,C71&gt;1000000,D71&lt;0,D71&gt;1000000,E71&lt;0,E71&gt;1000000,E71&gt;D71,ABS(F71)&gt;1000000000,ABS(G71)&gt;1000000000,ROUND(F71,2)&lt;&gt;F71,AND(G71&lt;&gt;"",ROUND(G71,2)&lt;&gt;G71)),"REVISAR VALOR","OK"))))),"REVISAR VALOR")</f>
        <v>OK</v>
      </c>
    </row>
    <row r="72" spans="1:9" x14ac:dyDescent="0.45">
      <c r="A72" s="4">
        <v>46269</v>
      </c>
      <c r="B72" s="8" t="s">
        <v>72</v>
      </c>
      <c r="C72" s="5">
        <v>0</v>
      </c>
      <c r="D72" s="5">
        <v>0</v>
      </c>
      <c r="E72" s="5">
        <v>0</v>
      </c>
      <c r="F72" s="7">
        <v>0</v>
      </c>
      <c r="G72" s="7">
        <v>0</v>
      </c>
      <c r="H72" s="8" t="s">
        <v>112</v>
      </c>
      <c r="I72" s="12" t="str">
        <f>IFERROR(IF(COUNTA(A72:H72)=0,"",IF(OR(A72="",B72="",C72="",D72="",E72="",F72=""),"FALTA CAMPO",IF(COUNTIFS($A$6:$A$1005,A72,$B$6:$B$1005,B72)&gt;1,"DUPLICADO FECHA-SKU",IF(COUNTIF(CATALOGO!$A$6:$A$105,B72)&lt;&gt;1,"SKU NO VALIDO",IF(OR(A72&lt;DATE(1900,1,1),A72&gt;DATE(2100,12,31),A72&gt;CONFIG!$B$5,C72&lt;0,C72&gt;1000000,D72&lt;0,D72&gt;1000000,E72&lt;0,E72&gt;1000000,E72&gt;D72,ABS(F72)&gt;1000000000,ABS(G72)&gt;1000000000,ROUND(F72,2)&lt;&gt;F72,AND(G72&lt;&gt;"",ROUND(G72,2)&lt;&gt;G72)),"REVISAR VALOR","OK"))))),"REVISAR VALOR")</f>
        <v>OK</v>
      </c>
    </row>
    <row r="73" spans="1:9" x14ac:dyDescent="0.45">
      <c r="A73" s="4">
        <v>46270</v>
      </c>
      <c r="B73" s="8" t="s">
        <v>72</v>
      </c>
      <c r="C73" s="5">
        <v>0</v>
      </c>
      <c r="D73" s="5">
        <v>0</v>
      </c>
      <c r="E73" s="5">
        <v>0</v>
      </c>
      <c r="F73" s="7">
        <v>0</v>
      </c>
      <c r="G73" s="7">
        <v>0</v>
      </c>
      <c r="H73" s="8" t="s">
        <v>113</v>
      </c>
      <c r="I73" s="12" t="str">
        <f>IFERROR(IF(COUNTA(A73:H73)=0,"",IF(OR(A73="",B73="",C73="",D73="",E73="",F73=""),"FALTA CAMPO",IF(COUNTIFS($A$6:$A$1005,A73,$B$6:$B$1005,B73)&gt;1,"DUPLICADO FECHA-SKU",IF(COUNTIF(CATALOGO!$A$6:$A$105,B73)&lt;&gt;1,"SKU NO VALIDO",IF(OR(A73&lt;DATE(1900,1,1),A73&gt;DATE(2100,12,31),A73&gt;CONFIG!$B$5,C73&lt;0,C73&gt;1000000,D73&lt;0,D73&gt;1000000,E73&lt;0,E73&gt;1000000,E73&gt;D73,ABS(F73)&gt;1000000000,ABS(G73)&gt;1000000000,ROUND(F73,2)&lt;&gt;F73,AND(G73&lt;&gt;"",ROUND(G73,2)&lt;&gt;G73)),"REVISAR VALOR","OK"))))),"REVISAR VALOR")</f>
        <v>OK</v>
      </c>
    </row>
    <row r="74" spans="1:9" x14ac:dyDescent="0.45">
      <c r="A74" s="4">
        <v>46271</v>
      </c>
      <c r="B74" s="8" t="s">
        <v>72</v>
      </c>
      <c r="C74" s="5">
        <v>0</v>
      </c>
      <c r="D74" s="5">
        <v>0</v>
      </c>
      <c r="E74" s="5">
        <v>0</v>
      </c>
      <c r="F74" s="7">
        <v>0</v>
      </c>
      <c r="G74" s="7">
        <v>0</v>
      </c>
      <c r="H74" s="8" t="s">
        <v>114</v>
      </c>
      <c r="I74" s="12" t="str">
        <f>IFERROR(IF(COUNTA(A74:H74)=0,"",IF(OR(A74="",B74="",C74="",D74="",E74="",F74=""),"FALTA CAMPO",IF(COUNTIFS($A$6:$A$1005,A74,$B$6:$B$1005,B74)&gt;1,"DUPLICADO FECHA-SKU",IF(COUNTIF(CATALOGO!$A$6:$A$105,B74)&lt;&gt;1,"SKU NO VALIDO",IF(OR(A74&lt;DATE(1900,1,1),A74&gt;DATE(2100,12,31),A74&gt;CONFIG!$B$5,C74&lt;0,C74&gt;1000000,D74&lt;0,D74&gt;1000000,E74&lt;0,E74&gt;1000000,E74&gt;D74,ABS(F74)&gt;1000000000,ABS(G74)&gt;1000000000,ROUND(F74,2)&lt;&gt;F74,AND(G74&lt;&gt;"",ROUND(G74,2)&lt;&gt;G74)),"REVISAR VALOR","OK"))))),"REVISAR VALOR")</f>
        <v>OK</v>
      </c>
    </row>
    <row r="75" spans="1:9" x14ac:dyDescent="0.45">
      <c r="A75" s="4">
        <v>46272</v>
      </c>
      <c r="B75" s="8" t="s">
        <v>72</v>
      </c>
      <c r="C75" s="5">
        <v>0</v>
      </c>
      <c r="D75" s="5">
        <v>0</v>
      </c>
      <c r="E75" s="5">
        <v>0</v>
      </c>
      <c r="F75" s="7">
        <v>0</v>
      </c>
      <c r="G75" s="7">
        <v>0</v>
      </c>
      <c r="H75" s="8" t="s">
        <v>115</v>
      </c>
      <c r="I75" s="12" t="str">
        <f>IFERROR(IF(COUNTA(A75:H75)=0,"",IF(OR(A75="",B75="",C75="",D75="",E75="",F75=""),"FALTA CAMPO",IF(COUNTIFS($A$6:$A$1005,A75,$B$6:$B$1005,B75)&gt;1,"DUPLICADO FECHA-SKU",IF(COUNTIF(CATALOGO!$A$6:$A$105,B75)&lt;&gt;1,"SKU NO VALIDO",IF(OR(A75&lt;DATE(1900,1,1),A75&gt;DATE(2100,12,31),A75&gt;CONFIG!$B$5,C75&lt;0,C75&gt;1000000,D75&lt;0,D75&gt;1000000,E75&lt;0,E75&gt;1000000,E75&gt;D75,ABS(F75)&gt;1000000000,ABS(G75)&gt;1000000000,ROUND(F75,2)&lt;&gt;F75,AND(G75&lt;&gt;"",ROUND(G75,2)&lt;&gt;G75)),"REVISAR VALOR","OK"))))),"REVISAR VALOR")</f>
        <v>OK</v>
      </c>
    </row>
    <row r="76" spans="1:9" x14ac:dyDescent="0.45">
      <c r="A76" s="4">
        <v>46273</v>
      </c>
      <c r="B76" s="8" t="s">
        <v>72</v>
      </c>
      <c r="C76" s="5">
        <v>0</v>
      </c>
      <c r="D76" s="5">
        <v>0</v>
      </c>
      <c r="E76" s="5">
        <v>0</v>
      </c>
      <c r="F76" s="7">
        <v>0</v>
      </c>
      <c r="G76" s="7">
        <v>0</v>
      </c>
      <c r="H76" s="8" t="s">
        <v>116</v>
      </c>
      <c r="I76" s="12" t="str">
        <f>IFERROR(IF(COUNTA(A76:H76)=0,"",IF(OR(A76="",B76="",C76="",D76="",E76="",F76=""),"FALTA CAMPO",IF(COUNTIFS($A$6:$A$1005,A76,$B$6:$B$1005,B76)&gt;1,"DUPLICADO FECHA-SKU",IF(COUNTIF(CATALOGO!$A$6:$A$105,B76)&lt;&gt;1,"SKU NO VALIDO",IF(OR(A76&lt;DATE(1900,1,1),A76&gt;DATE(2100,12,31),A76&gt;CONFIG!$B$5,C76&lt;0,C76&gt;1000000,D76&lt;0,D76&gt;1000000,E76&lt;0,E76&gt;1000000,E76&gt;D76,ABS(F76)&gt;1000000000,ABS(G76)&gt;1000000000,ROUND(F76,2)&lt;&gt;F76,AND(G76&lt;&gt;"",ROUND(G76,2)&lt;&gt;G76)),"REVISAR VALOR","OK"))))),"REVISAR VALOR")</f>
        <v>OK</v>
      </c>
    </row>
    <row r="77" spans="1:9" x14ac:dyDescent="0.45">
      <c r="A77" s="4">
        <v>46274</v>
      </c>
      <c r="B77" s="8" t="s">
        <v>72</v>
      </c>
      <c r="C77" s="5">
        <v>0</v>
      </c>
      <c r="D77" s="5">
        <v>0</v>
      </c>
      <c r="E77" s="5">
        <v>0</v>
      </c>
      <c r="F77" s="7">
        <v>0</v>
      </c>
      <c r="G77" s="7">
        <v>0</v>
      </c>
      <c r="H77" s="8" t="s">
        <v>117</v>
      </c>
      <c r="I77" s="12" t="str">
        <f>IFERROR(IF(COUNTA(A77:H77)=0,"",IF(OR(A77="",B77="",C77="",D77="",E77="",F77=""),"FALTA CAMPO",IF(COUNTIFS($A$6:$A$1005,A77,$B$6:$B$1005,B77)&gt;1,"DUPLICADO FECHA-SKU",IF(COUNTIF(CATALOGO!$A$6:$A$105,B77)&lt;&gt;1,"SKU NO VALIDO",IF(OR(A77&lt;DATE(1900,1,1),A77&gt;DATE(2100,12,31),A77&gt;CONFIG!$B$5,C77&lt;0,C77&gt;1000000,D77&lt;0,D77&gt;1000000,E77&lt;0,E77&gt;1000000,E77&gt;D77,ABS(F77)&gt;1000000000,ABS(G77)&gt;1000000000,ROUND(F77,2)&lt;&gt;F77,AND(G77&lt;&gt;"",ROUND(G77,2)&lt;&gt;G77)),"REVISAR VALOR","OK"))))),"REVISAR VALOR")</f>
        <v>OK</v>
      </c>
    </row>
    <row r="78" spans="1:9" x14ac:dyDescent="0.45">
      <c r="A78" s="4">
        <v>46275</v>
      </c>
      <c r="B78" s="8" t="s">
        <v>72</v>
      </c>
      <c r="C78" s="5">
        <v>0</v>
      </c>
      <c r="D78" s="5">
        <v>0</v>
      </c>
      <c r="E78" s="5">
        <v>0</v>
      </c>
      <c r="F78" s="7">
        <v>0</v>
      </c>
      <c r="G78" s="7">
        <v>0</v>
      </c>
      <c r="H78" s="8" t="s">
        <v>118</v>
      </c>
      <c r="I78" s="12" t="str">
        <f>IFERROR(IF(COUNTA(A78:H78)=0,"",IF(OR(A78="",B78="",C78="",D78="",E78="",F78=""),"FALTA CAMPO",IF(COUNTIFS($A$6:$A$1005,A78,$B$6:$B$1005,B78)&gt;1,"DUPLICADO FECHA-SKU",IF(COUNTIF(CATALOGO!$A$6:$A$105,B78)&lt;&gt;1,"SKU NO VALIDO",IF(OR(A78&lt;DATE(1900,1,1),A78&gt;DATE(2100,12,31),A78&gt;CONFIG!$B$5,C78&lt;0,C78&gt;1000000,D78&lt;0,D78&gt;1000000,E78&lt;0,E78&gt;1000000,E78&gt;D78,ABS(F78)&gt;1000000000,ABS(G78)&gt;1000000000,ROUND(F78,2)&lt;&gt;F78,AND(G78&lt;&gt;"",ROUND(G78,2)&lt;&gt;G78)),"REVISAR VALOR","OK"))))),"REVISAR VALOR")</f>
        <v>OK</v>
      </c>
    </row>
    <row r="79" spans="1:9" x14ac:dyDescent="0.45">
      <c r="A79" s="4">
        <v>46276</v>
      </c>
      <c r="B79" s="8" t="s">
        <v>72</v>
      </c>
      <c r="C79" s="5">
        <v>0</v>
      </c>
      <c r="D79" s="5">
        <v>0</v>
      </c>
      <c r="E79" s="5">
        <v>0</v>
      </c>
      <c r="F79" s="7">
        <v>0</v>
      </c>
      <c r="G79" s="7">
        <v>0</v>
      </c>
      <c r="H79" s="8" t="s">
        <v>119</v>
      </c>
      <c r="I79" s="12" t="str">
        <f>IFERROR(IF(COUNTA(A79:H79)=0,"",IF(OR(A79="",B79="",C79="",D79="",E79="",F79=""),"FALTA CAMPO",IF(COUNTIFS($A$6:$A$1005,A79,$B$6:$B$1005,B79)&gt;1,"DUPLICADO FECHA-SKU",IF(COUNTIF(CATALOGO!$A$6:$A$105,B79)&lt;&gt;1,"SKU NO VALIDO",IF(OR(A79&lt;DATE(1900,1,1),A79&gt;DATE(2100,12,31),A79&gt;CONFIG!$B$5,C79&lt;0,C79&gt;1000000,D79&lt;0,D79&gt;1000000,E79&lt;0,E79&gt;1000000,E79&gt;D79,ABS(F79)&gt;1000000000,ABS(G79)&gt;1000000000,ROUND(F79,2)&lt;&gt;F79,AND(G79&lt;&gt;"",ROUND(G79,2)&lt;&gt;G79)),"REVISAR VALOR","OK"))))),"REVISAR VALOR")</f>
        <v>OK</v>
      </c>
    </row>
    <row r="80" spans="1:9" x14ac:dyDescent="0.45">
      <c r="A80" s="4">
        <v>46277</v>
      </c>
      <c r="B80" s="8" t="s">
        <v>72</v>
      </c>
      <c r="C80" s="5">
        <v>0</v>
      </c>
      <c r="D80" s="5">
        <v>0</v>
      </c>
      <c r="E80" s="5">
        <v>0</v>
      </c>
      <c r="F80" s="7">
        <v>0</v>
      </c>
      <c r="G80" s="7">
        <v>0</v>
      </c>
      <c r="H80" s="8" t="s">
        <v>120</v>
      </c>
      <c r="I80" s="12" t="str">
        <f>IFERROR(IF(COUNTA(A80:H80)=0,"",IF(OR(A80="",B80="",C80="",D80="",E80="",F80=""),"FALTA CAMPO",IF(COUNTIFS($A$6:$A$1005,A80,$B$6:$B$1005,B80)&gt;1,"DUPLICADO FECHA-SKU",IF(COUNTIF(CATALOGO!$A$6:$A$105,B80)&lt;&gt;1,"SKU NO VALIDO",IF(OR(A80&lt;DATE(1900,1,1),A80&gt;DATE(2100,12,31),A80&gt;CONFIG!$B$5,C80&lt;0,C80&gt;1000000,D80&lt;0,D80&gt;1000000,E80&lt;0,E80&gt;1000000,E80&gt;D80,ABS(F80)&gt;1000000000,ABS(G80)&gt;1000000000,ROUND(F80,2)&lt;&gt;F80,AND(G80&lt;&gt;"",ROUND(G80,2)&lt;&gt;G80)),"REVISAR VALOR","OK"))))),"REVISAR VALOR")</f>
        <v>OK</v>
      </c>
    </row>
    <row r="81" spans="1:9" x14ac:dyDescent="0.45">
      <c r="A81" s="4">
        <v>46278</v>
      </c>
      <c r="B81" s="8" t="s">
        <v>72</v>
      </c>
      <c r="C81" s="5">
        <v>0</v>
      </c>
      <c r="D81" s="5">
        <v>0</v>
      </c>
      <c r="E81" s="5">
        <v>0</v>
      </c>
      <c r="F81" s="7">
        <v>0</v>
      </c>
      <c r="G81" s="7">
        <v>0</v>
      </c>
      <c r="H81" s="8" t="s">
        <v>121</v>
      </c>
      <c r="I81" s="12" t="str">
        <f>IFERROR(IF(COUNTA(A81:H81)=0,"",IF(OR(A81="",B81="",C81="",D81="",E81="",F81=""),"FALTA CAMPO",IF(COUNTIFS($A$6:$A$1005,A81,$B$6:$B$1005,B81)&gt;1,"DUPLICADO FECHA-SKU",IF(COUNTIF(CATALOGO!$A$6:$A$105,B81)&lt;&gt;1,"SKU NO VALIDO",IF(OR(A81&lt;DATE(1900,1,1),A81&gt;DATE(2100,12,31),A81&gt;CONFIG!$B$5,C81&lt;0,C81&gt;1000000,D81&lt;0,D81&gt;1000000,E81&lt;0,E81&gt;1000000,E81&gt;D81,ABS(F81)&gt;1000000000,ABS(G81)&gt;1000000000,ROUND(F81,2)&lt;&gt;F81,AND(G81&lt;&gt;"",ROUND(G81,2)&lt;&gt;G81)),"REVISAR VALOR","OK"))))),"REVISAR VALOR")</f>
        <v>OK</v>
      </c>
    </row>
    <row r="82" spans="1:9" x14ac:dyDescent="0.45">
      <c r="A82" s="4">
        <v>46279</v>
      </c>
      <c r="B82" s="8" t="s">
        <v>72</v>
      </c>
      <c r="C82" s="5">
        <v>0</v>
      </c>
      <c r="D82" s="5">
        <v>0</v>
      </c>
      <c r="E82" s="5">
        <v>0</v>
      </c>
      <c r="F82" s="7">
        <v>0</v>
      </c>
      <c r="G82" s="7">
        <v>0</v>
      </c>
      <c r="H82" s="8" t="s">
        <v>122</v>
      </c>
      <c r="I82" s="12" t="str">
        <f>IFERROR(IF(COUNTA(A82:H82)=0,"",IF(OR(A82="",B82="",C82="",D82="",E82="",F82=""),"FALTA CAMPO",IF(COUNTIFS($A$6:$A$1005,A82,$B$6:$B$1005,B82)&gt;1,"DUPLICADO FECHA-SKU",IF(COUNTIF(CATALOGO!$A$6:$A$105,B82)&lt;&gt;1,"SKU NO VALIDO",IF(OR(A82&lt;DATE(1900,1,1),A82&gt;DATE(2100,12,31),A82&gt;CONFIG!$B$5,C82&lt;0,C82&gt;1000000,D82&lt;0,D82&gt;1000000,E82&lt;0,E82&gt;1000000,E82&gt;D82,ABS(F82)&gt;1000000000,ABS(G82)&gt;1000000000,ROUND(F82,2)&lt;&gt;F82,AND(G82&lt;&gt;"",ROUND(G82,2)&lt;&gt;G82)),"REVISAR VALOR","OK"))))),"REVISAR VALOR")</f>
        <v>OK</v>
      </c>
    </row>
    <row r="83" spans="1:9" x14ac:dyDescent="0.45">
      <c r="A83" s="4">
        <v>46280</v>
      </c>
      <c r="B83" s="8" t="s">
        <v>72</v>
      </c>
      <c r="C83" s="5">
        <v>0</v>
      </c>
      <c r="D83" s="5">
        <v>0</v>
      </c>
      <c r="E83" s="5">
        <v>0</v>
      </c>
      <c r="F83" s="7">
        <v>0</v>
      </c>
      <c r="G83" s="7">
        <v>0</v>
      </c>
      <c r="H83" s="8" t="s">
        <v>123</v>
      </c>
      <c r="I83" s="12" t="str">
        <f>IFERROR(IF(COUNTA(A83:H83)=0,"",IF(OR(A83="",B83="",C83="",D83="",E83="",F83=""),"FALTA CAMPO",IF(COUNTIFS($A$6:$A$1005,A83,$B$6:$B$1005,B83)&gt;1,"DUPLICADO FECHA-SKU",IF(COUNTIF(CATALOGO!$A$6:$A$105,B83)&lt;&gt;1,"SKU NO VALIDO",IF(OR(A83&lt;DATE(1900,1,1),A83&gt;DATE(2100,12,31),A83&gt;CONFIG!$B$5,C83&lt;0,C83&gt;1000000,D83&lt;0,D83&gt;1000000,E83&lt;0,E83&gt;1000000,E83&gt;D83,ABS(F83)&gt;1000000000,ABS(G83)&gt;1000000000,ROUND(F83,2)&lt;&gt;F83,AND(G83&lt;&gt;"",ROUND(G83,2)&lt;&gt;G83)),"REVISAR VALOR","OK"))))),"REVISAR VALOR")</f>
        <v>OK</v>
      </c>
    </row>
    <row r="84" spans="1:9" x14ac:dyDescent="0.45">
      <c r="A84" s="4">
        <v>46281</v>
      </c>
      <c r="B84" s="8" t="s">
        <v>72</v>
      </c>
      <c r="C84" s="5">
        <v>0</v>
      </c>
      <c r="D84" s="5">
        <v>0</v>
      </c>
      <c r="E84" s="5">
        <v>0</v>
      </c>
      <c r="F84" s="7">
        <v>0</v>
      </c>
      <c r="G84" s="7">
        <v>0</v>
      </c>
      <c r="H84" s="8" t="s">
        <v>124</v>
      </c>
      <c r="I84" s="12" t="str">
        <f>IFERROR(IF(COUNTA(A84:H84)=0,"",IF(OR(A84="",B84="",C84="",D84="",E84="",F84=""),"FALTA CAMPO",IF(COUNTIFS($A$6:$A$1005,A84,$B$6:$B$1005,B84)&gt;1,"DUPLICADO FECHA-SKU",IF(COUNTIF(CATALOGO!$A$6:$A$105,B84)&lt;&gt;1,"SKU NO VALIDO",IF(OR(A84&lt;DATE(1900,1,1),A84&gt;DATE(2100,12,31),A84&gt;CONFIG!$B$5,C84&lt;0,C84&gt;1000000,D84&lt;0,D84&gt;1000000,E84&lt;0,E84&gt;1000000,E84&gt;D84,ABS(F84)&gt;1000000000,ABS(G84)&gt;1000000000,ROUND(F84,2)&lt;&gt;F84,AND(G84&lt;&gt;"",ROUND(G84,2)&lt;&gt;G84)),"REVISAR VALOR","OK"))))),"REVISAR VALOR")</f>
        <v>OK</v>
      </c>
    </row>
    <row r="85" spans="1:9" x14ac:dyDescent="0.45">
      <c r="A85" s="4">
        <v>46282</v>
      </c>
      <c r="B85" s="8" t="s">
        <v>72</v>
      </c>
      <c r="C85" s="5">
        <v>0</v>
      </c>
      <c r="D85" s="5">
        <v>0</v>
      </c>
      <c r="E85" s="5">
        <v>0</v>
      </c>
      <c r="F85" s="7">
        <v>0</v>
      </c>
      <c r="G85" s="7">
        <v>0</v>
      </c>
      <c r="H85" s="8" t="s">
        <v>125</v>
      </c>
      <c r="I85" s="12" t="str">
        <f>IFERROR(IF(COUNTA(A85:H85)=0,"",IF(OR(A85="",B85="",C85="",D85="",E85="",F85=""),"FALTA CAMPO",IF(COUNTIFS($A$6:$A$1005,A85,$B$6:$B$1005,B85)&gt;1,"DUPLICADO FECHA-SKU",IF(COUNTIF(CATALOGO!$A$6:$A$105,B85)&lt;&gt;1,"SKU NO VALIDO",IF(OR(A85&lt;DATE(1900,1,1),A85&gt;DATE(2100,12,31),A85&gt;CONFIG!$B$5,C85&lt;0,C85&gt;1000000,D85&lt;0,D85&gt;1000000,E85&lt;0,E85&gt;1000000,E85&gt;D85,ABS(F85)&gt;1000000000,ABS(G85)&gt;1000000000,ROUND(F85,2)&lt;&gt;F85,AND(G85&lt;&gt;"",ROUND(G85,2)&lt;&gt;G85)),"REVISAR VALOR","OK"))))),"REVISAR VALOR")</f>
        <v>OK</v>
      </c>
    </row>
    <row r="86" spans="1:9" x14ac:dyDescent="0.45">
      <c r="A86" s="4">
        <v>46283</v>
      </c>
      <c r="B86" s="8" t="s">
        <v>72</v>
      </c>
      <c r="C86" s="5">
        <v>0</v>
      </c>
      <c r="D86" s="5">
        <v>0</v>
      </c>
      <c r="E86" s="5">
        <v>0</v>
      </c>
      <c r="F86" s="7">
        <v>0</v>
      </c>
      <c r="G86" s="7">
        <v>0</v>
      </c>
      <c r="H86" s="8" t="s">
        <v>126</v>
      </c>
      <c r="I86" s="12" t="str">
        <f>IFERROR(IF(COUNTA(A86:H86)=0,"",IF(OR(A86="",B86="",C86="",D86="",E86="",F86=""),"FALTA CAMPO",IF(COUNTIFS($A$6:$A$1005,A86,$B$6:$B$1005,B86)&gt;1,"DUPLICADO FECHA-SKU",IF(COUNTIF(CATALOGO!$A$6:$A$105,B86)&lt;&gt;1,"SKU NO VALIDO",IF(OR(A86&lt;DATE(1900,1,1),A86&gt;DATE(2100,12,31),A86&gt;CONFIG!$B$5,C86&lt;0,C86&gt;1000000,D86&lt;0,D86&gt;1000000,E86&lt;0,E86&gt;1000000,E86&gt;D86,ABS(F86)&gt;1000000000,ABS(G86)&gt;1000000000,ROUND(F86,2)&lt;&gt;F86,AND(G86&lt;&gt;"",ROUND(G86,2)&lt;&gt;G86)),"REVISAR VALOR","OK"))))),"REVISAR VALOR")</f>
        <v>OK</v>
      </c>
    </row>
    <row r="87" spans="1:9" x14ac:dyDescent="0.45">
      <c r="A87" s="4">
        <v>46284</v>
      </c>
      <c r="B87" s="8" t="s">
        <v>72</v>
      </c>
      <c r="C87" s="5">
        <v>0</v>
      </c>
      <c r="D87" s="5">
        <v>0</v>
      </c>
      <c r="E87" s="5">
        <v>0</v>
      </c>
      <c r="F87" s="7">
        <v>0</v>
      </c>
      <c r="G87" s="7">
        <v>0</v>
      </c>
      <c r="H87" s="8" t="s">
        <v>127</v>
      </c>
      <c r="I87" s="12" t="str">
        <f>IFERROR(IF(COUNTA(A87:H87)=0,"",IF(OR(A87="",B87="",C87="",D87="",E87="",F87=""),"FALTA CAMPO",IF(COUNTIFS($A$6:$A$1005,A87,$B$6:$B$1005,B87)&gt;1,"DUPLICADO FECHA-SKU",IF(COUNTIF(CATALOGO!$A$6:$A$105,B87)&lt;&gt;1,"SKU NO VALIDO",IF(OR(A87&lt;DATE(1900,1,1),A87&gt;DATE(2100,12,31),A87&gt;CONFIG!$B$5,C87&lt;0,C87&gt;1000000,D87&lt;0,D87&gt;1000000,E87&lt;0,E87&gt;1000000,E87&gt;D87,ABS(F87)&gt;1000000000,ABS(G87)&gt;1000000000,ROUND(F87,2)&lt;&gt;F87,AND(G87&lt;&gt;"",ROUND(G87,2)&lt;&gt;G87)),"REVISAR VALOR","OK"))))),"REVISAR VALOR")</f>
        <v>OK</v>
      </c>
    </row>
    <row r="88" spans="1:9" x14ac:dyDescent="0.45">
      <c r="A88" s="4">
        <v>46285</v>
      </c>
      <c r="B88" s="8" t="s">
        <v>72</v>
      </c>
      <c r="C88" s="5">
        <v>0</v>
      </c>
      <c r="D88" s="5">
        <v>0</v>
      </c>
      <c r="E88" s="5">
        <v>0</v>
      </c>
      <c r="F88" s="7">
        <v>0</v>
      </c>
      <c r="G88" s="7">
        <v>0</v>
      </c>
      <c r="H88" s="8" t="s">
        <v>128</v>
      </c>
      <c r="I88" s="12" t="str">
        <f>IFERROR(IF(COUNTA(A88:H88)=0,"",IF(OR(A88="",B88="",C88="",D88="",E88="",F88=""),"FALTA CAMPO",IF(COUNTIFS($A$6:$A$1005,A88,$B$6:$B$1005,B88)&gt;1,"DUPLICADO FECHA-SKU",IF(COUNTIF(CATALOGO!$A$6:$A$105,B88)&lt;&gt;1,"SKU NO VALIDO",IF(OR(A88&lt;DATE(1900,1,1),A88&gt;DATE(2100,12,31),A88&gt;CONFIG!$B$5,C88&lt;0,C88&gt;1000000,D88&lt;0,D88&gt;1000000,E88&lt;0,E88&gt;1000000,E88&gt;D88,ABS(F88)&gt;1000000000,ABS(G88)&gt;1000000000,ROUND(F88,2)&lt;&gt;F88,AND(G88&lt;&gt;"",ROUND(G88,2)&lt;&gt;G88)),"REVISAR VALOR","OK"))))),"REVISAR VALOR")</f>
        <v>OK</v>
      </c>
    </row>
    <row r="89" spans="1:9" x14ac:dyDescent="0.45">
      <c r="A89" s="4">
        <v>46286</v>
      </c>
      <c r="B89" s="8" t="s">
        <v>72</v>
      </c>
      <c r="C89" s="5">
        <v>0</v>
      </c>
      <c r="D89" s="5">
        <v>0</v>
      </c>
      <c r="E89" s="5">
        <v>0</v>
      </c>
      <c r="F89" s="7">
        <v>0</v>
      </c>
      <c r="G89" s="7">
        <v>0</v>
      </c>
      <c r="H89" s="8" t="s">
        <v>129</v>
      </c>
      <c r="I89" s="12" t="str">
        <f>IFERROR(IF(COUNTA(A89:H89)=0,"",IF(OR(A89="",B89="",C89="",D89="",E89="",F89=""),"FALTA CAMPO",IF(COUNTIFS($A$6:$A$1005,A89,$B$6:$B$1005,B89)&gt;1,"DUPLICADO FECHA-SKU",IF(COUNTIF(CATALOGO!$A$6:$A$105,B89)&lt;&gt;1,"SKU NO VALIDO",IF(OR(A89&lt;DATE(1900,1,1),A89&gt;DATE(2100,12,31),A89&gt;CONFIG!$B$5,C89&lt;0,C89&gt;1000000,D89&lt;0,D89&gt;1000000,E89&lt;0,E89&gt;1000000,E89&gt;D89,ABS(F89)&gt;1000000000,ABS(G89)&gt;1000000000,ROUND(F89,2)&lt;&gt;F89,AND(G89&lt;&gt;"",ROUND(G89,2)&lt;&gt;G89)),"REVISAR VALOR","OK"))))),"REVISAR VALOR")</f>
        <v>OK</v>
      </c>
    </row>
    <row r="90" spans="1:9" x14ac:dyDescent="0.45">
      <c r="A90" s="4">
        <v>46259</v>
      </c>
      <c r="B90" s="8" t="s">
        <v>75</v>
      </c>
      <c r="C90" s="5">
        <v>2</v>
      </c>
      <c r="D90" s="5">
        <v>1</v>
      </c>
      <c r="E90" s="5">
        <v>1</v>
      </c>
      <c r="F90" s="7">
        <v>299</v>
      </c>
      <c r="G90" s="7"/>
      <c r="H90" s="8" t="s">
        <v>102</v>
      </c>
      <c r="I90" s="12" t="str">
        <f>IFERROR(IF(COUNTA(A90:H90)=0,"",IF(OR(A90="",B90="",C90="",D90="",E90="",F90=""),"FALTA CAMPO",IF(COUNTIFS($A$6:$A$1005,A90,$B$6:$B$1005,B90)&gt;1,"DUPLICADO FECHA-SKU",IF(COUNTIF(CATALOGO!$A$6:$A$105,B90)&lt;&gt;1,"SKU NO VALIDO",IF(OR(A90&lt;DATE(1900,1,1),A90&gt;DATE(2100,12,31),A90&gt;CONFIG!$B$5,C90&lt;0,C90&gt;1000000,D90&lt;0,D90&gt;1000000,E90&lt;0,E90&gt;1000000,E90&gt;D90,ABS(F90)&gt;1000000000,ABS(G90)&gt;1000000000,ROUND(F90,2)&lt;&gt;F90,AND(G90&lt;&gt;"",ROUND(G90,2)&lt;&gt;G90)),"REVISAR VALOR","OK"))))),"REVISAR VALOR")</f>
        <v>OK</v>
      </c>
    </row>
    <row r="91" spans="1:9" x14ac:dyDescent="0.45">
      <c r="A91" s="4">
        <v>46260</v>
      </c>
      <c r="B91" s="8" t="s">
        <v>75</v>
      </c>
      <c r="C91" s="5">
        <v>2</v>
      </c>
      <c r="D91" s="5">
        <v>1</v>
      </c>
      <c r="E91" s="5">
        <v>0</v>
      </c>
      <c r="F91" s="7">
        <v>299</v>
      </c>
      <c r="G91" s="7"/>
      <c r="H91" s="8" t="s">
        <v>103</v>
      </c>
      <c r="I91" s="12" t="str">
        <f>IFERROR(IF(COUNTA(A91:H91)=0,"",IF(OR(A91="",B91="",C91="",D91="",E91="",F91=""),"FALTA CAMPO",IF(COUNTIFS($A$6:$A$1005,A91,$B$6:$B$1005,B91)&gt;1,"DUPLICADO FECHA-SKU",IF(COUNTIF(CATALOGO!$A$6:$A$105,B91)&lt;&gt;1,"SKU NO VALIDO",IF(OR(A91&lt;DATE(1900,1,1),A91&gt;DATE(2100,12,31),A91&gt;CONFIG!$B$5,C91&lt;0,C91&gt;1000000,D91&lt;0,D91&gt;1000000,E91&lt;0,E91&gt;1000000,E91&gt;D91,ABS(F91)&gt;1000000000,ABS(G91)&gt;1000000000,ROUND(F91,2)&lt;&gt;F91,AND(G91&lt;&gt;"",ROUND(G91,2)&lt;&gt;G91)),"REVISAR VALOR","OK"))))),"REVISAR VALOR")</f>
        <v>OK</v>
      </c>
    </row>
    <row r="92" spans="1:9" x14ac:dyDescent="0.45">
      <c r="A92" s="4">
        <v>46261</v>
      </c>
      <c r="B92" s="8" t="s">
        <v>75</v>
      </c>
      <c r="C92" s="5">
        <v>2</v>
      </c>
      <c r="D92" s="5">
        <v>0</v>
      </c>
      <c r="E92" s="5">
        <v>0</v>
      </c>
      <c r="F92" s="7">
        <v>598</v>
      </c>
      <c r="G92" s="7"/>
      <c r="H92" s="8" t="s">
        <v>104</v>
      </c>
      <c r="I92" s="12" t="str">
        <f>IFERROR(IF(COUNTA(A92:H92)=0,"",IF(OR(A92="",B92="",C92="",D92="",E92="",F92=""),"FALTA CAMPO",IF(COUNTIFS($A$6:$A$1005,A92,$B$6:$B$1005,B92)&gt;1,"DUPLICADO FECHA-SKU",IF(COUNTIF(CATALOGO!$A$6:$A$105,B92)&lt;&gt;1,"SKU NO VALIDO",IF(OR(A92&lt;DATE(1900,1,1),A92&gt;DATE(2100,12,31),A92&gt;CONFIG!$B$5,C92&lt;0,C92&gt;1000000,D92&lt;0,D92&gt;1000000,E92&lt;0,E92&gt;1000000,E92&gt;D92,ABS(F92)&gt;1000000000,ABS(G92)&gt;1000000000,ROUND(F92,2)&lt;&gt;F92,AND(G92&lt;&gt;"",ROUND(G92,2)&lt;&gt;G92)),"REVISAR VALOR","OK"))))),"REVISAR VALOR")</f>
        <v>OK</v>
      </c>
    </row>
    <row r="93" spans="1:9" x14ac:dyDescent="0.45">
      <c r="A93" s="4">
        <v>46262</v>
      </c>
      <c r="B93" s="8" t="s">
        <v>75</v>
      </c>
      <c r="C93" s="5">
        <v>2</v>
      </c>
      <c r="D93" s="5">
        <v>0</v>
      </c>
      <c r="E93" s="5">
        <v>0</v>
      </c>
      <c r="F93" s="7">
        <v>598</v>
      </c>
      <c r="G93" s="7"/>
      <c r="H93" s="8" t="s">
        <v>105</v>
      </c>
      <c r="I93" s="12" t="str">
        <f>IFERROR(IF(COUNTA(A93:H93)=0,"",IF(OR(A93="",B93="",C93="",D93="",E93="",F93=""),"FALTA CAMPO",IF(COUNTIFS($A$6:$A$1005,A93,$B$6:$B$1005,B93)&gt;1,"DUPLICADO FECHA-SKU",IF(COUNTIF(CATALOGO!$A$6:$A$105,B93)&lt;&gt;1,"SKU NO VALIDO",IF(OR(A93&lt;DATE(1900,1,1),A93&gt;DATE(2100,12,31),A93&gt;CONFIG!$B$5,C93&lt;0,C93&gt;1000000,D93&lt;0,D93&gt;1000000,E93&lt;0,E93&gt;1000000,E93&gt;D93,ABS(F93)&gt;1000000000,ABS(G93)&gt;1000000000,ROUND(F93,2)&lt;&gt;F93,AND(G93&lt;&gt;"",ROUND(G93,2)&lt;&gt;G93)),"REVISAR VALOR","OK"))))),"REVISAR VALOR")</f>
        <v>OK</v>
      </c>
    </row>
    <row r="94" spans="1:9" x14ac:dyDescent="0.45">
      <c r="A94" s="4">
        <v>46263</v>
      </c>
      <c r="B94" s="8" t="s">
        <v>75</v>
      </c>
      <c r="C94" s="5">
        <v>2</v>
      </c>
      <c r="D94" s="5">
        <v>0</v>
      </c>
      <c r="E94" s="5">
        <v>0</v>
      </c>
      <c r="F94" s="7">
        <v>598</v>
      </c>
      <c r="G94" s="7"/>
      <c r="H94" s="8" t="s">
        <v>106</v>
      </c>
      <c r="I94" s="12" t="str">
        <f>IFERROR(IF(COUNTA(A94:H94)=0,"",IF(OR(A94="",B94="",C94="",D94="",E94="",F94=""),"FALTA CAMPO",IF(COUNTIFS($A$6:$A$1005,A94,$B$6:$B$1005,B94)&gt;1,"DUPLICADO FECHA-SKU",IF(COUNTIF(CATALOGO!$A$6:$A$105,B94)&lt;&gt;1,"SKU NO VALIDO",IF(OR(A94&lt;DATE(1900,1,1),A94&gt;DATE(2100,12,31),A94&gt;CONFIG!$B$5,C94&lt;0,C94&gt;1000000,D94&lt;0,D94&gt;1000000,E94&lt;0,E94&gt;1000000,E94&gt;D94,ABS(F94)&gt;1000000000,ABS(G94)&gt;1000000000,ROUND(F94,2)&lt;&gt;F94,AND(G94&lt;&gt;"",ROUND(G94,2)&lt;&gt;G94)),"REVISAR VALOR","OK"))))),"REVISAR VALOR")</f>
        <v>OK</v>
      </c>
    </row>
    <row r="95" spans="1:9" x14ac:dyDescent="0.45">
      <c r="A95" s="4">
        <v>46264</v>
      </c>
      <c r="B95" s="8" t="s">
        <v>75</v>
      </c>
      <c r="C95" s="5">
        <v>2</v>
      </c>
      <c r="D95" s="5">
        <v>0</v>
      </c>
      <c r="E95" s="5">
        <v>0</v>
      </c>
      <c r="F95" s="7">
        <v>598</v>
      </c>
      <c r="G95" s="7"/>
      <c r="H95" s="8" t="s">
        <v>107</v>
      </c>
      <c r="I95" s="12" t="str">
        <f>IFERROR(IF(COUNTA(A95:H95)=0,"",IF(OR(A95="",B95="",C95="",D95="",E95="",F95=""),"FALTA CAMPO",IF(COUNTIFS($A$6:$A$1005,A95,$B$6:$B$1005,B95)&gt;1,"DUPLICADO FECHA-SKU",IF(COUNTIF(CATALOGO!$A$6:$A$105,B95)&lt;&gt;1,"SKU NO VALIDO",IF(OR(A95&lt;DATE(1900,1,1),A95&gt;DATE(2100,12,31),A95&gt;CONFIG!$B$5,C95&lt;0,C95&gt;1000000,D95&lt;0,D95&gt;1000000,E95&lt;0,E95&gt;1000000,E95&gt;D95,ABS(F95)&gt;1000000000,ABS(G95)&gt;1000000000,ROUND(F95,2)&lt;&gt;F95,AND(G95&lt;&gt;"",ROUND(G95,2)&lt;&gt;G95)),"REVISAR VALOR","OK"))))),"REVISAR VALOR")</f>
        <v>OK</v>
      </c>
    </row>
    <row r="96" spans="1:9" x14ac:dyDescent="0.45">
      <c r="A96" s="4">
        <v>46265</v>
      </c>
      <c r="B96" s="8" t="s">
        <v>75</v>
      </c>
      <c r="C96" s="5">
        <v>2</v>
      </c>
      <c r="D96" s="5">
        <v>0</v>
      </c>
      <c r="E96" s="5">
        <v>0</v>
      </c>
      <c r="F96" s="7">
        <v>598</v>
      </c>
      <c r="G96" s="7"/>
      <c r="H96" s="8" t="s">
        <v>108</v>
      </c>
      <c r="I96" s="12" t="str">
        <f>IFERROR(IF(COUNTA(A96:H96)=0,"",IF(OR(A96="",B96="",C96="",D96="",E96="",F96=""),"FALTA CAMPO",IF(COUNTIFS($A$6:$A$1005,A96,$B$6:$B$1005,B96)&gt;1,"DUPLICADO FECHA-SKU",IF(COUNTIF(CATALOGO!$A$6:$A$105,B96)&lt;&gt;1,"SKU NO VALIDO",IF(OR(A96&lt;DATE(1900,1,1),A96&gt;DATE(2100,12,31),A96&gt;CONFIG!$B$5,C96&lt;0,C96&gt;1000000,D96&lt;0,D96&gt;1000000,E96&lt;0,E96&gt;1000000,E96&gt;D96,ABS(F96)&gt;1000000000,ABS(G96)&gt;1000000000,ROUND(F96,2)&lt;&gt;F96,AND(G96&lt;&gt;"",ROUND(G96,2)&lt;&gt;G96)),"REVISAR VALOR","OK"))))),"REVISAR VALOR")</f>
        <v>OK</v>
      </c>
    </row>
    <row r="97" spans="1:9" x14ac:dyDescent="0.45">
      <c r="A97" s="4">
        <v>46266</v>
      </c>
      <c r="B97" s="8" t="s">
        <v>75</v>
      </c>
      <c r="C97" s="5">
        <v>1</v>
      </c>
      <c r="D97" s="5">
        <v>0</v>
      </c>
      <c r="E97" s="5">
        <v>0</v>
      </c>
      <c r="F97" s="7">
        <v>299</v>
      </c>
      <c r="G97" s="7"/>
      <c r="H97" s="8" t="s">
        <v>109</v>
      </c>
      <c r="I97" s="12" t="str">
        <f>IFERROR(IF(COUNTA(A97:H97)=0,"",IF(OR(A97="",B97="",C97="",D97="",E97="",F97=""),"FALTA CAMPO",IF(COUNTIFS($A$6:$A$1005,A97,$B$6:$B$1005,B97)&gt;1,"DUPLICADO FECHA-SKU",IF(COUNTIF(CATALOGO!$A$6:$A$105,B97)&lt;&gt;1,"SKU NO VALIDO",IF(OR(A97&lt;DATE(1900,1,1),A97&gt;DATE(2100,12,31),A97&gt;CONFIG!$B$5,C97&lt;0,C97&gt;1000000,D97&lt;0,D97&gt;1000000,E97&lt;0,E97&gt;1000000,E97&gt;D97,ABS(F97)&gt;1000000000,ABS(G97)&gt;1000000000,ROUND(F97,2)&lt;&gt;F97,AND(G97&lt;&gt;"",ROUND(G97,2)&lt;&gt;G97)),"REVISAR VALOR","OK"))))),"REVISAR VALOR")</f>
        <v>OK</v>
      </c>
    </row>
    <row r="98" spans="1:9" x14ac:dyDescent="0.45">
      <c r="A98" s="4">
        <v>46267</v>
      </c>
      <c r="B98" s="8" t="s">
        <v>75</v>
      </c>
      <c r="C98" s="5">
        <v>1</v>
      </c>
      <c r="D98" s="5">
        <v>0</v>
      </c>
      <c r="E98" s="5">
        <v>0</v>
      </c>
      <c r="F98" s="7">
        <v>299</v>
      </c>
      <c r="G98" s="7"/>
      <c r="H98" s="8" t="s">
        <v>110</v>
      </c>
      <c r="I98" s="12" t="str">
        <f>IFERROR(IF(COUNTA(A98:H98)=0,"",IF(OR(A98="",B98="",C98="",D98="",E98="",F98=""),"FALTA CAMPO",IF(COUNTIFS($A$6:$A$1005,A98,$B$6:$B$1005,B98)&gt;1,"DUPLICADO FECHA-SKU",IF(COUNTIF(CATALOGO!$A$6:$A$105,B98)&lt;&gt;1,"SKU NO VALIDO",IF(OR(A98&lt;DATE(1900,1,1),A98&gt;DATE(2100,12,31),A98&gt;CONFIG!$B$5,C98&lt;0,C98&gt;1000000,D98&lt;0,D98&gt;1000000,E98&lt;0,E98&gt;1000000,E98&gt;D98,ABS(F98)&gt;1000000000,ABS(G98)&gt;1000000000,ROUND(F98,2)&lt;&gt;F98,AND(G98&lt;&gt;"",ROUND(G98,2)&lt;&gt;G98)),"REVISAR VALOR","OK"))))),"REVISAR VALOR")</f>
        <v>OK</v>
      </c>
    </row>
    <row r="99" spans="1:9" x14ac:dyDescent="0.45">
      <c r="A99" s="4">
        <v>46268</v>
      </c>
      <c r="B99" s="8" t="s">
        <v>75</v>
      </c>
      <c r="C99" s="5">
        <v>1</v>
      </c>
      <c r="D99" s="5">
        <v>0</v>
      </c>
      <c r="E99" s="5">
        <v>0</v>
      </c>
      <c r="F99" s="7">
        <v>299</v>
      </c>
      <c r="G99" s="7"/>
      <c r="H99" s="8" t="s">
        <v>111</v>
      </c>
      <c r="I99" s="12" t="str">
        <f>IFERROR(IF(COUNTA(A99:H99)=0,"",IF(OR(A99="",B99="",C99="",D99="",E99="",F99=""),"FALTA CAMPO",IF(COUNTIFS($A$6:$A$1005,A99,$B$6:$B$1005,B99)&gt;1,"DUPLICADO FECHA-SKU",IF(COUNTIF(CATALOGO!$A$6:$A$105,B99)&lt;&gt;1,"SKU NO VALIDO",IF(OR(A99&lt;DATE(1900,1,1),A99&gt;DATE(2100,12,31),A99&gt;CONFIG!$B$5,C99&lt;0,C99&gt;1000000,D99&lt;0,D99&gt;1000000,E99&lt;0,E99&gt;1000000,E99&gt;D99,ABS(F99)&gt;1000000000,ABS(G99)&gt;1000000000,ROUND(F99,2)&lt;&gt;F99,AND(G99&lt;&gt;"",ROUND(G99,2)&lt;&gt;G99)),"REVISAR VALOR","OK"))))),"REVISAR VALOR")</f>
        <v>OK</v>
      </c>
    </row>
    <row r="100" spans="1:9" x14ac:dyDescent="0.45">
      <c r="A100" s="4">
        <v>46269</v>
      </c>
      <c r="B100" s="8" t="s">
        <v>75</v>
      </c>
      <c r="C100" s="5">
        <v>1</v>
      </c>
      <c r="D100" s="5">
        <v>0</v>
      </c>
      <c r="E100" s="5">
        <v>0</v>
      </c>
      <c r="F100" s="7">
        <v>299</v>
      </c>
      <c r="G100" s="7"/>
      <c r="H100" s="8" t="s">
        <v>112</v>
      </c>
      <c r="I100" s="12" t="str">
        <f>IFERROR(IF(COUNTA(A100:H100)=0,"",IF(OR(A100="",B100="",C100="",D100="",E100="",F100=""),"FALTA CAMPO",IF(COUNTIFS($A$6:$A$1005,A100,$B$6:$B$1005,B100)&gt;1,"DUPLICADO FECHA-SKU",IF(COUNTIF(CATALOGO!$A$6:$A$105,B100)&lt;&gt;1,"SKU NO VALIDO",IF(OR(A100&lt;DATE(1900,1,1),A100&gt;DATE(2100,12,31),A100&gt;CONFIG!$B$5,C100&lt;0,C100&gt;1000000,D100&lt;0,D100&gt;1000000,E100&lt;0,E100&gt;1000000,E100&gt;D100,ABS(F100)&gt;1000000000,ABS(G100)&gt;1000000000,ROUND(F100,2)&lt;&gt;F100,AND(G100&lt;&gt;"",ROUND(G100,2)&lt;&gt;G100)),"REVISAR VALOR","OK"))))),"REVISAR VALOR")</f>
        <v>OK</v>
      </c>
    </row>
    <row r="101" spans="1:9" x14ac:dyDescent="0.45">
      <c r="A101" s="4">
        <v>46270</v>
      </c>
      <c r="B101" s="8" t="s">
        <v>75</v>
      </c>
      <c r="C101" s="5">
        <v>1</v>
      </c>
      <c r="D101" s="5">
        <v>0</v>
      </c>
      <c r="E101" s="5">
        <v>0</v>
      </c>
      <c r="F101" s="7">
        <v>299</v>
      </c>
      <c r="G101" s="7"/>
      <c r="H101" s="8" t="s">
        <v>113</v>
      </c>
      <c r="I101" s="12" t="str">
        <f>IFERROR(IF(COUNTA(A101:H101)=0,"",IF(OR(A101="",B101="",C101="",D101="",E101="",F101=""),"FALTA CAMPO",IF(COUNTIFS($A$6:$A$1005,A101,$B$6:$B$1005,B101)&gt;1,"DUPLICADO FECHA-SKU",IF(COUNTIF(CATALOGO!$A$6:$A$105,B101)&lt;&gt;1,"SKU NO VALIDO",IF(OR(A101&lt;DATE(1900,1,1),A101&gt;DATE(2100,12,31),A101&gt;CONFIG!$B$5,C101&lt;0,C101&gt;1000000,D101&lt;0,D101&gt;1000000,E101&lt;0,E101&gt;1000000,E101&gt;D101,ABS(F101)&gt;1000000000,ABS(G101)&gt;1000000000,ROUND(F101,2)&lt;&gt;F101,AND(G101&lt;&gt;"",ROUND(G101,2)&lt;&gt;G101)),"REVISAR VALOR","OK"))))),"REVISAR VALOR")</f>
        <v>OK</v>
      </c>
    </row>
    <row r="102" spans="1:9" x14ac:dyDescent="0.45">
      <c r="A102" s="4">
        <v>46271</v>
      </c>
      <c r="B102" s="8" t="s">
        <v>75</v>
      </c>
      <c r="C102" s="5">
        <v>1</v>
      </c>
      <c r="D102" s="5">
        <v>0</v>
      </c>
      <c r="E102" s="5">
        <v>0</v>
      </c>
      <c r="F102" s="7">
        <v>299</v>
      </c>
      <c r="G102" s="7"/>
      <c r="H102" s="8" t="s">
        <v>114</v>
      </c>
      <c r="I102" s="12" t="str">
        <f>IFERROR(IF(COUNTA(A102:H102)=0,"",IF(OR(A102="",B102="",C102="",D102="",E102="",F102=""),"FALTA CAMPO",IF(COUNTIFS($A$6:$A$1005,A102,$B$6:$B$1005,B102)&gt;1,"DUPLICADO FECHA-SKU",IF(COUNTIF(CATALOGO!$A$6:$A$105,B102)&lt;&gt;1,"SKU NO VALIDO",IF(OR(A102&lt;DATE(1900,1,1),A102&gt;DATE(2100,12,31),A102&gt;CONFIG!$B$5,C102&lt;0,C102&gt;1000000,D102&lt;0,D102&gt;1000000,E102&lt;0,E102&gt;1000000,E102&gt;D102,ABS(F102)&gt;1000000000,ABS(G102)&gt;1000000000,ROUND(F102,2)&lt;&gt;F102,AND(G102&lt;&gt;"",ROUND(G102,2)&lt;&gt;G102)),"REVISAR VALOR","OK"))))),"REVISAR VALOR")</f>
        <v>OK</v>
      </c>
    </row>
    <row r="103" spans="1:9" x14ac:dyDescent="0.45">
      <c r="A103" s="4">
        <v>46272</v>
      </c>
      <c r="B103" s="8" t="s">
        <v>75</v>
      </c>
      <c r="C103" s="5">
        <v>1</v>
      </c>
      <c r="D103" s="5">
        <v>0</v>
      </c>
      <c r="E103" s="5">
        <v>0</v>
      </c>
      <c r="F103" s="7">
        <v>299</v>
      </c>
      <c r="G103" s="7"/>
      <c r="H103" s="8" t="s">
        <v>115</v>
      </c>
      <c r="I103" s="12" t="str">
        <f>IFERROR(IF(COUNTA(A103:H103)=0,"",IF(OR(A103="",B103="",C103="",D103="",E103="",F103=""),"FALTA CAMPO",IF(COUNTIFS($A$6:$A$1005,A103,$B$6:$B$1005,B103)&gt;1,"DUPLICADO FECHA-SKU",IF(COUNTIF(CATALOGO!$A$6:$A$105,B103)&lt;&gt;1,"SKU NO VALIDO",IF(OR(A103&lt;DATE(1900,1,1),A103&gt;DATE(2100,12,31),A103&gt;CONFIG!$B$5,C103&lt;0,C103&gt;1000000,D103&lt;0,D103&gt;1000000,E103&lt;0,E103&gt;1000000,E103&gt;D103,ABS(F103)&gt;1000000000,ABS(G103)&gt;1000000000,ROUND(F103,2)&lt;&gt;F103,AND(G103&lt;&gt;"",ROUND(G103,2)&lt;&gt;G103)),"REVISAR VALOR","OK"))))),"REVISAR VALOR")</f>
        <v>OK</v>
      </c>
    </row>
    <row r="104" spans="1:9" x14ac:dyDescent="0.45">
      <c r="A104" s="4">
        <v>46273</v>
      </c>
      <c r="B104" s="8" t="s">
        <v>75</v>
      </c>
      <c r="C104" s="5">
        <v>1</v>
      </c>
      <c r="D104" s="5">
        <v>0</v>
      </c>
      <c r="E104" s="5">
        <v>0</v>
      </c>
      <c r="F104" s="7">
        <v>299</v>
      </c>
      <c r="G104" s="7"/>
      <c r="H104" s="8" t="s">
        <v>116</v>
      </c>
      <c r="I104" s="12" t="str">
        <f>IFERROR(IF(COUNTA(A104:H104)=0,"",IF(OR(A104="",B104="",C104="",D104="",E104="",F104=""),"FALTA CAMPO",IF(COUNTIFS($A$6:$A$1005,A104,$B$6:$B$1005,B104)&gt;1,"DUPLICADO FECHA-SKU",IF(COUNTIF(CATALOGO!$A$6:$A$105,B104)&lt;&gt;1,"SKU NO VALIDO",IF(OR(A104&lt;DATE(1900,1,1),A104&gt;DATE(2100,12,31),A104&gt;CONFIG!$B$5,C104&lt;0,C104&gt;1000000,D104&lt;0,D104&gt;1000000,E104&lt;0,E104&gt;1000000,E104&gt;D104,ABS(F104)&gt;1000000000,ABS(G104)&gt;1000000000,ROUND(F104,2)&lt;&gt;F104,AND(G104&lt;&gt;"",ROUND(G104,2)&lt;&gt;G104)),"REVISAR VALOR","OK"))))),"REVISAR VALOR")</f>
        <v>OK</v>
      </c>
    </row>
    <row r="105" spans="1:9" x14ac:dyDescent="0.45">
      <c r="A105" s="4">
        <v>46274</v>
      </c>
      <c r="B105" s="8" t="s">
        <v>75</v>
      </c>
      <c r="C105" s="5">
        <v>1</v>
      </c>
      <c r="D105" s="5">
        <v>0</v>
      </c>
      <c r="E105" s="5">
        <v>0</v>
      </c>
      <c r="F105" s="7">
        <v>299</v>
      </c>
      <c r="G105" s="7"/>
      <c r="H105" s="8" t="s">
        <v>117</v>
      </c>
      <c r="I105" s="12" t="str">
        <f>IFERROR(IF(COUNTA(A105:H105)=0,"",IF(OR(A105="",B105="",C105="",D105="",E105="",F105=""),"FALTA CAMPO",IF(COUNTIFS($A$6:$A$1005,A105,$B$6:$B$1005,B105)&gt;1,"DUPLICADO FECHA-SKU",IF(COUNTIF(CATALOGO!$A$6:$A$105,B105)&lt;&gt;1,"SKU NO VALIDO",IF(OR(A105&lt;DATE(1900,1,1),A105&gt;DATE(2100,12,31),A105&gt;CONFIG!$B$5,C105&lt;0,C105&gt;1000000,D105&lt;0,D105&gt;1000000,E105&lt;0,E105&gt;1000000,E105&gt;D105,ABS(F105)&gt;1000000000,ABS(G105)&gt;1000000000,ROUND(F105,2)&lt;&gt;F105,AND(G105&lt;&gt;"",ROUND(G105,2)&lt;&gt;G105)),"REVISAR VALOR","OK"))))),"REVISAR VALOR")</f>
        <v>OK</v>
      </c>
    </row>
    <row r="106" spans="1:9" x14ac:dyDescent="0.45">
      <c r="A106" s="4">
        <v>46275</v>
      </c>
      <c r="B106" s="8" t="s">
        <v>75</v>
      </c>
      <c r="C106" s="5">
        <v>1</v>
      </c>
      <c r="D106" s="5">
        <v>0</v>
      </c>
      <c r="E106" s="5">
        <v>0</v>
      </c>
      <c r="F106" s="7">
        <v>299</v>
      </c>
      <c r="G106" s="7"/>
      <c r="H106" s="8" t="s">
        <v>118</v>
      </c>
      <c r="I106" s="12" t="str">
        <f>IFERROR(IF(COUNTA(A106:H106)=0,"",IF(OR(A106="",B106="",C106="",D106="",E106="",F106=""),"FALTA CAMPO",IF(COUNTIFS($A$6:$A$1005,A106,$B$6:$B$1005,B106)&gt;1,"DUPLICADO FECHA-SKU",IF(COUNTIF(CATALOGO!$A$6:$A$105,B106)&lt;&gt;1,"SKU NO VALIDO",IF(OR(A106&lt;DATE(1900,1,1),A106&gt;DATE(2100,12,31),A106&gt;CONFIG!$B$5,C106&lt;0,C106&gt;1000000,D106&lt;0,D106&gt;1000000,E106&lt;0,E106&gt;1000000,E106&gt;D106,ABS(F106)&gt;1000000000,ABS(G106)&gt;1000000000,ROUND(F106,2)&lt;&gt;F106,AND(G106&lt;&gt;"",ROUND(G106,2)&lt;&gt;G106)),"REVISAR VALOR","OK"))))),"REVISAR VALOR")</f>
        <v>OK</v>
      </c>
    </row>
    <row r="107" spans="1:9" x14ac:dyDescent="0.45">
      <c r="A107" s="4">
        <v>46276</v>
      </c>
      <c r="B107" s="8" t="s">
        <v>75</v>
      </c>
      <c r="C107" s="5">
        <v>1</v>
      </c>
      <c r="D107" s="5">
        <v>0</v>
      </c>
      <c r="E107" s="5">
        <v>0</v>
      </c>
      <c r="F107" s="7">
        <v>299</v>
      </c>
      <c r="G107" s="7"/>
      <c r="H107" s="8" t="s">
        <v>119</v>
      </c>
      <c r="I107" s="12" t="str">
        <f>IFERROR(IF(COUNTA(A107:H107)=0,"",IF(OR(A107="",B107="",C107="",D107="",E107="",F107=""),"FALTA CAMPO",IF(COUNTIFS($A$6:$A$1005,A107,$B$6:$B$1005,B107)&gt;1,"DUPLICADO FECHA-SKU",IF(COUNTIF(CATALOGO!$A$6:$A$105,B107)&lt;&gt;1,"SKU NO VALIDO",IF(OR(A107&lt;DATE(1900,1,1),A107&gt;DATE(2100,12,31),A107&gt;CONFIG!$B$5,C107&lt;0,C107&gt;1000000,D107&lt;0,D107&gt;1000000,E107&lt;0,E107&gt;1000000,E107&gt;D107,ABS(F107)&gt;1000000000,ABS(G107)&gt;1000000000,ROUND(F107,2)&lt;&gt;F107,AND(G107&lt;&gt;"",ROUND(G107,2)&lt;&gt;G107)),"REVISAR VALOR","OK"))))),"REVISAR VALOR")</f>
        <v>OK</v>
      </c>
    </row>
    <row r="108" spans="1:9" x14ac:dyDescent="0.45">
      <c r="A108" s="4">
        <v>46277</v>
      </c>
      <c r="B108" s="8" t="s">
        <v>75</v>
      </c>
      <c r="C108" s="5">
        <v>1</v>
      </c>
      <c r="D108" s="5">
        <v>0</v>
      </c>
      <c r="E108" s="5">
        <v>0</v>
      </c>
      <c r="F108" s="7">
        <v>299</v>
      </c>
      <c r="G108" s="7"/>
      <c r="H108" s="8" t="s">
        <v>120</v>
      </c>
      <c r="I108" s="12" t="str">
        <f>IFERROR(IF(COUNTA(A108:H108)=0,"",IF(OR(A108="",B108="",C108="",D108="",E108="",F108=""),"FALTA CAMPO",IF(COUNTIFS($A$6:$A$1005,A108,$B$6:$B$1005,B108)&gt;1,"DUPLICADO FECHA-SKU",IF(COUNTIF(CATALOGO!$A$6:$A$105,B108)&lt;&gt;1,"SKU NO VALIDO",IF(OR(A108&lt;DATE(1900,1,1),A108&gt;DATE(2100,12,31),A108&gt;CONFIG!$B$5,C108&lt;0,C108&gt;1000000,D108&lt;0,D108&gt;1000000,E108&lt;0,E108&gt;1000000,E108&gt;D108,ABS(F108)&gt;1000000000,ABS(G108)&gt;1000000000,ROUND(F108,2)&lt;&gt;F108,AND(G108&lt;&gt;"",ROUND(G108,2)&lt;&gt;G108)),"REVISAR VALOR","OK"))))),"REVISAR VALOR")</f>
        <v>OK</v>
      </c>
    </row>
    <row r="109" spans="1:9" x14ac:dyDescent="0.45">
      <c r="A109" s="4">
        <v>46278</v>
      </c>
      <c r="B109" s="8" t="s">
        <v>75</v>
      </c>
      <c r="C109" s="5">
        <v>1</v>
      </c>
      <c r="D109" s="5">
        <v>0</v>
      </c>
      <c r="E109" s="5">
        <v>0</v>
      </c>
      <c r="F109" s="7">
        <v>299</v>
      </c>
      <c r="G109" s="7"/>
      <c r="H109" s="8" t="s">
        <v>121</v>
      </c>
      <c r="I109" s="12" t="str">
        <f>IFERROR(IF(COUNTA(A109:H109)=0,"",IF(OR(A109="",B109="",C109="",D109="",E109="",F109=""),"FALTA CAMPO",IF(COUNTIFS($A$6:$A$1005,A109,$B$6:$B$1005,B109)&gt;1,"DUPLICADO FECHA-SKU",IF(COUNTIF(CATALOGO!$A$6:$A$105,B109)&lt;&gt;1,"SKU NO VALIDO",IF(OR(A109&lt;DATE(1900,1,1),A109&gt;DATE(2100,12,31),A109&gt;CONFIG!$B$5,C109&lt;0,C109&gt;1000000,D109&lt;0,D109&gt;1000000,E109&lt;0,E109&gt;1000000,E109&gt;D109,ABS(F109)&gt;1000000000,ABS(G109)&gt;1000000000,ROUND(F109,2)&lt;&gt;F109,AND(G109&lt;&gt;"",ROUND(G109,2)&lt;&gt;G109)),"REVISAR VALOR","OK"))))),"REVISAR VALOR")</f>
        <v>OK</v>
      </c>
    </row>
    <row r="110" spans="1:9" x14ac:dyDescent="0.45">
      <c r="A110" s="4">
        <v>46279</v>
      </c>
      <c r="B110" s="8" t="s">
        <v>75</v>
      </c>
      <c r="C110" s="5">
        <v>1</v>
      </c>
      <c r="D110" s="5">
        <v>0</v>
      </c>
      <c r="E110" s="5">
        <v>0</v>
      </c>
      <c r="F110" s="7">
        <v>299</v>
      </c>
      <c r="G110" s="7"/>
      <c r="H110" s="8" t="s">
        <v>122</v>
      </c>
      <c r="I110" s="12" t="str">
        <f>IFERROR(IF(COUNTA(A110:H110)=0,"",IF(OR(A110="",B110="",C110="",D110="",E110="",F110=""),"FALTA CAMPO",IF(COUNTIFS($A$6:$A$1005,A110,$B$6:$B$1005,B110)&gt;1,"DUPLICADO FECHA-SKU",IF(COUNTIF(CATALOGO!$A$6:$A$105,B110)&lt;&gt;1,"SKU NO VALIDO",IF(OR(A110&lt;DATE(1900,1,1),A110&gt;DATE(2100,12,31),A110&gt;CONFIG!$B$5,C110&lt;0,C110&gt;1000000,D110&lt;0,D110&gt;1000000,E110&lt;0,E110&gt;1000000,E110&gt;D110,ABS(F110)&gt;1000000000,ABS(G110)&gt;1000000000,ROUND(F110,2)&lt;&gt;F110,AND(G110&lt;&gt;"",ROUND(G110,2)&lt;&gt;G110)),"REVISAR VALOR","OK"))))),"REVISAR VALOR")</f>
        <v>OK</v>
      </c>
    </row>
    <row r="111" spans="1:9" x14ac:dyDescent="0.45">
      <c r="A111" s="4">
        <v>46280</v>
      </c>
      <c r="B111" s="8" t="s">
        <v>75</v>
      </c>
      <c r="C111" s="5">
        <v>1</v>
      </c>
      <c r="D111" s="5">
        <v>0</v>
      </c>
      <c r="E111" s="5">
        <v>0</v>
      </c>
      <c r="F111" s="7">
        <v>299</v>
      </c>
      <c r="G111" s="7"/>
      <c r="H111" s="8" t="s">
        <v>123</v>
      </c>
      <c r="I111" s="12" t="str">
        <f>IFERROR(IF(COUNTA(A111:H111)=0,"",IF(OR(A111="",B111="",C111="",D111="",E111="",F111=""),"FALTA CAMPO",IF(COUNTIFS($A$6:$A$1005,A111,$B$6:$B$1005,B111)&gt;1,"DUPLICADO FECHA-SKU",IF(COUNTIF(CATALOGO!$A$6:$A$105,B111)&lt;&gt;1,"SKU NO VALIDO",IF(OR(A111&lt;DATE(1900,1,1),A111&gt;DATE(2100,12,31),A111&gt;CONFIG!$B$5,C111&lt;0,C111&gt;1000000,D111&lt;0,D111&gt;1000000,E111&lt;0,E111&gt;1000000,E111&gt;D111,ABS(F111)&gt;1000000000,ABS(G111)&gt;1000000000,ROUND(F111,2)&lt;&gt;F111,AND(G111&lt;&gt;"",ROUND(G111,2)&lt;&gt;G111)),"REVISAR VALOR","OK"))))),"REVISAR VALOR")</f>
        <v>OK</v>
      </c>
    </row>
    <row r="112" spans="1:9" x14ac:dyDescent="0.45">
      <c r="A112" s="4">
        <v>46281</v>
      </c>
      <c r="B112" s="8" t="s">
        <v>75</v>
      </c>
      <c r="C112" s="5">
        <v>1</v>
      </c>
      <c r="D112" s="5">
        <v>0</v>
      </c>
      <c r="E112" s="5">
        <v>0</v>
      </c>
      <c r="F112" s="7">
        <v>299</v>
      </c>
      <c r="G112" s="7"/>
      <c r="H112" s="8" t="s">
        <v>124</v>
      </c>
      <c r="I112" s="12" t="str">
        <f>IFERROR(IF(COUNTA(A112:H112)=0,"",IF(OR(A112="",B112="",C112="",D112="",E112="",F112=""),"FALTA CAMPO",IF(COUNTIFS($A$6:$A$1005,A112,$B$6:$B$1005,B112)&gt;1,"DUPLICADO FECHA-SKU",IF(COUNTIF(CATALOGO!$A$6:$A$105,B112)&lt;&gt;1,"SKU NO VALIDO",IF(OR(A112&lt;DATE(1900,1,1),A112&gt;DATE(2100,12,31),A112&gt;CONFIG!$B$5,C112&lt;0,C112&gt;1000000,D112&lt;0,D112&gt;1000000,E112&lt;0,E112&gt;1000000,E112&gt;D112,ABS(F112)&gt;1000000000,ABS(G112)&gt;1000000000,ROUND(F112,2)&lt;&gt;F112,AND(G112&lt;&gt;"",ROUND(G112,2)&lt;&gt;G112)),"REVISAR VALOR","OK"))))),"REVISAR VALOR")</f>
        <v>OK</v>
      </c>
    </row>
    <row r="113" spans="1:9" x14ac:dyDescent="0.45">
      <c r="A113" s="4">
        <v>46282</v>
      </c>
      <c r="B113" s="8" t="s">
        <v>75</v>
      </c>
      <c r="C113" s="5">
        <v>1</v>
      </c>
      <c r="D113" s="5">
        <v>0</v>
      </c>
      <c r="E113" s="5">
        <v>0</v>
      </c>
      <c r="F113" s="7">
        <v>299</v>
      </c>
      <c r="G113" s="7"/>
      <c r="H113" s="8" t="s">
        <v>125</v>
      </c>
      <c r="I113" s="12" t="str">
        <f>IFERROR(IF(COUNTA(A113:H113)=0,"",IF(OR(A113="",B113="",C113="",D113="",E113="",F113=""),"FALTA CAMPO",IF(COUNTIFS($A$6:$A$1005,A113,$B$6:$B$1005,B113)&gt;1,"DUPLICADO FECHA-SKU",IF(COUNTIF(CATALOGO!$A$6:$A$105,B113)&lt;&gt;1,"SKU NO VALIDO",IF(OR(A113&lt;DATE(1900,1,1),A113&gt;DATE(2100,12,31),A113&gt;CONFIG!$B$5,C113&lt;0,C113&gt;1000000,D113&lt;0,D113&gt;1000000,E113&lt;0,E113&gt;1000000,E113&gt;D113,ABS(F113)&gt;1000000000,ABS(G113)&gt;1000000000,ROUND(F113,2)&lt;&gt;F113,AND(G113&lt;&gt;"",ROUND(G113,2)&lt;&gt;G113)),"REVISAR VALOR","OK"))))),"REVISAR VALOR")</f>
        <v>OK</v>
      </c>
    </row>
    <row r="114" spans="1:9" x14ac:dyDescent="0.45">
      <c r="A114" s="4">
        <v>46283</v>
      </c>
      <c r="B114" s="8" t="s">
        <v>75</v>
      </c>
      <c r="C114" s="5">
        <v>1</v>
      </c>
      <c r="D114" s="5">
        <v>0</v>
      </c>
      <c r="E114" s="5">
        <v>0</v>
      </c>
      <c r="F114" s="7">
        <v>299</v>
      </c>
      <c r="G114" s="7"/>
      <c r="H114" s="8" t="s">
        <v>126</v>
      </c>
      <c r="I114" s="12" t="str">
        <f>IFERROR(IF(COUNTA(A114:H114)=0,"",IF(OR(A114="",B114="",C114="",D114="",E114="",F114=""),"FALTA CAMPO",IF(COUNTIFS($A$6:$A$1005,A114,$B$6:$B$1005,B114)&gt;1,"DUPLICADO FECHA-SKU",IF(COUNTIF(CATALOGO!$A$6:$A$105,B114)&lt;&gt;1,"SKU NO VALIDO",IF(OR(A114&lt;DATE(1900,1,1),A114&gt;DATE(2100,12,31),A114&gt;CONFIG!$B$5,C114&lt;0,C114&gt;1000000,D114&lt;0,D114&gt;1000000,E114&lt;0,E114&gt;1000000,E114&gt;D114,ABS(F114)&gt;1000000000,ABS(G114)&gt;1000000000,ROUND(F114,2)&lt;&gt;F114,AND(G114&lt;&gt;"",ROUND(G114,2)&lt;&gt;G114)),"REVISAR VALOR","OK"))))),"REVISAR VALOR")</f>
        <v>OK</v>
      </c>
    </row>
    <row r="115" spans="1:9" x14ac:dyDescent="0.45">
      <c r="A115" s="4">
        <v>46284</v>
      </c>
      <c r="B115" s="8" t="s">
        <v>75</v>
      </c>
      <c r="C115" s="5">
        <v>1</v>
      </c>
      <c r="D115" s="5">
        <v>0</v>
      </c>
      <c r="E115" s="5">
        <v>0</v>
      </c>
      <c r="F115" s="7">
        <v>299</v>
      </c>
      <c r="G115" s="7"/>
      <c r="H115" s="8" t="s">
        <v>127</v>
      </c>
      <c r="I115" s="12" t="str">
        <f>IFERROR(IF(COUNTA(A115:H115)=0,"",IF(OR(A115="",B115="",C115="",D115="",E115="",F115=""),"FALTA CAMPO",IF(COUNTIFS($A$6:$A$1005,A115,$B$6:$B$1005,B115)&gt;1,"DUPLICADO FECHA-SKU",IF(COUNTIF(CATALOGO!$A$6:$A$105,B115)&lt;&gt;1,"SKU NO VALIDO",IF(OR(A115&lt;DATE(1900,1,1),A115&gt;DATE(2100,12,31),A115&gt;CONFIG!$B$5,C115&lt;0,C115&gt;1000000,D115&lt;0,D115&gt;1000000,E115&lt;0,E115&gt;1000000,E115&gt;D115,ABS(F115)&gt;1000000000,ABS(G115)&gt;1000000000,ROUND(F115,2)&lt;&gt;F115,AND(G115&lt;&gt;"",ROUND(G115,2)&lt;&gt;G115)),"REVISAR VALOR","OK"))))),"REVISAR VALOR")</f>
        <v>OK</v>
      </c>
    </row>
    <row r="116" spans="1:9" x14ac:dyDescent="0.45">
      <c r="A116" s="4">
        <v>46285</v>
      </c>
      <c r="B116" s="8" t="s">
        <v>75</v>
      </c>
      <c r="C116" s="5">
        <v>1</v>
      </c>
      <c r="D116" s="5">
        <v>0</v>
      </c>
      <c r="E116" s="5">
        <v>0</v>
      </c>
      <c r="F116" s="7">
        <v>299</v>
      </c>
      <c r="G116" s="7"/>
      <c r="H116" s="8" t="s">
        <v>128</v>
      </c>
      <c r="I116" s="12" t="str">
        <f>IFERROR(IF(COUNTA(A116:H116)=0,"",IF(OR(A116="",B116="",C116="",D116="",E116="",F116=""),"FALTA CAMPO",IF(COUNTIFS($A$6:$A$1005,A116,$B$6:$B$1005,B116)&gt;1,"DUPLICADO FECHA-SKU",IF(COUNTIF(CATALOGO!$A$6:$A$105,B116)&lt;&gt;1,"SKU NO VALIDO",IF(OR(A116&lt;DATE(1900,1,1),A116&gt;DATE(2100,12,31),A116&gt;CONFIG!$B$5,C116&lt;0,C116&gt;1000000,D116&lt;0,D116&gt;1000000,E116&lt;0,E116&gt;1000000,E116&gt;D116,ABS(F116)&gt;1000000000,ABS(G116)&gt;1000000000,ROUND(F116,2)&lt;&gt;F116,AND(G116&lt;&gt;"",ROUND(G116,2)&lt;&gt;G116)),"REVISAR VALOR","OK"))))),"REVISAR VALOR")</f>
        <v>OK</v>
      </c>
    </row>
    <row r="117" spans="1:9" x14ac:dyDescent="0.45">
      <c r="A117" s="4">
        <v>46286</v>
      </c>
      <c r="B117" s="8" t="s">
        <v>75</v>
      </c>
      <c r="C117" s="5">
        <v>1</v>
      </c>
      <c r="D117" s="5">
        <v>0</v>
      </c>
      <c r="E117" s="5">
        <v>0</v>
      </c>
      <c r="F117" s="7">
        <v>299</v>
      </c>
      <c r="G117" s="7"/>
      <c r="H117" s="8" t="s">
        <v>129</v>
      </c>
      <c r="I117" s="12" t="str">
        <f>IFERROR(IF(COUNTA(A117:H117)=0,"",IF(OR(A117="",B117="",C117="",D117="",E117="",F117=""),"FALTA CAMPO",IF(COUNTIFS($A$6:$A$1005,A117,$B$6:$B$1005,B117)&gt;1,"DUPLICADO FECHA-SKU",IF(COUNTIF(CATALOGO!$A$6:$A$105,B117)&lt;&gt;1,"SKU NO VALIDO",IF(OR(A117&lt;DATE(1900,1,1),A117&gt;DATE(2100,12,31),A117&gt;CONFIG!$B$5,C117&lt;0,C117&gt;1000000,D117&lt;0,D117&gt;1000000,E117&lt;0,E117&gt;1000000,E117&gt;D117,ABS(F117)&gt;1000000000,ABS(G117)&gt;1000000000,ROUND(F117,2)&lt;&gt;F117,AND(G117&lt;&gt;"",ROUND(G117,2)&lt;&gt;G117)),"REVISAR VALOR","OK"))))),"REVISAR VALOR")</f>
        <v>OK</v>
      </c>
    </row>
    <row r="118" spans="1:9" x14ac:dyDescent="0.45">
      <c r="A118" s="4">
        <v>46259</v>
      </c>
      <c r="B118" s="8" t="s">
        <v>77</v>
      </c>
      <c r="C118" s="5">
        <v>2</v>
      </c>
      <c r="D118" s="5">
        <v>1</v>
      </c>
      <c r="E118" s="5">
        <v>1</v>
      </c>
      <c r="F118" s="7">
        <v>299</v>
      </c>
      <c r="G118" s="7">
        <v>104</v>
      </c>
      <c r="H118" s="8" t="s">
        <v>102</v>
      </c>
      <c r="I118" s="12" t="str">
        <f>IFERROR(IF(COUNTA(A118:H118)=0,"",IF(OR(A118="",B118="",C118="",D118="",E118="",F118=""),"FALTA CAMPO",IF(COUNTIFS($A$6:$A$1005,A118,$B$6:$B$1005,B118)&gt;1,"DUPLICADO FECHA-SKU",IF(COUNTIF(CATALOGO!$A$6:$A$105,B118)&lt;&gt;1,"SKU NO VALIDO",IF(OR(A118&lt;DATE(1900,1,1),A118&gt;DATE(2100,12,31),A118&gt;CONFIG!$B$5,C118&lt;0,C118&gt;1000000,D118&lt;0,D118&gt;1000000,E118&lt;0,E118&gt;1000000,E118&gt;D118,ABS(F118)&gt;1000000000,ABS(G118)&gt;1000000000,ROUND(F118,2)&lt;&gt;F118,AND(G118&lt;&gt;"",ROUND(G118,2)&lt;&gt;G118)),"REVISAR VALOR","OK"))))),"REVISAR VALOR")</f>
        <v>OK</v>
      </c>
    </row>
    <row r="119" spans="1:9" x14ac:dyDescent="0.45">
      <c r="A119" s="4">
        <v>46260</v>
      </c>
      <c r="B119" s="8" t="s">
        <v>77</v>
      </c>
      <c r="C119" s="5">
        <v>2</v>
      </c>
      <c r="D119" s="5">
        <v>1</v>
      </c>
      <c r="E119" s="5">
        <v>0</v>
      </c>
      <c r="F119" s="7">
        <v>299</v>
      </c>
      <c r="G119" s="7">
        <v>208</v>
      </c>
      <c r="H119" s="8" t="s">
        <v>103</v>
      </c>
      <c r="I119" s="12" t="str">
        <f>IFERROR(IF(COUNTA(A119:H119)=0,"",IF(OR(A119="",B119="",C119="",D119="",E119="",F119=""),"FALTA CAMPO",IF(COUNTIFS($A$6:$A$1005,A119,$B$6:$B$1005,B119)&gt;1,"DUPLICADO FECHA-SKU",IF(COUNTIF(CATALOGO!$A$6:$A$105,B119)&lt;&gt;1,"SKU NO VALIDO",IF(OR(A119&lt;DATE(1900,1,1),A119&gt;DATE(2100,12,31),A119&gt;CONFIG!$B$5,C119&lt;0,C119&gt;1000000,D119&lt;0,D119&gt;1000000,E119&lt;0,E119&gt;1000000,E119&gt;D119,ABS(F119)&gt;1000000000,ABS(G119)&gt;1000000000,ROUND(F119,2)&lt;&gt;F119,AND(G119&lt;&gt;"",ROUND(G119,2)&lt;&gt;G119)),"REVISAR VALOR","OK"))))),"REVISAR VALOR")</f>
        <v>OK</v>
      </c>
    </row>
    <row r="120" spans="1:9" x14ac:dyDescent="0.45">
      <c r="A120" s="4">
        <v>46261</v>
      </c>
      <c r="B120" s="8" t="s">
        <v>77</v>
      </c>
      <c r="C120" s="5">
        <v>2</v>
      </c>
      <c r="D120" s="5">
        <v>0</v>
      </c>
      <c r="E120" s="5">
        <v>0</v>
      </c>
      <c r="F120" s="7">
        <v>598</v>
      </c>
      <c r="G120" s="7">
        <v>208</v>
      </c>
      <c r="H120" s="8" t="s">
        <v>104</v>
      </c>
      <c r="I120" s="12" t="str">
        <f>IFERROR(IF(COUNTA(A120:H120)=0,"",IF(OR(A120="",B120="",C120="",D120="",E120="",F120=""),"FALTA CAMPO",IF(COUNTIFS($A$6:$A$1005,A120,$B$6:$B$1005,B120)&gt;1,"DUPLICADO FECHA-SKU",IF(COUNTIF(CATALOGO!$A$6:$A$105,B120)&lt;&gt;1,"SKU NO VALIDO",IF(OR(A120&lt;DATE(1900,1,1),A120&gt;DATE(2100,12,31),A120&gt;CONFIG!$B$5,C120&lt;0,C120&gt;1000000,D120&lt;0,D120&gt;1000000,E120&lt;0,E120&gt;1000000,E120&gt;D120,ABS(F120)&gt;1000000000,ABS(G120)&gt;1000000000,ROUND(F120,2)&lt;&gt;F120,AND(G120&lt;&gt;"",ROUND(G120,2)&lt;&gt;G120)),"REVISAR VALOR","OK"))))),"REVISAR VALOR")</f>
        <v>OK</v>
      </c>
    </row>
    <row r="121" spans="1:9" x14ac:dyDescent="0.45">
      <c r="A121" s="4">
        <v>46262</v>
      </c>
      <c r="B121" s="8" t="s">
        <v>77</v>
      </c>
      <c r="C121" s="5">
        <v>2</v>
      </c>
      <c r="D121" s="5">
        <v>0</v>
      </c>
      <c r="E121" s="5">
        <v>0</v>
      </c>
      <c r="F121" s="7">
        <v>598</v>
      </c>
      <c r="G121" s="7">
        <v>208</v>
      </c>
      <c r="H121" s="8" t="s">
        <v>105</v>
      </c>
      <c r="I121" s="12" t="str">
        <f>IFERROR(IF(COUNTA(A121:H121)=0,"",IF(OR(A121="",B121="",C121="",D121="",E121="",F121=""),"FALTA CAMPO",IF(COUNTIFS($A$6:$A$1005,A121,$B$6:$B$1005,B121)&gt;1,"DUPLICADO FECHA-SKU",IF(COUNTIF(CATALOGO!$A$6:$A$105,B121)&lt;&gt;1,"SKU NO VALIDO",IF(OR(A121&lt;DATE(1900,1,1),A121&gt;DATE(2100,12,31),A121&gt;CONFIG!$B$5,C121&lt;0,C121&gt;1000000,D121&lt;0,D121&gt;1000000,E121&lt;0,E121&gt;1000000,E121&gt;D121,ABS(F121)&gt;1000000000,ABS(G121)&gt;1000000000,ROUND(F121,2)&lt;&gt;F121,AND(G121&lt;&gt;"",ROUND(G121,2)&lt;&gt;G121)),"REVISAR VALOR","OK"))))),"REVISAR VALOR")</f>
        <v>OK</v>
      </c>
    </row>
    <row r="122" spans="1:9" x14ac:dyDescent="0.45">
      <c r="A122" s="4">
        <v>46263</v>
      </c>
      <c r="B122" s="8" t="s">
        <v>77</v>
      </c>
      <c r="C122" s="5">
        <v>2</v>
      </c>
      <c r="D122" s="5">
        <v>0</v>
      </c>
      <c r="E122" s="5">
        <v>0</v>
      </c>
      <c r="F122" s="7">
        <v>598</v>
      </c>
      <c r="G122" s="7">
        <v>208</v>
      </c>
      <c r="H122" s="8" t="s">
        <v>106</v>
      </c>
      <c r="I122" s="12" t="str">
        <f>IFERROR(IF(COUNTA(A122:H122)=0,"",IF(OR(A122="",B122="",C122="",D122="",E122="",F122=""),"FALTA CAMPO",IF(COUNTIFS($A$6:$A$1005,A122,$B$6:$B$1005,B122)&gt;1,"DUPLICADO FECHA-SKU",IF(COUNTIF(CATALOGO!$A$6:$A$105,B122)&lt;&gt;1,"SKU NO VALIDO",IF(OR(A122&lt;DATE(1900,1,1),A122&gt;DATE(2100,12,31),A122&gt;CONFIG!$B$5,C122&lt;0,C122&gt;1000000,D122&lt;0,D122&gt;1000000,E122&lt;0,E122&gt;1000000,E122&gt;D122,ABS(F122)&gt;1000000000,ABS(G122)&gt;1000000000,ROUND(F122,2)&lt;&gt;F122,AND(G122&lt;&gt;"",ROUND(G122,2)&lt;&gt;G122)),"REVISAR VALOR","OK"))))),"REVISAR VALOR")</f>
        <v>OK</v>
      </c>
    </row>
    <row r="123" spans="1:9" x14ac:dyDescent="0.45">
      <c r="A123" s="4">
        <v>46264</v>
      </c>
      <c r="B123" s="8" t="s">
        <v>77</v>
      </c>
      <c r="C123" s="5">
        <v>2</v>
      </c>
      <c r="D123" s="5">
        <v>0</v>
      </c>
      <c r="E123" s="5">
        <v>0</v>
      </c>
      <c r="F123" s="7">
        <v>598</v>
      </c>
      <c r="G123" s="7">
        <v>208</v>
      </c>
      <c r="H123" s="8" t="s">
        <v>107</v>
      </c>
      <c r="I123" s="12" t="str">
        <f>IFERROR(IF(COUNTA(A123:H123)=0,"",IF(OR(A123="",B123="",C123="",D123="",E123="",F123=""),"FALTA CAMPO",IF(COUNTIFS($A$6:$A$1005,A123,$B$6:$B$1005,B123)&gt;1,"DUPLICADO FECHA-SKU",IF(COUNTIF(CATALOGO!$A$6:$A$105,B123)&lt;&gt;1,"SKU NO VALIDO",IF(OR(A123&lt;DATE(1900,1,1),A123&gt;DATE(2100,12,31),A123&gt;CONFIG!$B$5,C123&lt;0,C123&gt;1000000,D123&lt;0,D123&gt;1000000,E123&lt;0,E123&gt;1000000,E123&gt;D123,ABS(F123)&gt;1000000000,ABS(G123)&gt;1000000000,ROUND(F123,2)&lt;&gt;F123,AND(G123&lt;&gt;"",ROUND(G123,2)&lt;&gt;G123)),"REVISAR VALOR","OK"))))),"REVISAR VALOR")</f>
        <v>OK</v>
      </c>
    </row>
    <row r="124" spans="1:9" x14ac:dyDescent="0.45">
      <c r="A124" s="4">
        <v>46265</v>
      </c>
      <c r="B124" s="8" t="s">
        <v>77</v>
      </c>
      <c r="C124" s="5">
        <v>2</v>
      </c>
      <c r="D124" s="5">
        <v>0</v>
      </c>
      <c r="E124" s="5">
        <v>0</v>
      </c>
      <c r="F124" s="7">
        <v>598</v>
      </c>
      <c r="G124" s="7">
        <v>208</v>
      </c>
      <c r="H124" s="8" t="s">
        <v>108</v>
      </c>
      <c r="I124" s="12" t="str">
        <f>IFERROR(IF(COUNTA(A124:H124)=0,"",IF(OR(A124="",B124="",C124="",D124="",E124="",F124=""),"FALTA CAMPO",IF(COUNTIFS($A$6:$A$1005,A124,$B$6:$B$1005,B124)&gt;1,"DUPLICADO FECHA-SKU",IF(COUNTIF(CATALOGO!$A$6:$A$105,B124)&lt;&gt;1,"SKU NO VALIDO",IF(OR(A124&lt;DATE(1900,1,1),A124&gt;DATE(2100,12,31),A124&gt;CONFIG!$B$5,C124&lt;0,C124&gt;1000000,D124&lt;0,D124&gt;1000000,E124&lt;0,E124&gt;1000000,E124&gt;D124,ABS(F124)&gt;1000000000,ABS(G124)&gt;1000000000,ROUND(F124,2)&lt;&gt;F124,AND(G124&lt;&gt;"",ROUND(G124,2)&lt;&gt;G124)),"REVISAR VALOR","OK"))))),"REVISAR VALOR")</f>
        <v>OK</v>
      </c>
    </row>
    <row r="125" spans="1:9" x14ac:dyDescent="0.45">
      <c r="A125" s="4">
        <v>46266</v>
      </c>
      <c r="B125" s="8" t="s">
        <v>77</v>
      </c>
      <c r="C125" s="5">
        <v>2</v>
      </c>
      <c r="D125" s="5">
        <v>0</v>
      </c>
      <c r="E125" s="5">
        <v>0</v>
      </c>
      <c r="F125" s="7">
        <v>598</v>
      </c>
      <c r="G125" s="7">
        <v>208</v>
      </c>
      <c r="H125" s="8" t="s">
        <v>109</v>
      </c>
      <c r="I125" s="12" t="str">
        <f>IFERROR(IF(COUNTA(A125:H125)=0,"",IF(OR(A125="",B125="",C125="",D125="",E125="",F125=""),"FALTA CAMPO",IF(COUNTIFS($A$6:$A$1005,A125,$B$6:$B$1005,B125)&gt;1,"DUPLICADO FECHA-SKU",IF(COUNTIF(CATALOGO!$A$6:$A$105,B125)&lt;&gt;1,"SKU NO VALIDO",IF(OR(A125&lt;DATE(1900,1,1),A125&gt;DATE(2100,12,31),A125&gt;CONFIG!$B$5,C125&lt;0,C125&gt;1000000,D125&lt;0,D125&gt;1000000,E125&lt;0,E125&gt;1000000,E125&gt;D125,ABS(F125)&gt;1000000000,ABS(G125)&gt;1000000000,ROUND(F125,2)&lt;&gt;F125,AND(G125&lt;&gt;"",ROUND(G125,2)&lt;&gt;G125)),"REVISAR VALOR","OK"))))),"REVISAR VALOR")</f>
        <v>OK</v>
      </c>
    </row>
    <row r="126" spans="1:9" x14ac:dyDescent="0.45">
      <c r="A126" s="4">
        <v>46267</v>
      </c>
      <c r="B126" s="8" t="s">
        <v>77</v>
      </c>
      <c r="C126" s="5">
        <v>2</v>
      </c>
      <c r="D126" s="5">
        <v>0</v>
      </c>
      <c r="E126" s="5">
        <v>0</v>
      </c>
      <c r="F126" s="7">
        <v>598</v>
      </c>
      <c r="G126" s="7">
        <v>208</v>
      </c>
      <c r="H126" s="8" t="s">
        <v>110</v>
      </c>
      <c r="I126" s="12" t="str">
        <f>IFERROR(IF(COUNTA(A126:H126)=0,"",IF(OR(A126="",B126="",C126="",D126="",E126="",F126=""),"FALTA CAMPO",IF(COUNTIFS($A$6:$A$1005,A126,$B$6:$B$1005,B126)&gt;1,"DUPLICADO FECHA-SKU",IF(COUNTIF(CATALOGO!$A$6:$A$105,B126)&lt;&gt;1,"SKU NO VALIDO",IF(OR(A126&lt;DATE(1900,1,1),A126&gt;DATE(2100,12,31),A126&gt;CONFIG!$B$5,C126&lt;0,C126&gt;1000000,D126&lt;0,D126&gt;1000000,E126&lt;0,E126&gt;1000000,E126&gt;D126,ABS(F126)&gt;1000000000,ABS(G126)&gt;1000000000,ROUND(F126,2)&lt;&gt;F126,AND(G126&lt;&gt;"",ROUND(G126,2)&lt;&gt;G126)),"REVISAR VALOR","OK"))))),"REVISAR VALOR")</f>
        <v>OK</v>
      </c>
    </row>
    <row r="127" spans="1:9" x14ac:dyDescent="0.45">
      <c r="A127" s="4">
        <v>46268</v>
      </c>
      <c r="B127" s="8" t="s">
        <v>77</v>
      </c>
      <c r="C127" s="5">
        <v>2</v>
      </c>
      <c r="D127" s="5">
        <v>0</v>
      </c>
      <c r="E127" s="5">
        <v>0</v>
      </c>
      <c r="F127" s="7">
        <v>598</v>
      </c>
      <c r="G127" s="7">
        <v>208</v>
      </c>
      <c r="H127" s="8" t="s">
        <v>111</v>
      </c>
      <c r="I127" s="12" t="str">
        <f>IFERROR(IF(COUNTA(A127:H127)=0,"",IF(OR(A127="",B127="",C127="",D127="",E127="",F127=""),"FALTA CAMPO",IF(COUNTIFS($A$6:$A$1005,A127,$B$6:$B$1005,B127)&gt;1,"DUPLICADO FECHA-SKU",IF(COUNTIF(CATALOGO!$A$6:$A$105,B127)&lt;&gt;1,"SKU NO VALIDO",IF(OR(A127&lt;DATE(1900,1,1),A127&gt;DATE(2100,12,31),A127&gt;CONFIG!$B$5,C127&lt;0,C127&gt;1000000,D127&lt;0,D127&gt;1000000,E127&lt;0,E127&gt;1000000,E127&gt;D127,ABS(F127)&gt;1000000000,ABS(G127)&gt;1000000000,ROUND(F127,2)&lt;&gt;F127,AND(G127&lt;&gt;"",ROUND(G127,2)&lt;&gt;G127)),"REVISAR VALOR","OK"))))),"REVISAR VALOR")</f>
        <v>OK</v>
      </c>
    </row>
    <row r="128" spans="1:9" x14ac:dyDescent="0.45">
      <c r="A128" s="4">
        <v>46269</v>
      </c>
      <c r="B128" s="8" t="s">
        <v>77</v>
      </c>
      <c r="C128" s="5">
        <v>2</v>
      </c>
      <c r="D128" s="5">
        <v>0</v>
      </c>
      <c r="E128" s="5">
        <v>0</v>
      </c>
      <c r="F128" s="7">
        <v>598</v>
      </c>
      <c r="G128" s="7">
        <v>208</v>
      </c>
      <c r="H128" s="8" t="s">
        <v>112</v>
      </c>
      <c r="I128" s="12" t="str">
        <f>IFERROR(IF(COUNTA(A128:H128)=0,"",IF(OR(A128="",B128="",C128="",D128="",E128="",F128=""),"FALTA CAMPO",IF(COUNTIFS($A$6:$A$1005,A128,$B$6:$B$1005,B128)&gt;1,"DUPLICADO FECHA-SKU",IF(COUNTIF(CATALOGO!$A$6:$A$105,B128)&lt;&gt;1,"SKU NO VALIDO",IF(OR(A128&lt;DATE(1900,1,1),A128&gt;DATE(2100,12,31),A128&gt;CONFIG!$B$5,C128&lt;0,C128&gt;1000000,D128&lt;0,D128&gt;1000000,E128&lt;0,E128&gt;1000000,E128&gt;D128,ABS(F128)&gt;1000000000,ABS(G128)&gt;1000000000,ROUND(F128,2)&lt;&gt;F128,AND(G128&lt;&gt;"",ROUND(G128,2)&lt;&gt;G128)),"REVISAR VALOR","OK"))))),"REVISAR VALOR")</f>
        <v>OK</v>
      </c>
    </row>
    <row r="129" spans="1:9" x14ac:dyDescent="0.45">
      <c r="A129" s="4">
        <v>46270</v>
      </c>
      <c r="B129" s="8" t="s">
        <v>77</v>
      </c>
      <c r="C129" s="5">
        <v>2</v>
      </c>
      <c r="D129" s="5">
        <v>0</v>
      </c>
      <c r="E129" s="5">
        <v>0</v>
      </c>
      <c r="F129" s="7">
        <v>598</v>
      </c>
      <c r="G129" s="7">
        <v>208</v>
      </c>
      <c r="H129" s="8" t="s">
        <v>113</v>
      </c>
      <c r="I129" s="12" t="str">
        <f>IFERROR(IF(COUNTA(A129:H129)=0,"",IF(OR(A129="",B129="",C129="",D129="",E129="",F129=""),"FALTA CAMPO",IF(COUNTIFS($A$6:$A$1005,A129,$B$6:$B$1005,B129)&gt;1,"DUPLICADO FECHA-SKU",IF(COUNTIF(CATALOGO!$A$6:$A$105,B129)&lt;&gt;1,"SKU NO VALIDO",IF(OR(A129&lt;DATE(1900,1,1),A129&gt;DATE(2100,12,31),A129&gt;CONFIG!$B$5,C129&lt;0,C129&gt;1000000,D129&lt;0,D129&gt;1000000,E129&lt;0,E129&gt;1000000,E129&gt;D129,ABS(F129)&gt;1000000000,ABS(G129)&gt;1000000000,ROUND(F129,2)&lt;&gt;F129,AND(G129&lt;&gt;"",ROUND(G129,2)&lt;&gt;G129)),"REVISAR VALOR","OK"))))),"REVISAR VALOR")</f>
        <v>OK</v>
      </c>
    </row>
    <row r="130" spans="1:9" x14ac:dyDescent="0.45">
      <c r="A130" s="4">
        <v>46271</v>
      </c>
      <c r="B130" s="8" t="s">
        <v>77</v>
      </c>
      <c r="C130" s="5">
        <v>2</v>
      </c>
      <c r="D130" s="5">
        <v>0</v>
      </c>
      <c r="E130" s="5">
        <v>0</v>
      </c>
      <c r="F130" s="7">
        <v>598</v>
      </c>
      <c r="G130" s="7">
        <v>208</v>
      </c>
      <c r="H130" s="8" t="s">
        <v>114</v>
      </c>
      <c r="I130" s="12" t="str">
        <f>IFERROR(IF(COUNTA(A130:H130)=0,"",IF(OR(A130="",B130="",C130="",D130="",E130="",F130=""),"FALTA CAMPO",IF(COUNTIFS($A$6:$A$1005,A130,$B$6:$B$1005,B130)&gt;1,"DUPLICADO FECHA-SKU",IF(COUNTIF(CATALOGO!$A$6:$A$105,B130)&lt;&gt;1,"SKU NO VALIDO",IF(OR(A130&lt;DATE(1900,1,1),A130&gt;DATE(2100,12,31),A130&gt;CONFIG!$B$5,C130&lt;0,C130&gt;1000000,D130&lt;0,D130&gt;1000000,E130&lt;0,E130&gt;1000000,E130&gt;D130,ABS(F130)&gt;1000000000,ABS(G130)&gt;1000000000,ROUND(F130,2)&lt;&gt;F130,AND(G130&lt;&gt;"",ROUND(G130,2)&lt;&gt;G130)),"REVISAR VALOR","OK"))))),"REVISAR VALOR")</f>
        <v>OK</v>
      </c>
    </row>
    <row r="131" spans="1:9" x14ac:dyDescent="0.45">
      <c r="A131" s="4">
        <v>46272</v>
      </c>
      <c r="B131" s="8" t="s">
        <v>77</v>
      </c>
      <c r="C131" s="5">
        <v>2</v>
      </c>
      <c r="D131" s="5">
        <v>0</v>
      </c>
      <c r="E131" s="5">
        <v>0</v>
      </c>
      <c r="F131" s="7">
        <v>598</v>
      </c>
      <c r="G131" s="7">
        <v>208</v>
      </c>
      <c r="H131" s="8" t="s">
        <v>115</v>
      </c>
      <c r="I131" s="12" t="str">
        <f>IFERROR(IF(COUNTA(A131:H131)=0,"",IF(OR(A131="",B131="",C131="",D131="",E131="",F131=""),"FALTA CAMPO",IF(COUNTIFS($A$6:$A$1005,A131,$B$6:$B$1005,B131)&gt;1,"DUPLICADO FECHA-SKU",IF(COUNTIF(CATALOGO!$A$6:$A$105,B131)&lt;&gt;1,"SKU NO VALIDO",IF(OR(A131&lt;DATE(1900,1,1),A131&gt;DATE(2100,12,31),A131&gt;CONFIG!$B$5,C131&lt;0,C131&gt;1000000,D131&lt;0,D131&gt;1000000,E131&lt;0,E131&gt;1000000,E131&gt;D131,ABS(F131)&gt;1000000000,ABS(G131)&gt;1000000000,ROUND(F131,2)&lt;&gt;F131,AND(G131&lt;&gt;"",ROUND(G131,2)&lt;&gt;G131)),"REVISAR VALOR","OK"))))),"REVISAR VALOR")</f>
        <v>OK</v>
      </c>
    </row>
    <row r="132" spans="1:9" x14ac:dyDescent="0.45">
      <c r="A132" s="4">
        <v>46273</v>
      </c>
      <c r="B132" s="8" t="s">
        <v>77</v>
      </c>
      <c r="C132" s="5">
        <v>1</v>
      </c>
      <c r="D132" s="5">
        <v>0</v>
      </c>
      <c r="E132" s="5">
        <v>0</v>
      </c>
      <c r="F132" s="7">
        <v>299</v>
      </c>
      <c r="G132" s="7">
        <v>104</v>
      </c>
      <c r="H132" s="8" t="s">
        <v>116</v>
      </c>
      <c r="I132" s="12" t="str">
        <f>IFERROR(IF(COUNTA(A132:H132)=0,"",IF(OR(A132="",B132="",C132="",D132="",E132="",F132=""),"FALTA CAMPO",IF(COUNTIFS($A$6:$A$1005,A132,$B$6:$B$1005,B132)&gt;1,"DUPLICADO FECHA-SKU",IF(COUNTIF(CATALOGO!$A$6:$A$105,B132)&lt;&gt;1,"SKU NO VALIDO",IF(OR(A132&lt;DATE(1900,1,1),A132&gt;DATE(2100,12,31),A132&gt;CONFIG!$B$5,C132&lt;0,C132&gt;1000000,D132&lt;0,D132&gt;1000000,E132&lt;0,E132&gt;1000000,E132&gt;D132,ABS(F132)&gt;1000000000,ABS(G132)&gt;1000000000,ROUND(F132,2)&lt;&gt;F132,AND(G132&lt;&gt;"",ROUND(G132,2)&lt;&gt;G132)),"REVISAR VALOR","OK"))))),"REVISAR VALOR")</f>
        <v>OK</v>
      </c>
    </row>
    <row r="133" spans="1:9" x14ac:dyDescent="0.45">
      <c r="A133" s="4">
        <v>46274</v>
      </c>
      <c r="B133" s="8" t="s">
        <v>77</v>
      </c>
      <c r="C133" s="5">
        <v>1</v>
      </c>
      <c r="D133" s="5">
        <v>0</v>
      </c>
      <c r="E133" s="5">
        <v>0</v>
      </c>
      <c r="F133" s="7">
        <v>299</v>
      </c>
      <c r="G133" s="7">
        <v>104</v>
      </c>
      <c r="H133" s="8" t="s">
        <v>117</v>
      </c>
      <c r="I133" s="12" t="str">
        <f>IFERROR(IF(COUNTA(A133:H133)=0,"",IF(OR(A133="",B133="",C133="",D133="",E133="",F133=""),"FALTA CAMPO",IF(COUNTIFS($A$6:$A$1005,A133,$B$6:$B$1005,B133)&gt;1,"DUPLICADO FECHA-SKU",IF(COUNTIF(CATALOGO!$A$6:$A$105,B133)&lt;&gt;1,"SKU NO VALIDO",IF(OR(A133&lt;DATE(1900,1,1),A133&gt;DATE(2100,12,31),A133&gt;CONFIG!$B$5,C133&lt;0,C133&gt;1000000,D133&lt;0,D133&gt;1000000,E133&lt;0,E133&gt;1000000,E133&gt;D133,ABS(F133)&gt;1000000000,ABS(G133)&gt;1000000000,ROUND(F133,2)&lt;&gt;F133,AND(G133&lt;&gt;"",ROUND(G133,2)&lt;&gt;G133)),"REVISAR VALOR","OK"))))),"REVISAR VALOR")</f>
        <v>OK</v>
      </c>
    </row>
    <row r="134" spans="1:9" x14ac:dyDescent="0.45">
      <c r="A134" s="4">
        <v>46275</v>
      </c>
      <c r="B134" s="8" t="s">
        <v>77</v>
      </c>
      <c r="C134" s="5">
        <v>1</v>
      </c>
      <c r="D134" s="5">
        <v>0</v>
      </c>
      <c r="E134" s="5">
        <v>0</v>
      </c>
      <c r="F134" s="7">
        <v>299</v>
      </c>
      <c r="G134" s="7">
        <v>104</v>
      </c>
      <c r="H134" s="8" t="s">
        <v>118</v>
      </c>
      <c r="I134" s="12" t="str">
        <f>IFERROR(IF(COUNTA(A134:H134)=0,"",IF(OR(A134="",B134="",C134="",D134="",E134="",F134=""),"FALTA CAMPO",IF(COUNTIFS($A$6:$A$1005,A134,$B$6:$B$1005,B134)&gt;1,"DUPLICADO FECHA-SKU",IF(COUNTIF(CATALOGO!$A$6:$A$105,B134)&lt;&gt;1,"SKU NO VALIDO",IF(OR(A134&lt;DATE(1900,1,1),A134&gt;DATE(2100,12,31),A134&gt;CONFIG!$B$5,C134&lt;0,C134&gt;1000000,D134&lt;0,D134&gt;1000000,E134&lt;0,E134&gt;1000000,E134&gt;D134,ABS(F134)&gt;1000000000,ABS(G134)&gt;1000000000,ROUND(F134,2)&lt;&gt;F134,AND(G134&lt;&gt;"",ROUND(G134,2)&lt;&gt;G134)),"REVISAR VALOR","OK"))))),"REVISAR VALOR")</f>
        <v>OK</v>
      </c>
    </row>
    <row r="135" spans="1:9" x14ac:dyDescent="0.45">
      <c r="A135" s="4">
        <v>46276</v>
      </c>
      <c r="B135" s="8" t="s">
        <v>77</v>
      </c>
      <c r="C135" s="5">
        <v>1</v>
      </c>
      <c r="D135" s="5">
        <v>0</v>
      </c>
      <c r="E135" s="5">
        <v>0</v>
      </c>
      <c r="F135" s="7">
        <v>299</v>
      </c>
      <c r="G135" s="7">
        <v>104</v>
      </c>
      <c r="H135" s="8" t="s">
        <v>119</v>
      </c>
      <c r="I135" s="12" t="str">
        <f>IFERROR(IF(COUNTA(A135:H135)=0,"",IF(OR(A135="",B135="",C135="",D135="",E135="",F135=""),"FALTA CAMPO",IF(COUNTIFS($A$6:$A$1005,A135,$B$6:$B$1005,B135)&gt;1,"DUPLICADO FECHA-SKU",IF(COUNTIF(CATALOGO!$A$6:$A$105,B135)&lt;&gt;1,"SKU NO VALIDO",IF(OR(A135&lt;DATE(1900,1,1),A135&gt;DATE(2100,12,31),A135&gt;CONFIG!$B$5,C135&lt;0,C135&gt;1000000,D135&lt;0,D135&gt;1000000,E135&lt;0,E135&gt;1000000,E135&gt;D135,ABS(F135)&gt;1000000000,ABS(G135)&gt;1000000000,ROUND(F135,2)&lt;&gt;F135,AND(G135&lt;&gt;"",ROUND(G135,2)&lt;&gt;G135)),"REVISAR VALOR","OK"))))),"REVISAR VALOR")</f>
        <v>OK</v>
      </c>
    </row>
    <row r="136" spans="1:9" x14ac:dyDescent="0.45">
      <c r="A136" s="4">
        <v>46277</v>
      </c>
      <c r="B136" s="8" t="s">
        <v>77</v>
      </c>
      <c r="C136" s="5">
        <v>1</v>
      </c>
      <c r="D136" s="5">
        <v>0</v>
      </c>
      <c r="E136" s="5">
        <v>0</v>
      </c>
      <c r="F136" s="7">
        <v>299</v>
      </c>
      <c r="G136" s="7">
        <v>104</v>
      </c>
      <c r="H136" s="8" t="s">
        <v>120</v>
      </c>
      <c r="I136" s="12" t="str">
        <f>IFERROR(IF(COUNTA(A136:H136)=0,"",IF(OR(A136="",B136="",C136="",D136="",E136="",F136=""),"FALTA CAMPO",IF(COUNTIFS($A$6:$A$1005,A136,$B$6:$B$1005,B136)&gt;1,"DUPLICADO FECHA-SKU",IF(COUNTIF(CATALOGO!$A$6:$A$105,B136)&lt;&gt;1,"SKU NO VALIDO",IF(OR(A136&lt;DATE(1900,1,1),A136&gt;DATE(2100,12,31),A136&gt;CONFIG!$B$5,C136&lt;0,C136&gt;1000000,D136&lt;0,D136&gt;1000000,E136&lt;0,E136&gt;1000000,E136&gt;D136,ABS(F136)&gt;1000000000,ABS(G136)&gt;1000000000,ROUND(F136,2)&lt;&gt;F136,AND(G136&lt;&gt;"",ROUND(G136,2)&lt;&gt;G136)),"REVISAR VALOR","OK"))))),"REVISAR VALOR")</f>
        <v>OK</v>
      </c>
    </row>
    <row r="137" spans="1:9" x14ac:dyDescent="0.45">
      <c r="A137" s="4">
        <v>46278</v>
      </c>
      <c r="B137" s="8" t="s">
        <v>77</v>
      </c>
      <c r="C137" s="5">
        <v>1</v>
      </c>
      <c r="D137" s="5">
        <v>0</v>
      </c>
      <c r="E137" s="5">
        <v>0</v>
      </c>
      <c r="F137" s="7">
        <v>299</v>
      </c>
      <c r="G137" s="7">
        <v>104</v>
      </c>
      <c r="H137" s="8" t="s">
        <v>121</v>
      </c>
      <c r="I137" s="12" t="str">
        <f>IFERROR(IF(COUNTA(A137:H137)=0,"",IF(OR(A137="",B137="",C137="",D137="",E137="",F137=""),"FALTA CAMPO",IF(COUNTIFS($A$6:$A$1005,A137,$B$6:$B$1005,B137)&gt;1,"DUPLICADO FECHA-SKU",IF(COUNTIF(CATALOGO!$A$6:$A$105,B137)&lt;&gt;1,"SKU NO VALIDO",IF(OR(A137&lt;DATE(1900,1,1),A137&gt;DATE(2100,12,31),A137&gt;CONFIG!$B$5,C137&lt;0,C137&gt;1000000,D137&lt;0,D137&gt;1000000,E137&lt;0,E137&gt;1000000,E137&gt;D137,ABS(F137)&gt;1000000000,ABS(G137)&gt;1000000000,ROUND(F137,2)&lt;&gt;F137,AND(G137&lt;&gt;"",ROUND(G137,2)&lt;&gt;G137)),"REVISAR VALOR","OK"))))),"REVISAR VALOR")</f>
        <v>OK</v>
      </c>
    </row>
    <row r="138" spans="1:9" x14ac:dyDescent="0.45">
      <c r="A138" s="4">
        <v>46279</v>
      </c>
      <c r="B138" s="8" t="s">
        <v>77</v>
      </c>
      <c r="C138" s="5">
        <v>1</v>
      </c>
      <c r="D138" s="5">
        <v>0</v>
      </c>
      <c r="E138" s="5">
        <v>0</v>
      </c>
      <c r="F138" s="7">
        <v>299</v>
      </c>
      <c r="G138" s="7">
        <v>104</v>
      </c>
      <c r="H138" s="8" t="s">
        <v>122</v>
      </c>
      <c r="I138" s="12" t="str">
        <f>IFERROR(IF(COUNTA(A138:H138)=0,"",IF(OR(A138="",B138="",C138="",D138="",E138="",F138=""),"FALTA CAMPO",IF(COUNTIFS($A$6:$A$1005,A138,$B$6:$B$1005,B138)&gt;1,"DUPLICADO FECHA-SKU",IF(COUNTIF(CATALOGO!$A$6:$A$105,B138)&lt;&gt;1,"SKU NO VALIDO",IF(OR(A138&lt;DATE(1900,1,1),A138&gt;DATE(2100,12,31),A138&gt;CONFIG!$B$5,C138&lt;0,C138&gt;1000000,D138&lt;0,D138&gt;1000000,E138&lt;0,E138&gt;1000000,E138&gt;D138,ABS(F138)&gt;1000000000,ABS(G138)&gt;1000000000,ROUND(F138,2)&lt;&gt;F138,AND(G138&lt;&gt;"",ROUND(G138,2)&lt;&gt;G138)),"REVISAR VALOR","OK"))))),"REVISAR VALOR")</f>
        <v>OK</v>
      </c>
    </row>
    <row r="139" spans="1:9" x14ac:dyDescent="0.45">
      <c r="A139" s="4">
        <v>46280</v>
      </c>
      <c r="B139" s="8" t="s">
        <v>77</v>
      </c>
      <c r="C139" s="5">
        <v>1</v>
      </c>
      <c r="D139" s="5">
        <v>0</v>
      </c>
      <c r="E139" s="5">
        <v>0</v>
      </c>
      <c r="F139" s="7">
        <v>299</v>
      </c>
      <c r="G139" s="7">
        <v>104</v>
      </c>
      <c r="H139" s="8" t="s">
        <v>123</v>
      </c>
      <c r="I139" s="12" t="str">
        <f>IFERROR(IF(COUNTA(A139:H139)=0,"",IF(OR(A139="",B139="",C139="",D139="",E139="",F139=""),"FALTA CAMPO",IF(COUNTIFS($A$6:$A$1005,A139,$B$6:$B$1005,B139)&gt;1,"DUPLICADO FECHA-SKU",IF(COUNTIF(CATALOGO!$A$6:$A$105,B139)&lt;&gt;1,"SKU NO VALIDO",IF(OR(A139&lt;DATE(1900,1,1),A139&gt;DATE(2100,12,31),A139&gt;CONFIG!$B$5,C139&lt;0,C139&gt;1000000,D139&lt;0,D139&gt;1000000,E139&lt;0,E139&gt;1000000,E139&gt;D139,ABS(F139)&gt;1000000000,ABS(G139)&gt;1000000000,ROUND(F139,2)&lt;&gt;F139,AND(G139&lt;&gt;"",ROUND(G139,2)&lt;&gt;G139)),"REVISAR VALOR","OK"))))),"REVISAR VALOR")</f>
        <v>OK</v>
      </c>
    </row>
    <row r="140" spans="1:9" x14ac:dyDescent="0.45">
      <c r="A140" s="4">
        <v>46281</v>
      </c>
      <c r="B140" s="8" t="s">
        <v>77</v>
      </c>
      <c r="C140" s="5">
        <v>1</v>
      </c>
      <c r="D140" s="5">
        <v>0</v>
      </c>
      <c r="E140" s="5">
        <v>0</v>
      </c>
      <c r="F140" s="7">
        <v>299</v>
      </c>
      <c r="G140" s="7">
        <v>104</v>
      </c>
      <c r="H140" s="8" t="s">
        <v>124</v>
      </c>
      <c r="I140" s="12" t="str">
        <f>IFERROR(IF(COUNTA(A140:H140)=0,"",IF(OR(A140="",B140="",C140="",D140="",E140="",F140=""),"FALTA CAMPO",IF(COUNTIFS($A$6:$A$1005,A140,$B$6:$B$1005,B140)&gt;1,"DUPLICADO FECHA-SKU",IF(COUNTIF(CATALOGO!$A$6:$A$105,B140)&lt;&gt;1,"SKU NO VALIDO",IF(OR(A140&lt;DATE(1900,1,1),A140&gt;DATE(2100,12,31),A140&gt;CONFIG!$B$5,C140&lt;0,C140&gt;1000000,D140&lt;0,D140&gt;1000000,E140&lt;0,E140&gt;1000000,E140&gt;D140,ABS(F140)&gt;1000000000,ABS(G140)&gt;1000000000,ROUND(F140,2)&lt;&gt;F140,AND(G140&lt;&gt;"",ROUND(G140,2)&lt;&gt;G140)),"REVISAR VALOR","OK"))))),"REVISAR VALOR")</f>
        <v>OK</v>
      </c>
    </row>
    <row r="141" spans="1:9" x14ac:dyDescent="0.45">
      <c r="A141" s="4">
        <v>46282</v>
      </c>
      <c r="B141" s="8" t="s">
        <v>77</v>
      </c>
      <c r="C141" s="5">
        <v>1</v>
      </c>
      <c r="D141" s="5">
        <v>0</v>
      </c>
      <c r="E141" s="5">
        <v>0</v>
      </c>
      <c r="F141" s="7">
        <v>299</v>
      </c>
      <c r="G141" s="7">
        <v>104</v>
      </c>
      <c r="H141" s="8" t="s">
        <v>125</v>
      </c>
      <c r="I141" s="12" t="str">
        <f>IFERROR(IF(COUNTA(A141:H141)=0,"",IF(OR(A141="",B141="",C141="",D141="",E141="",F141=""),"FALTA CAMPO",IF(COUNTIFS($A$6:$A$1005,A141,$B$6:$B$1005,B141)&gt;1,"DUPLICADO FECHA-SKU",IF(COUNTIF(CATALOGO!$A$6:$A$105,B141)&lt;&gt;1,"SKU NO VALIDO",IF(OR(A141&lt;DATE(1900,1,1),A141&gt;DATE(2100,12,31),A141&gt;CONFIG!$B$5,C141&lt;0,C141&gt;1000000,D141&lt;0,D141&gt;1000000,E141&lt;0,E141&gt;1000000,E141&gt;D141,ABS(F141)&gt;1000000000,ABS(G141)&gt;1000000000,ROUND(F141,2)&lt;&gt;F141,AND(G141&lt;&gt;"",ROUND(G141,2)&lt;&gt;G141)),"REVISAR VALOR","OK"))))),"REVISAR VALOR")</f>
        <v>OK</v>
      </c>
    </row>
    <row r="142" spans="1:9" x14ac:dyDescent="0.45">
      <c r="A142" s="4">
        <v>46283</v>
      </c>
      <c r="B142" s="8" t="s">
        <v>77</v>
      </c>
      <c r="C142" s="5">
        <v>1</v>
      </c>
      <c r="D142" s="5">
        <v>0</v>
      </c>
      <c r="E142" s="5">
        <v>0</v>
      </c>
      <c r="F142" s="7">
        <v>299</v>
      </c>
      <c r="G142" s="7">
        <v>104</v>
      </c>
      <c r="H142" s="8" t="s">
        <v>126</v>
      </c>
      <c r="I142" s="12" t="str">
        <f>IFERROR(IF(COUNTA(A142:H142)=0,"",IF(OR(A142="",B142="",C142="",D142="",E142="",F142=""),"FALTA CAMPO",IF(COUNTIFS($A$6:$A$1005,A142,$B$6:$B$1005,B142)&gt;1,"DUPLICADO FECHA-SKU",IF(COUNTIF(CATALOGO!$A$6:$A$105,B142)&lt;&gt;1,"SKU NO VALIDO",IF(OR(A142&lt;DATE(1900,1,1),A142&gt;DATE(2100,12,31),A142&gt;CONFIG!$B$5,C142&lt;0,C142&gt;1000000,D142&lt;0,D142&gt;1000000,E142&lt;0,E142&gt;1000000,E142&gt;D142,ABS(F142)&gt;1000000000,ABS(G142)&gt;1000000000,ROUND(F142,2)&lt;&gt;F142,AND(G142&lt;&gt;"",ROUND(G142,2)&lt;&gt;G142)),"REVISAR VALOR","OK"))))),"REVISAR VALOR")</f>
        <v>OK</v>
      </c>
    </row>
    <row r="143" spans="1:9" x14ac:dyDescent="0.45">
      <c r="A143" s="4">
        <v>46284</v>
      </c>
      <c r="B143" s="8" t="s">
        <v>77</v>
      </c>
      <c r="C143" s="5">
        <v>1</v>
      </c>
      <c r="D143" s="5">
        <v>0</v>
      </c>
      <c r="E143" s="5">
        <v>0</v>
      </c>
      <c r="F143" s="7">
        <v>299</v>
      </c>
      <c r="G143" s="7">
        <v>104</v>
      </c>
      <c r="H143" s="8" t="s">
        <v>127</v>
      </c>
      <c r="I143" s="12" t="str">
        <f>IFERROR(IF(COUNTA(A143:H143)=0,"",IF(OR(A143="",B143="",C143="",D143="",E143="",F143=""),"FALTA CAMPO",IF(COUNTIFS($A$6:$A$1005,A143,$B$6:$B$1005,B143)&gt;1,"DUPLICADO FECHA-SKU",IF(COUNTIF(CATALOGO!$A$6:$A$105,B143)&lt;&gt;1,"SKU NO VALIDO",IF(OR(A143&lt;DATE(1900,1,1),A143&gt;DATE(2100,12,31),A143&gt;CONFIG!$B$5,C143&lt;0,C143&gt;1000000,D143&lt;0,D143&gt;1000000,E143&lt;0,E143&gt;1000000,E143&gt;D143,ABS(F143)&gt;1000000000,ABS(G143)&gt;1000000000,ROUND(F143,2)&lt;&gt;F143,AND(G143&lt;&gt;"",ROUND(G143,2)&lt;&gt;G143)),"REVISAR VALOR","OK"))))),"REVISAR VALOR")</f>
        <v>OK</v>
      </c>
    </row>
    <row r="144" spans="1:9" x14ac:dyDescent="0.45">
      <c r="A144" s="4">
        <v>46285</v>
      </c>
      <c r="B144" s="8" t="s">
        <v>77</v>
      </c>
      <c r="C144" s="5">
        <v>1</v>
      </c>
      <c r="D144" s="5">
        <v>0</v>
      </c>
      <c r="E144" s="5">
        <v>0</v>
      </c>
      <c r="F144" s="7">
        <v>299</v>
      </c>
      <c r="G144" s="7">
        <v>104</v>
      </c>
      <c r="H144" s="8" t="s">
        <v>128</v>
      </c>
      <c r="I144" s="12" t="str">
        <f>IFERROR(IF(COUNTA(A144:H144)=0,"",IF(OR(A144="",B144="",C144="",D144="",E144="",F144=""),"FALTA CAMPO",IF(COUNTIFS($A$6:$A$1005,A144,$B$6:$B$1005,B144)&gt;1,"DUPLICADO FECHA-SKU",IF(COUNTIF(CATALOGO!$A$6:$A$105,B144)&lt;&gt;1,"SKU NO VALIDO",IF(OR(A144&lt;DATE(1900,1,1),A144&gt;DATE(2100,12,31),A144&gt;CONFIG!$B$5,C144&lt;0,C144&gt;1000000,D144&lt;0,D144&gt;1000000,E144&lt;0,E144&gt;1000000,E144&gt;D144,ABS(F144)&gt;1000000000,ABS(G144)&gt;1000000000,ROUND(F144,2)&lt;&gt;F144,AND(G144&lt;&gt;"",ROUND(G144,2)&lt;&gt;G144)),"REVISAR VALOR","OK"))))),"REVISAR VALOR")</f>
        <v>OK</v>
      </c>
    </row>
    <row r="145" spans="1:9" x14ac:dyDescent="0.45">
      <c r="A145" s="4">
        <v>46286</v>
      </c>
      <c r="B145" s="8" t="s">
        <v>77</v>
      </c>
      <c r="C145" s="5">
        <v>1</v>
      </c>
      <c r="D145" s="5">
        <v>0</v>
      </c>
      <c r="E145" s="5">
        <v>0</v>
      </c>
      <c r="F145" s="7">
        <v>299</v>
      </c>
      <c r="G145" s="7">
        <v>104</v>
      </c>
      <c r="H145" s="8" t="s">
        <v>129</v>
      </c>
      <c r="I145" s="12" t="str">
        <f>IFERROR(IF(COUNTA(A145:H145)=0,"",IF(OR(A145="",B145="",C145="",D145="",E145="",F145=""),"FALTA CAMPO",IF(COUNTIFS($A$6:$A$1005,A145,$B$6:$B$1005,B145)&gt;1,"DUPLICADO FECHA-SKU",IF(COUNTIF(CATALOGO!$A$6:$A$105,B145)&lt;&gt;1,"SKU NO VALIDO",IF(OR(A145&lt;DATE(1900,1,1),A145&gt;DATE(2100,12,31),A145&gt;CONFIG!$B$5,C145&lt;0,C145&gt;1000000,D145&lt;0,D145&gt;1000000,E145&lt;0,E145&gt;1000000,E145&gt;D145,ABS(F145)&gt;1000000000,ABS(G145)&gt;1000000000,ROUND(F145,2)&lt;&gt;F145,AND(G145&lt;&gt;"",ROUND(G145,2)&lt;&gt;G145)),"REVISAR VALOR","OK"))))),"REVISAR VALOR")</f>
        <v>OK</v>
      </c>
    </row>
    <row r="146" spans="1:9" x14ac:dyDescent="0.45">
      <c r="A146" s="4">
        <v>46259</v>
      </c>
      <c r="B146" s="8" t="s">
        <v>79</v>
      </c>
      <c r="C146" s="5">
        <v>2</v>
      </c>
      <c r="D146" s="5">
        <v>1</v>
      </c>
      <c r="E146" s="5">
        <v>1</v>
      </c>
      <c r="F146" s="7">
        <v>299</v>
      </c>
      <c r="G146" s="7">
        <v>104</v>
      </c>
      <c r="H146" s="8" t="s">
        <v>102</v>
      </c>
      <c r="I146" s="12" t="str">
        <f>IFERROR(IF(COUNTA(A146:H146)=0,"",IF(OR(A146="",B146="",C146="",D146="",E146="",F146=""),"FALTA CAMPO",IF(COUNTIFS($A$6:$A$1005,A146,$B$6:$B$1005,B146)&gt;1,"DUPLICADO FECHA-SKU",IF(COUNTIF(CATALOGO!$A$6:$A$105,B146)&lt;&gt;1,"SKU NO VALIDO",IF(OR(A146&lt;DATE(1900,1,1),A146&gt;DATE(2100,12,31),A146&gt;CONFIG!$B$5,C146&lt;0,C146&gt;1000000,D146&lt;0,D146&gt;1000000,E146&lt;0,E146&gt;1000000,E146&gt;D146,ABS(F146)&gt;1000000000,ABS(G146)&gt;1000000000,ROUND(F146,2)&lt;&gt;F146,AND(G146&lt;&gt;"",ROUND(G146,2)&lt;&gt;G146)),"REVISAR VALOR","OK"))))),"REVISAR VALOR")</f>
        <v>OK</v>
      </c>
    </row>
    <row r="147" spans="1:9" x14ac:dyDescent="0.45">
      <c r="A147" s="4">
        <v>46260</v>
      </c>
      <c r="B147" s="8" t="s">
        <v>79</v>
      </c>
      <c r="C147" s="5">
        <v>2</v>
      </c>
      <c r="D147" s="5">
        <v>0</v>
      </c>
      <c r="E147" s="5">
        <v>0</v>
      </c>
      <c r="F147" s="7">
        <v>598</v>
      </c>
      <c r="G147" s="7">
        <v>208</v>
      </c>
      <c r="H147" s="8" t="s">
        <v>103</v>
      </c>
      <c r="I147" s="12" t="str">
        <f>IFERROR(IF(COUNTA(A147:H147)=0,"",IF(OR(A147="",B147="",C147="",D147="",E147="",F147=""),"FALTA CAMPO",IF(COUNTIFS($A$6:$A$1005,A147,$B$6:$B$1005,B147)&gt;1,"DUPLICADO FECHA-SKU",IF(COUNTIF(CATALOGO!$A$6:$A$105,B147)&lt;&gt;1,"SKU NO VALIDO",IF(OR(A147&lt;DATE(1900,1,1),A147&gt;DATE(2100,12,31),A147&gt;CONFIG!$B$5,C147&lt;0,C147&gt;1000000,D147&lt;0,D147&gt;1000000,E147&lt;0,E147&gt;1000000,E147&gt;D147,ABS(F147)&gt;1000000000,ABS(G147)&gt;1000000000,ROUND(F147,2)&lt;&gt;F147,AND(G147&lt;&gt;"",ROUND(G147,2)&lt;&gt;G147)),"REVISAR VALOR","OK"))))),"REVISAR VALOR")</f>
        <v>OK</v>
      </c>
    </row>
    <row r="148" spans="1:9" x14ac:dyDescent="0.45">
      <c r="A148" s="4">
        <v>46261</v>
      </c>
      <c r="B148" s="8" t="s">
        <v>79</v>
      </c>
      <c r="C148" s="5">
        <v>2</v>
      </c>
      <c r="D148" s="5">
        <v>0</v>
      </c>
      <c r="E148" s="5">
        <v>0</v>
      </c>
      <c r="F148" s="7">
        <v>598</v>
      </c>
      <c r="G148" s="7">
        <v>208</v>
      </c>
      <c r="H148" s="8" t="s">
        <v>104</v>
      </c>
      <c r="I148" s="12" t="str">
        <f>IFERROR(IF(COUNTA(A148:H148)=0,"",IF(OR(A148="",B148="",C148="",D148="",E148="",F148=""),"FALTA CAMPO",IF(COUNTIFS($A$6:$A$1005,A148,$B$6:$B$1005,B148)&gt;1,"DUPLICADO FECHA-SKU",IF(COUNTIF(CATALOGO!$A$6:$A$105,B148)&lt;&gt;1,"SKU NO VALIDO",IF(OR(A148&lt;DATE(1900,1,1),A148&gt;DATE(2100,12,31),A148&gt;CONFIG!$B$5,C148&lt;0,C148&gt;1000000,D148&lt;0,D148&gt;1000000,E148&lt;0,E148&gt;1000000,E148&gt;D148,ABS(F148)&gt;1000000000,ABS(G148)&gt;1000000000,ROUND(F148,2)&lt;&gt;F148,AND(G148&lt;&gt;"",ROUND(G148,2)&lt;&gt;G148)),"REVISAR VALOR","OK"))))),"REVISAR VALOR")</f>
        <v>OK</v>
      </c>
    </row>
    <row r="149" spans="1:9" x14ac:dyDescent="0.45">
      <c r="A149" s="4">
        <v>46262</v>
      </c>
      <c r="B149" s="8" t="s">
        <v>79</v>
      </c>
      <c r="C149" s="5">
        <v>2</v>
      </c>
      <c r="D149" s="5">
        <v>0</v>
      </c>
      <c r="E149" s="5">
        <v>0</v>
      </c>
      <c r="F149" s="7">
        <v>598</v>
      </c>
      <c r="G149" s="7">
        <v>208</v>
      </c>
      <c r="H149" s="8" t="s">
        <v>105</v>
      </c>
      <c r="I149" s="12" t="str">
        <f>IFERROR(IF(COUNTA(A149:H149)=0,"",IF(OR(A149="",B149="",C149="",D149="",E149="",F149=""),"FALTA CAMPO",IF(COUNTIFS($A$6:$A$1005,A149,$B$6:$B$1005,B149)&gt;1,"DUPLICADO FECHA-SKU",IF(COUNTIF(CATALOGO!$A$6:$A$105,B149)&lt;&gt;1,"SKU NO VALIDO",IF(OR(A149&lt;DATE(1900,1,1),A149&gt;DATE(2100,12,31),A149&gt;CONFIG!$B$5,C149&lt;0,C149&gt;1000000,D149&lt;0,D149&gt;1000000,E149&lt;0,E149&gt;1000000,E149&gt;D149,ABS(F149)&gt;1000000000,ABS(G149)&gt;1000000000,ROUND(F149,2)&lt;&gt;F149,AND(G149&lt;&gt;"",ROUND(G149,2)&lt;&gt;G149)),"REVISAR VALOR","OK"))))),"REVISAR VALOR")</f>
        <v>OK</v>
      </c>
    </row>
    <row r="150" spans="1:9" x14ac:dyDescent="0.45">
      <c r="A150" s="4">
        <v>46263</v>
      </c>
      <c r="B150" s="8" t="s">
        <v>79</v>
      </c>
      <c r="C150" s="5">
        <v>1</v>
      </c>
      <c r="D150" s="5">
        <v>0</v>
      </c>
      <c r="E150" s="5">
        <v>0</v>
      </c>
      <c r="F150" s="7">
        <v>299</v>
      </c>
      <c r="G150" s="7">
        <v>104</v>
      </c>
      <c r="H150" s="8" t="s">
        <v>106</v>
      </c>
      <c r="I150" s="12" t="str">
        <f>IFERROR(IF(COUNTA(A150:H150)=0,"",IF(OR(A150="",B150="",C150="",D150="",E150="",F150=""),"FALTA CAMPO",IF(COUNTIFS($A$6:$A$1005,A150,$B$6:$B$1005,B150)&gt;1,"DUPLICADO FECHA-SKU",IF(COUNTIF(CATALOGO!$A$6:$A$105,B150)&lt;&gt;1,"SKU NO VALIDO",IF(OR(A150&lt;DATE(1900,1,1),A150&gt;DATE(2100,12,31),A150&gt;CONFIG!$B$5,C150&lt;0,C150&gt;1000000,D150&lt;0,D150&gt;1000000,E150&lt;0,E150&gt;1000000,E150&gt;D150,ABS(F150)&gt;1000000000,ABS(G150)&gt;1000000000,ROUND(F150,2)&lt;&gt;F150,AND(G150&lt;&gt;"",ROUND(G150,2)&lt;&gt;G150)),"REVISAR VALOR","OK"))))),"REVISAR VALOR")</f>
        <v>OK</v>
      </c>
    </row>
    <row r="151" spans="1:9" x14ac:dyDescent="0.45">
      <c r="A151" s="4">
        <v>46264</v>
      </c>
      <c r="B151" s="8" t="s">
        <v>79</v>
      </c>
      <c r="C151" s="5">
        <v>1</v>
      </c>
      <c r="D151" s="5">
        <v>0</v>
      </c>
      <c r="E151" s="5">
        <v>0</v>
      </c>
      <c r="F151" s="7">
        <v>299</v>
      </c>
      <c r="G151" s="7">
        <v>104</v>
      </c>
      <c r="H151" s="8" t="s">
        <v>107</v>
      </c>
      <c r="I151" s="12" t="str">
        <f>IFERROR(IF(COUNTA(A151:H151)=0,"",IF(OR(A151="",B151="",C151="",D151="",E151="",F151=""),"FALTA CAMPO",IF(COUNTIFS($A$6:$A$1005,A151,$B$6:$B$1005,B151)&gt;1,"DUPLICADO FECHA-SKU",IF(COUNTIF(CATALOGO!$A$6:$A$105,B151)&lt;&gt;1,"SKU NO VALIDO",IF(OR(A151&lt;DATE(1900,1,1),A151&gt;DATE(2100,12,31),A151&gt;CONFIG!$B$5,C151&lt;0,C151&gt;1000000,D151&lt;0,D151&gt;1000000,E151&lt;0,E151&gt;1000000,E151&gt;D151,ABS(F151)&gt;1000000000,ABS(G151)&gt;1000000000,ROUND(F151,2)&lt;&gt;F151,AND(G151&lt;&gt;"",ROUND(G151,2)&lt;&gt;G151)),"REVISAR VALOR","OK"))))),"REVISAR VALOR")</f>
        <v>OK</v>
      </c>
    </row>
    <row r="152" spans="1:9" x14ac:dyDescent="0.45">
      <c r="A152" s="4">
        <v>46265</v>
      </c>
      <c r="B152" s="8" t="s">
        <v>79</v>
      </c>
      <c r="C152" s="5">
        <v>1</v>
      </c>
      <c r="D152" s="5">
        <v>0</v>
      </c>
      <c r="E152" s="5">
        <v>0</v>
      </c>
      <c r="F152" s="7">
        <v>299</v>
      </c>
      <c r="G152" s="7">
        <v>104</v>
      </c>
      <c r="H152" s="8" t="s">
        <v>108</v>
      </c>
      <c r="I152" s="12" t="str">
        <f>IFERROR(IF(COUNTA(A152:H152)=0,"",IF(OR(A152="",B152="",C152="",D152="",E152="",F152=""),"FALTA CAMPO",IF(COUNTIFS($A$6:$A$1005,A152,$B$6:$B$1005,B152)&gt;1,"DUPLICADO FECHA-SKU",IF(COUNTIF(CATALOGO!$A$6:$A$105,B152)&lt;&gt;1,"SKU NO VALIDO",IF(OR(A152&lt;DATE(1900,1,1),A152&gt;DATE(2100,12,31),A152&gt;CONFIG!$B$5,C152&lt;0,C152&gt;1000000,D152&lt;0,D152&gt;1000000,E152&lt;0,E152&gt;1000000,E152&gt;D152,ABS(F152)&gt;1000000000,ABS(G152)&gt;1000000000,ROUND(F152,2)&lt;&gt;F152,AND(G152&lt;&gt;"",ROUND(G152,2)&lt;&gt;G152)),"REVISAR VALOR","OK"))))),"REVISAR VALOR")</f>
        <v>OK</v>
      </c>
    </row>
    <row r="153" spans="1:9" x14ac:dyDescent="0.45">
      <c r="A153" s="4">
        <v>46266</v>
      </c>
      <c r="B153" s="8" t="s">
        <v>79</v>
      </c>
      <c r="C153" s="5">
        <v>1</v>
      </c>
      <c r="D153" s="5">
        <v>0</v>
      </c>
      <c r="E153" s="5">
        <v>0</v>
      </c>
      <c r="F153" s="7">
        <v>299</v>
      </c>
      <c r="G153" s="7">
        <v>104</v>
      </c>
      <c r="H153" s="8" t="s">
        <v>109</v>
      </c>
      <c r="I153" s="12" t="str">
        <f>IFERROR(IF(COUNTA(A153:H153)=0,"",IF(OR(A153="",B153="",C153="",D153="",E153="",F153=""),"FALTA CAMPO",IF(COUNTIFS($A$6:$A$1005,A153,$B$6:$B$1005,B153)&gt;1,"DUPLICADO FECHA-SKU",IF(COUNTIF(CATALOGO!$A$6:$A$105,B153)&lt;&gt;1,"SKU NO VALIDO",IF(OR(A153&lt;DATE(1900,1,1),A153&gt;DATE(2100,12,31),A153&gt;CONFIG!$B$5,C153&lt;0,C153&gt;1000000,D153&lt;0,D153&gt;1000000,E153&lt;0,E153&gt;1000000,E153&gt;D153,ABS(F153)&gt;1000000000,ABS(G153)&gt;1000000000,ROUND(F153,2)&lt;&gt;F153,AND(G153&lt;&gt;"",ROUND(G153,2)&lt;&gt;G153)),"REVISAR VALOR","OK"))))),"REVISAR VALOR")</f>
        <v>OK</v>
      </c>
    </row>
    <row r="154" spans="1:9" x14ac:dyDescent="0.45">
      <c r="A154" s="4">
        <v>46267</v>
      </c>
      <c r="B154" s="8" t="s">
        <v>79</v>
      </c>
      <c r="C154" s="5">
        <v>1</v>
      </c>
      <c r="D154" s="5">
        <v>0</v>
      </c>
      <c r="E154" s="5">
        <v>0</v>
      </c>
      <c r="F154" s="7">
        <v>299</v>
      </c>
      <c r="G154" s="7">
        <v>104</v>
      </c>
      <c r="H154" s="8" t="s">
        <v>110</v>
      </c>
      <c r="I154" s="12" t="str">
        <f>IFERROR(IF(COUNTA(A154:H154)=0,"",IF(OR(A154="",B154="",C154="",D154="",E154="",F154=""),"FALTA CAMPO",IF(COUNTIFS($A$6:$A$1005,A154,$B$6:$B$1005,B154)&gt;1,"DUPLICADO FECHA-SKU",IF(COUNTIF(CATALOGO!$A$6:$A$105,B154)&lt;&gt;1,"SKU NO VALIDO",IF(OR(A154&lt;DATE(1900,1,1),A154&gt;DATE(2100,12,31),A154&gt;CONFIG!$B$5,C154&lt;0,C154&gt;1000000,D154&lt;0,D154&gt;1000000,E154&lt;0,E154&gt;1000000,E154&gt;D154,ABS(F154)&gt;1000000000,ABS(G154)&gt;1000000000,ROUND(F154,2)&lt;&gt;F154,AND(G154&lt;&gt;"",ROUND(G154,2)&lt;&gt;G154)),"REVISAR VALOR","OK"))))),"REVISAR VALOR")</f>
        <v>OK</v>
      </c>
    </row>
    <row r="155" spans="1:9" x14ac:dyDescent="0.45">
      <c r="A155" s="4">
        <v>46268</v>
      </c>
      <c r="B155" s="8" t="s">
        <v>79</v>
      </c>
      <c r="C155" s="5">
        <v>1</v>
      </c>
      <c r="D155" s="5">
        <v>0</v>
      </c>
      <c r="E155" s="5">
        <v>0</v>
      </c>
      <c r="F155" s="7">
        <v>299</v>
      </c>
      <c r="G155" s="7">
        <v>104</v>
      </c>
      <c r="H155" s="8" t="s">
        <v>111</v>
      </c>
      <c r="I155" s="12" t="str">
        <f>IFERROR(IF(COUNTA(A155:H155)=0,"",IF(OR(A155="",B155="",C155="",D155="",E155="",F155=""),"FALTA CAMPO",IF(COUNTIFS($A$6:$A$1005,A155,$B$6:$B$1005,B155)&gt;1,"DUPLICADO FECHA-SKU",IF(COUNTIF(CATALOGO!$A$6:$A$105,B155)&lt;&gt;1,"SKU NO VALIDO",IF(OR(A155&lt;DATE(1900,1,1),A155&gt;DATE(2100,12,31),A155&gt;CONFIG!$B$5,C155&lt;0,C155&gt;1000000,D155&lt;0,D155&gt;1000000,E155&lt;0,E155&gt;1000000,E155&gt;D155,ABS(F155)&gt;1000000000,ABS(G155)&gt;1000000000,ROUND(F155,2)&lt;&gt;F155,AND(G155&lt;&gt;"",ROUND(G155,2)&lt;&gt;G155)),"REVISAR VALOR","OK"))))),"REVISAR VALOR")</f>
        <v>OK</v>
      </c>
    </row>
    <row r="156" spans="1:9" x14ac:dyDescent="0.45">
      <c r="A156" s="4">
        <v>46269</v>
      </c>
      <c r="B156" s="8" t="s">
        <v>79</v>
      </c>
      <c r="C156" s="5">
        <v>1</v>
      </c>
      <c r="D156" s="5">
        <v>0</v>
      </c>
      <c r="E156" s="5">
        <v>0</v>
      </c>
      <c r="F156" s="7">
        <v>299</v>
      </c>
      <c r="G156" s="7">
        <v>104</v>
      </c>
      <c r="H156" s="8" t="s">
        <v>112</v>
      </c>
      <c r="I156" s="12" t="str">
        <f>IFERROR(IF(COUNTA(A156:H156)=0,"",IF(OR(A156="",B156="",C156="",D156="",E156="",F156=""),"FALTA CAMPO",IF(COUNTIFS($A$6:$A$1005,A156,$B$6:$B$1005,B156)&gt;1,"DUPLICADO FECHA-SKU",IF(COUNTIF(CATALOGO!$A$6:$A$105,B156)&lt;&gt;1,"SKU NO VALIDO",IF(OR(A156&lt;DATE(1900,1,1),A156&gt;DATE(2100,12,31),A156&gt;CONFIG!$B$5,C156&lt;0,C156&gt;1000000,D156&lt;0,D156&gt;1000000,E156&lt;0,E156&gt;1000000,E156&gt;D156,ABS(F156)&gt;1000000000,ABS(G156)&gt;1000000000,ROUND(F156,2)&lt;&gt;F156,AND(G156&lt;&gt;"",ROUND(G156,2)&lt;&gt;G156)),"REVISAR VALOR","OK"))))),"REVISAR VALOR")</f>
        <v>OK</v>
      </c>
    </row>
    <row r="157" spans="1:9" x14ac:dyDescent="0.45">
      <c r="A157" s="4">
        <v>46270</v>
      </c>
      <c r="B157" s="8" t="s">
        <v>79</v>
      </c>
      <c r="C157" s="5">
        <v>1</v>
      </c>
      <c r="D157" s="5">
        <v>0</v>
      </c>
      <c r="E157" s="5">
        <v>0</v>
      </c>
      <c r="F157" s="7">
        <v>299</v>
      </c>
      <c r="G157" s="7">
        <v>104</v>
      </c>
      <c r="H157" s="8" t="s">
        <v>113</v>
      </c>
      <c r="I157" s="12" t="str">
        <f>IFERROR(IF(COUNTA(A157:H157)=0,"",IF(OR(A157="",B157="",C157="",D157="",E157="",F157=""),"FALTA CAMPO",IF(COUNTIFS($A$6:$A$1005,A157,$B$6:$B$1005,B157)&gt;1,"DUPLICADO FECHA-SKU",IF(COUNTIF(CATALOGO!$A$6:$A$105,B157)&lt;&gt;1,"SKU NO VALIDO",IF(OR(A157&lt;DATE(1900,1,1),A157&gt;DATE(2100,12,31),A157&gt;CONFIG!$B$5,C157&lt;0,C157&gt;1000000,D157&lt;0,D157&gt;1000000,E157&lt;0,E157&gt;1000000,E157&gt;D157,ABS(F157)&gt;1000000000,ABS(G157)&gt;1000000000,ROUND(F157,2)&lt;&gt;F157,AND(G157&lt;&gt;"",ROUND(G157,2)&lt;&gt;G157)),"REVISAR VALOR","OK"))))),"REVISAR VALOR")</f>
        <v>OK</v>
      </c>
    </row>
    <row r="158" spans="1:9" x14ac:dyDescent="0.45">
      <c r="A158" s="4">
        <v>46271</v>
      </c>
      <c r="B158" s="8" t="s">
        <v>79</v>
      </c>
      <c r="C158" s="5">
        <v>1</v>
      </c>
      <c r="D158" s="5">
        <v>0</v>
      </c>
      <c r="E158" s="5">
        <v>0</v>
      </c>
      <c r="F158" s="7">
        <v>299</v>
      </c>
      <c r="G158" s="7">
        <v>104</v>
      </c>
      <c r="H158" s="8" t="s">
        <v>114</v>
      </c>
      <c r="I158" s="12" t="str">
        <f>IFERROR(IF(COUNTA(A158:H158)=0,"",IF(OR(A158="",B158="",C158="",D158="",E158="",F158=""),"FALTA CAMPO",IF(COUNTIFS($A$6:$A$1005,A158,$B$6:$B$1005,B158)&gt;1,"DUPLICADO FECHA-SKU",IF(COUNTIF(CATALOGO!$A$6:$A$105,B158)&lt;&gt;1,"SKU NO VALIDO",IF(OR(A158&lt;DATE(1900,1,1),A158&gt;DATE(2100,12,31),A158&gt;CONFIG!$B$5,C158&lt;0,C158&gt;1000000,D158&lt;0,D158&gt;1000000,E158&lt;0,E158&gt;1000000,E158&gt;D158,ABS(F158)&gt;1000000000,ABS(G158)&gt;1000000000,ROUND(F158,2)&lt;&gt;F158,AND(G158&lt;&gt;"",ROUND(G158,2)&lt;&gt;G158)),"REVISAR VALOR","OK"))))),"REVISAR VALOR")</f>
        <v>OK</v>
      </c>
    </row>
    <row r="159" spans="1:9" x14ac:dyDescent="0.45">
      <c r="A159" s="4">
        <v>46272</v>
      </c>
      <c r="B159" s="8" t="s">
        <v>79</v>
      </c>
      <c r="C159" s="5">
        <v>1</v>
      </c>
      <c r="D159" s="5">
        <v>0</v>
      </c>
      <c r="E159" s="5">
        <v>0</v>
      </c>
      <c r="F159" s="7">
        <v>299</v>
      </c>
      <c r="G159" s="7">
        <v>104</v>
      </c>
      <c r="H159" s="8" t="s">
        <v>115</v>
      </c>
      <c r="I159" s="12" t="str">
        <f>IFERROR(IF(COUNTA(A159:H159)=0,"",IF(OR(A159="",B159="",C159="",D159="",E159="",F159=""),"FALTA CAMPO",IF(COUNTIFS($A$6:$A$1005,A159,$B$6:$B$1005,B159)&gt;1,"DUPLICADO FECHA-SKU",IF(COUNTIF(CATALOGO!$A$6:$A$105,B159)&lt;&gt;1,"SKU NO VALIDO",IF(OR(A159&lt;DATE(1900,1,1),A159&gt;DATE(2100,12,31),A159&gt;CONFIG!$B$5,C159&lt;0,C159&gt;1000000,D159&lt;0,D159&gt;1000000,E159&lt;0,E159&gt;1000000,E159&gt;D159,ABS(F159)&gt;1000000000,ABS(G159)&gt;1000000000,ROUND(F159,2)&lt;&gt;F159,AND(G159&lt;&gt;"",ROUND(G159,2)&lt;&gt;G159)),"REVISAR VALOR","OK"))))),"REVISAR VALOR")</f>
        <v>OK</v>
      </c>
    </row>
    <row r="160" spans="1:9" x14ac:dyDescent="0.45">
      <c r="A160" s="4">
        <v>46273</v>
      </c>
      <c r="B160" s="8" t="s">
        <v>79</v>
      </c>
      <c r="C160" s="5">
        <v>1</v>
      </c>
      <c r="D160" s="5">
        <v>0</v>
      </c>
      <c r="E160" s="5">
        <v>0</v>
      </c>
      <c r="F160" s="7">
        <v>299</v>
      </c>
      <c r="G160" s="7">
        <v>104</v>
      </c>
      <c r="H160" s="8" t="s">
        <v>116</v>
      </c>
      <c r="I160" s="12" t="str">
        <f>IFERROR(IF(COUNTA(A160:H160)=0,"",IF(OR(A160="",B160="",C160="",D160="",E160="",F160=""),"FALTA CAMPO",IF(COUNTIFS($A$6:$A$1005,A160,$B$6:$B$1005,B160)&gt;1,"DUPLICADO FECHA-SKU",IF(COUNTIF(CATALOGO!$A$6:$A$105,B160)&lt;&gt;1,"SKU NO VALIDO",IF(OR(A160&lt;DATE(1900,1,1),A160&gt;DATE(2100,12,31),A160&gt;CONFIG!$B$5,C160&lt;0,C160&gt;1000000,D160&lt;0,D160&gt;1000000,E160&lt;0,E160&gt;1000000,E160&gt;D160,ABS(F160)&gt;1000000000,ABS(G160)&gt;1000000000,ROUND(F160,2)&lt;&gt;F160,AND(G160&lt;&gt;"",ROUND(G160,2)&lt;&gt;G160)),"REVISAR VALOR","OK"))))),"REVISAR VALOR")</f>
        <v>OK</v>
      </c>
    </row>
    <row r="161" spans="1:9" x14ac:dyDescent="0.45">
      <c r="A161" s="4">
        <v>46274</v>
      </c>
      <c r="B161" s="8" t="s">
        <v>79</v>
      </c>
      <c r="C161" s="5">
        <v>1</v>
      </c>
      <c r="D161" s="5">
        <v>0</v>
      </c>
      <c r="E161" s="5">
        <v>0</v>
      </c>
      <c r="F161" s="7">
        <v>299</v>
      </c>
      <c r="G161" s="7">
        <v>104</v>
      </c>
      <c r="H161" s="8" t="s">
        <v>117</v>
      </c>
      <c r="I161" s="12" t="str">
        <f>IFERROR(IF(COUNTA(A161:H161)=0,"",IF(OR(A161="",B161="",C161="",D161="",E161="",F161=""),"FALTA CAMPO",IF(COUNTIFS($A$6:$A$1005,A161,$B$6:$B$1005,B161)&gt;1,"DUPLICADO FECHA-SKU",IF(COUNTIF(CATALOGO!$A$6:$A$105,B161)&lt;&gt;1,"SKU NO VALIDO",IF(OR(A161&lt;DATE(1900,1,1),A161&gt;DATE(2100,12,31),A161&gt;CONFIG!$B$5,C161&lt;0,C161&gt;1000000,D161&lt;0,D161&gt;1000000,E161&lt;0,E161&gt;1000000,E161&gt;D161,ABS(F161)&gt;1000000000,ABS(G161)&gt;1000000000,ROUND(F161,2)&lt;&gt;F161,AND(G161&lt;&gt;"",ROUND(G161,2)&lt;&gt;G161)),"REVISAR VALOR","OK"))))),"REVISAR VALOR")</f>
        <v>OK</v>
      </c>
    </row>
    <row r="162" spans="1:9" x14ac:dyDescent="0.45">
      <c r="A162" s="4">
        <v>46275</v>
      </c>
      <c r="B162" s="8" t="s">
        <v>79</v>
      </c>
      <c r="C162" s="5">
        <v>1</v>
      </c>
      <c r="D162" s="5">
        <v>0</v>
      </c>
      <c r="E162" s="5">
        <v>0</v>
      </c>
      <c r="F162" s="7">
        <v>299</v>
      </c>
      <c r="G162" s="7">
        <v>104</v>
      </c>
      <c r="H162" s="8" t="s">
        <v>118</v>
      </c>
      <c r="I162" s="12" t="str">
        <f>IFERROR(IF(COUNTA(A162:H162)=0,"",IF(OR(A162="",B162="",C162="",D162="",E162="",F162=""),"FALTA CAMPO",IF(COUNTIFS($A$6:$A$1005,A162,$B$6:$B$1005,B162)&gt;1,"DUPLICADO FECHA-SKU",IF(COUNTIF(CATALOGO!$A$6:$A$105,B162)&lt;&gt;1,"SKU NO VALIDO",IF(OR(A162&lt;DATE(1900,1,1),A162&gt;DATE(2100,12,31),A162&gt;CONFIG!$B$5,C162&lt;0,C162&gt;1000000,D162&lt;0,D162&gt;1000000,E162&lt;0,E162&gt;1000000,E162&gt;D162,ABS(F162)&gt;1000000000,ABS(G162)&gt;1000000000,ROUND(F162,2)&lt;&gt;F162,AND(G162&lt;&gt;"",ROUND(G162,2)&lt;&gt;G162)),"REVISAR VALOR","OK"))))),"REVISAR VALOR")</f>
        <v>OK</v>
      </c>
    </row>
    <row r="163" spans="1:9" x14ac:dyDescent="0.45">
      <c r="A163" s="4">
        <v>46276</v>
      </c>
      <c r="B163" s="8" t="s">
        <v>79</v>
      </c>
      <c r="C163" s="5">
        <v>1</v>
      </c>
      <c r="D163" s="5">
        <v>0</v>
      </c>
      <c r="E163" s="5">
        <v>0</v>
      </c>
      <c r="F163" s="7">
        <v>299</v>
      </c>
      <c r="G163" s="7">
        <v>104</v>
      </c>
      <c r="H163" s="8" t="s">
        <v>119</v>
      </c>
      <c r="I163" s="12" t="str">
        <f>IFERROR(IF(COUNTA(A163:H163)=0,"",IF(OR(A163="",B163="",C163="",D163="",E163="",F163=""),"FALTA CAMPO",IF(COUNTIFS($A$6:$A$1005,A163,$B$6:$B$1005,B163)&gt;1,"DUPLICADO FECHA-SKU",IF(COUNTIF(CATALOGO!$A$6:$A$105,B163)&lt;&gt;1,"SKU NO VALIDO",IF(OR(A163&lt;DATE(1900,1,1),A163&gt;DATE(2100,12,31),A163&gt;CONFIG!$B$5,C163&lt;0,C163&gt;1000000,D163&lt;0,D163&gt;1000000,E163&lt;0,E163&gt;1000000,E163&gt;D163,ABS(F163)&gt;1000000000,ABS(G163)&gt;1000000000,ROUND(F163,2)&lt;&gt;F163,AND(G163&lt;&gt;"",ROUND(G163,2)&lt;&gt;G163)),"REVISAR VALOR","OK"))))),"REVISAR VALOR")</f>
        <v>OK</v>
      </c>
    </row>
    <row r="164" spans="1:9" x14ac:dyDescent="0.45">
      <c r="A164" s="4">
        <v>46277</v>
      </c>
      <c r="B164" s="8" t="s">
        <v>79</v>
      </c>
      <c r="C164" s="5">
        <v>1</v>
      </c>
      <c r="D164" s="5">
        <v>0</v>
      </c>
      <c r="E164" s="5">
        <v>0</v>
      </c>
      <c r="F164" s="7">
        <v>299</v>
      </c>
      <c r="G164" s="7">
        <v>104</v>
      </c>
      <c r="H164" s="8" t="s">
        <v>120</v>
      </c>
      <c r="I164" s="12" t="str">
        <f>IFERROR(IF(COUNTA(A164:H164)=0,"",IF(OR(A164="",B164="",C164="",D164="",E164="",F164=""),"FALTA CAMPO",IF(COUNTIFS($A$6:$A$1005,A164,$B$6:$B$1005,B164)&gt;1,"DUPLICADO FECHA-SKU",IF(COUNTIF(CATALOGO!$A$6:$A$105,B164)&lt;&gt;1,"SKU NO VALIDO",IF(OR(A164&lt;DATE(1900,1,1),A164&gt;DATE(2100,12,31),A164&gt;CONFIG!$B$5,C164&lt;0,C164&gt;1000000,D164&lt;0,D164&gt;1000000,E164&lt;0,E164&gt;1000000,E164&gt;D164,ABS(F164)&gt;1000000000,ABS(G164)&gt;1000000000,ROUND(F164,2)&lt;&gt;F164,AND(G164&lt;&gt;"",ROUND(G164,2)&lt;&gt;G164)),"REVISAR VALOR","OK"))))),"REVISAR VALOR")</f>
        <v>OK</v>
      </c>
    </row>
    <row r="165" spans="1:9" x14ac:dyDescent="0.45">
      <c r="A165" s="4">
        <v>46278</v>
      </c>
      <c r="B165" s="8" t="s">
        <v>79</v>
      </c>
      <c r="C165" s="5">
        <v>1</v>
      </c>
      <c r="D165" s="5">
        <v>0</v>
      </c>
      <c r="E165" s="5">
        <v>0</v>
      </c>
      <c r="F165" s="7">
        <v>299</v>
      </c>
      <c r="G165" s="7">
        <v>104</v>
      </c>
      <c r="H165" s="8" t="s">
        <v>121</v>
      </c>
      <c r="I165" s="12" t="str">
        <f>IFERROR(IF(COUNTA(A165:H165)=0,"",IF(OR(A165="",B165="",C165="",D165="",E165="",F165=""),"FALTA CAMPO",IF(COUNTIFS($A$6:$A$1005,A165,$B$6:$B$1005,B165)&gt;1,"DUPLICADO FECHA-SKU",IF(COUNTIF(CATALOGO!$A$6:$A$105,B165)&lt;&gt;1,"SKU NO VALIDO",IF(OR(A165&lt;DATE(1900,1,1),A165&gt;DATE(2100,12,31),A165&gt;CONFIG!$B$5,C165&lt;0,C165&gt;1000000,D165&lt;0,D165&gt;1000000,E165&lt;0,E165&gt;1000000,E165&gt;D165,ABS(F165)&gt;1000000000,ABS(G165)&gt;1000000000,ROUND(F165,2)&lt;&gt;F165,AND(G165&lt;&gt;"",ROUND(G165,2)&lt;&gt;G165)),"REVISAR VALOR","OK"))))),"REVISAR VALOR")</f>
        <v>OK</v>
      </c>
    </row>
    <row r="166" spans="1:9" x14ac:dyDescent="0.45">
      <c r="A166" s="4">
        <v>46279</v>
      </c>
      <c r="B166" s="8" t="s">
        <v>79</v>
      </c>
      <c r="C166" s="5">
        <v>1</v>
      </c>
      <c r="D166" s="5">
        <v>0</v>
      </c>
      <c r="E166" s="5">
        <v>0</v>
      </c>
      <c r="F166" s="7">
        <v>299</v>
      </c>
      <c r="G166" s="7">
        <v>104</v>
      </c>
      <c r="H166" s="8" t="s">
        <v>122</v>
      </c>
      <c r="I166" s="12" t="str">
        <f>IFERROR(IF(COUNTA(A166:H166)=0,"",IF(OR(A166="",B166="",C166="",D166="",E166="",F166=""),"FALTA CAMPO",IF(COUNTIFS($A$6:$A$1005,A166,$B$6:$B$1005,B166)&gt;1,"DUPLICADO FECHA-SKU",IF(COUNTIF(CATALOGO!$A$6:$A$105,B166)&lt;&gt;1,"SKU NO VALIDO",IF(OR(A166&lt;DATE(1900,1,1),A166&gt;DATE(2100,12,31),A166&gt;CONFIG!$B$5,C166&lt;0,C166&gt;1000000,D166&lt;0,D166&gt;1000000,E166&lt;0,E166&gt;1000000,E166&gt;D166,ABS(F166)&gt;1000000000,ABS(G166)&gt;1000000000,ROUND(F166,2)&lt;&gt;F166,AND(G166&lt;&gt;"",ROUND(G166,2)&lt;&gt;G166)),"REVISAR VALOR","OK"))))),"REVISAR VALOR")</f>
        <v>OK</v>
      </c>
    </row>
    <row r="167" spans="1:9" x14ac:dyDescent="0.45">
      <c r="A167" s="4">
        <v>46280</v>
      </c>
      <c r="B167" s="8" t="s">
        <v>79</v>
      </c>
      <c r="C167" s="5">
        <v>1</v>
      </c>
      <c r="D167" s="5">
        <v>0</v>
      </c>
      <c r="E167" s="5">
        <v>0</v>
      </c>
      <c r="F167" s="7">
        <v>299</v>
      </c>
      <c r="G167" s="7">
        <v>104</v>
      </c>
      <c r="H167" s="8" t="s">
        <v>123</v>
      </c>
      <c r="I167" s="12" t="str">
        <f>IFERROR(IF(COUNTA(A167:H167)=0,"",IF(OR(A167="",B167="",C167="",D167="",E167="",F167=""),"FALTA CAMPO",IF(COUNTIFS($A$6:$A$1005,A167,$B$6:$B$1005,B167)&gt;1,"DUPLICADO FECHA-SKU",IF(COUNTIF(CATALOGO!$A$6:$A$105,B167)&lt;&gt;1,"SKU NO VALIDO",IF(OR(A167&lt;DATE(1900,1,1),A167&gt;DATE(2100,12,31),A167&gt;CONFIG!$B$5,C167&lt;0,C167&gt;1000000,D167&lt;0,D167&gt;1000000,E167&lt;0,E167&gt;1000000,E167&gt;D167,ABS(F167)&gt;1000000000,ABS(G167)&gt;1000000000,ROUND(F167,2)&lt;&gt;F167,AND(G167&lt;&gt;"",ROUND(G167,2)&lt;&gt;G167)),"REVISAR VALOR","OK"))))),"REVISAR VALOR")</f>
        <v>OK</v>
      </c>
    </row>
    <row r="168" spans="1:9" x14ac:dyDescent="0.45">
      <c r="A168" s="4">
        <v>46281</v>
      </c>
      <c r="B168" s="8" t="s">
        <v>79</v>
      </c>
      <c r="C168" s="5">
        <v>1</v>
      </c>
      <c r="D168" s="5">
        <v>0</v>
      </c>
      <c r="E168" s="5">
        <v>0</v>
      </c>
      <c r="F168" s="7">
        <v>299</v>
      </c>
      <c r="G168" s="7">
        <v>104</v>
      </c>
      <c r="H168" s="8" t="s">
        <v>124</v>
      </c>
      <c r="I168" s="12" t="str">
        <f>IFERROR(IF(COUNTA(A168:H168)=0,"",IF(OR(A168="",B168="",C168="",D168="",E168="",F168=""),"FALTA CAMPO",IF(COUNTIFS($A$6:$A$1005,A168,$B$6:$B$1005,B168)&gt;1,"DUPLICADO FECHA-SKU",IF(COUNTIF(CATALOGO!$A$6:$A$105,B168)&lt;&gt;1,"SKU NO VALIDO",IF(OR(A168&lt;DATE(1900,1,1),A168&gt;DATE(2100,12,31),A168&gt;CONFIG!$B$5,C168&lt;0,C168&gt;1000000,D168&lt;0,D168&gt;1000000,E168&lt;0,E168&gt;1000000,E168&gt;D168,ABS(F168)&gt;1000000000,ABS(G168)&gt;1000000000,ROUND(F168,2)&lt;&gt;F168,AND(G168&lt;&gt;"",ROUND(G168,2)&lt;&gt;G168)),"REVISAR VALOR","OK"))))),"REVISAR VALOR")</f>
        <v>OK</v>
      </c>
    </row>
    <row r="169" spans="1:9" x14ac:dyDescent="0.45">
      <c r="A169" s="4">
        <v>46282</v>
      </c>
      <c r="B169" s="8" t="s">
        <v>79</v>
      </c>
      <c r="C169" s="5">
        <v>1</v>
      </c>
      <c r="D169" s="5">
        <v>0</v>
      </c>
      <c r="E169" s="5">
        <v>0</v>
      </c>
      <c r="F169" s="7">
        <v>299</v>
      </c>
      <c r="G169" s="7">
        <v>104</v>
      </c>
      <c r="H169" s="8" t="s">
        <v>125</v>
      </c>
      <c r="I169" s="12" t="str">
        <f>IFERROR(IF(COUNTA(A169:H169)=0,"",IF(OR(A169="",B169="",C169="",D169="",E169="",F169=""),"FALTA CAMPO",IF(COUNTIFS($A$6:$A$1005,A169,$B$6:$B$1005,B169)&gt;1,"DUPLICADO FECHA-SKU",IF(COUNTIF(CATALOGO!$A$6:$A$105,B169)&lt;&gt;1,"SKU NO VALIDO",IF(OR(A169&lt;DATE(1900,1,1),A169&gt;DATE(2100,12,31),A169&gt;CONFIG!$B$5,C169&lt;0,C169&gt;1000000,D169&lt;0,D169&gt;1000000,E169&lt;0,E169&gt;1000000,E169&gt;D169,ABS(F169)&gt;1000000000,ABS(G169)&gt;1000000000,ROUND(F169,2)&lt;&gt;F169,AND(G169&lt;&gt;"",ROUND(G169,2)&lt;&gt;G169)),"REVISAR VALOR","OK"))))),"REVISAR VALOR")</f>
        <v>OK</v>
      </c>
    </row>
    <row r="170" spans="1:9" x14ac:dyDescent="0.45">
      <c r="A170" s="4">
        <v>46283</v>
      </c>
      <c r="B170" s="8" t="s">
        <v>79</v>
      </c>
      <c r="C170" s="5">
        <v>1</v>
      </c>
      <c r="D170" s="5">
        <v>0</v>
      </c>
      <c r="E170" s="5">
        <v>0</v>
      </c>
      <c r="F170" s="7">
        <v>299</v>
      </c>
      <c r="G170" s="7">
        <v>104</v>
      </c>
      <c r="H170" s="8" t="s">
        <v>126</v>
      </c>
      <c r="I170" s="12" t="str">
        <f>IFERROR(IF(COUNTA(A170:H170)=0,"",IF(OR(A170="",B170="",C170="",D170="",E170="",F170=""),"FALTA CAMPO",IF(COUNTIFS($A$6:$A$1005,A170,$B$6:$B$1005,B170)&gt;1,"DUPLICADO FECHA-SKU",IF(COUNTIF(CATALOGO!$A$6:$A$105,B170)&lt;&gt;1,"SKU NO VALIDO",IF(OR(A170&lt;DATE(1900,1,1),A170&gt;DATE(2100,12,31),A170&gt;CONFIG!$B$5,C170&lt;0,C170&gt;1000000,D170&lt;0,D170&gt;1000000,E170&lt;0,E170&gt;1000000,E170&gt;D170,ABS(F170)&gt;1000000000,ABS(G170)&gt;1000000000,ROUND(F170,2)&lt;&gt;F170,AND(G170&lt;&gt;"",ROUND(G170,2)&lt;&gt;G170)),"REVISAR VALOR","OK"))))),"REVISAR VALOR")</f>
        <v>OK</v>
      </c>
    </row>
    <row r="171" spans="1:9" x14ac:dyDescent="0.45">
      <c r="A171" s="4">
        <v>46284</v>
      </c>
      <c r="B171" s="8" t="s">
        <v>79</v>
      </c>
      <c r="C171" s="5">
        <v>1</v>
      </c>
      <c r="D171" s="5">
        <v>0</v>
      </c>
      <c r="E171" s="5">
        <v>0</v>
      </c>
      <c r="F171" s="7">
        <v>299</v>
      </c>
      <c r="G171" s="7">
        <v>104</v>
      </c>
      <c r="H171" s="8" t="s">
        <v>127</v>
      </c>
      <c r="I171" s="12" t="str">
        <f>IFERROR(IF(COUNTA(A171:H171)=0,"",IF(OR(A171="",B171="",C171="",D171="",E171="",F171=""),"FALTA CAMPO",IF(COUNTIFS($A$6:$A$1005,A171,$B$6:$B$1005,B171)&gt;1,"DUPLICADO FECHA-SKU",IF(COUNTIF(CATALOGO!$A$6:$A$105,B171)&lt;&gt;1,"SKU NO VALIDO",IF(OR(A171&lt;DATE(1900,1,1),A171&gt;DATE(2100,12,31),A171&gt;CONFIG!$B$5,C171&lt;0,C171&gt;1000000,D171&lt;0,D171&gt;1000000,E171&lt;0,E171&gt;1000000,E171&gt;D171,ABS(F171)&gt;1000000000,ABS(G171)&gt;1000000000,ROUND(F171,2)&lt;&gt;F171,AND(G171&lt;&gt;"",ROUND(G171,2)&lt;&gt;G171)),"REVISAR VALOR","OK"))))),"REVISAR VALOR")</f>
        <v>OK</v>
      </c>
    </row>
    <row r="172" spans="1:9" x14ac:dyDescent="0.45">
      <c r="A172" s="4">
        <v>46285</v>
      </c>
      <c r="B172" s="8" t="s">
        <v>79</v>
      </c>
      <c r="C172" s="5">
        <v>1</v>
      </c>
      <c r="D172" s="5">
        <v>0</v>
      </c>
      <c r="E172" s="5">
        <v>0</v>
      </c>
      <c r="F172" s="7">
        <v>299</v>
      </c>
      <c r="G172" s="7">
        <v>104</v>
      </c>
      <c r="H172" s="8" t="s">
        <v>128</v>
      </c>
      <c r="I172" s="12" t="str">
        <f>IFERROR(IF(COUNTA(A172:H172)=0,"",IF(OR(A172="",B172="",C172="",D172="",E172="",F172=""),"FALTA CAMPO",IF(COUNTIFS($A$6:$A$1005,A172,$B$6:$B$1005,B172)&gt;1,"DUPLICADO FECHA-SKU",IF(COUNTIF(CATALOGO!$A$6:$A$105,B172)&lt;&gt;1,"SKU NO VALIDO",IF(OR(A172&lt;DATE(1900,1,1),A172&gt;DATE(2100,12,31),A172&gt;CONFIG!$B$5,C172&lt;0,C172&gt;1000000,D172&lt;0,D172&gt;1000000,E172&lt;0,E172&gt;1000000,E172&gt;D172,ABS(F172)&gt;1000000000,ABS(G172)&gt;1000000000,ROUND(F172,2)&lt;&gt;F172,AND(G172&lt;&gt;"",ROUND(G172,2)&lt;&gt;G172)),"REVISAR VALOR","OK"))))),"REVISAR VALOR")</f>
        <v>OK</v>
      </c>
    </row>
    <row r="173" spans="1:9" x14ac:dyDescent="0.45">
      <c r="A173" s="4">
        <v>46286</v>
      </c>
      <c r="B173" s="8" t="s">
        <v>79</v>
      </c>
      <c r="C173" s="5">
        <v>1</v>
      </c>
      <c r="D173" s="5">
        <v>0</v>
      </c>
      <c r="E173" s="5">
        <v>0</v>
      </c>
      <c r="F173" s="7">
        <v>299</v>
      </c>
      <c r="G173" s="7">
        <v>104</v>
      </c>
      <c r="H173" s="8" t="s">
        <v>129</v>
      </c>
      <c r="I173" s="12" t="str">
        <f>IFERROR(IF(COUNTA(A173:H173)=0,"",IF(OR(A173="",B173="",C173="",D173="",E173="",F173=""),"FALTA CAMPO",IF(COUNTIFS($A$6:$A$1005,A173,$B$6:$B$1005,B173)&gt;1,"DUPLICADO FECHA-SKU",IF(COUNTIF(CATALOGO!$A$6:$A$105,B173)&lt;&gt;1,"SKU NO VALIDO",IF(OR(A173&lt;DATE(1900,1,1),A173&gt;DATE(2100,12,31),A173&gt;CONFIG!$B$5,C173&lt;0,C173&gt;1000000,D173&lt;0,D173&gt;1000000,E173&lt;0,E173&gt;1000000,E173&gt;D173,ABS(F173)&gt;1000000000,ABS(G173)&gt;1000000000,ROUND(F173,2)&lt;&gt;F173,AND(G173&lt;&gt;"",ROUND(G173,2)&lt;&gt;G173)),"REVISAR VALOR","OK"))))),"REVISAR VALOR")</f>
        <v>OK</v>
      </c>
    </row>
    <row r="174" spans="1:9" x14ac:dyDescent="0.45">
      <c r="A174" s="4">
        <v>46259</v>
      </c>
      <c r="B174" s="8" t="s">
        <v>81</v>
      </c>
      <c r="C174" s="5">
        <v>2</v>
      </c>
      <c r="D174" s="5">
        <v>1</v>
      </c>
      <c r="E174" s="5">
        <v>0</v>
      </c>
      <c r="F174" s="7">
        <v>299</v>
      </c>
      <c r="G174" s="7">
        <v>208</v>
      </c>
      <c r="H174" s="8" t="s">
        <v>102</v>
      </c>
      <c r="I174" s="12" t="str">
        <f>IFERROR(IF(COUNTA(A174:H174)=0,"",IF(OR(A174="",B174="",C174="",D174="",E174="",F174=""),"FALTA CAMPO",IF(COUNTIFS($A$6:$A$1005,A174,$B$6:$B$1005,B174)&gt;1,"DUPLICADO FECHA-SKU",IF(COUNTIF(CATALOGO!$A$6:$A$105,B174)&lt;&gt;1,"SKU NO VALIDO",IF(OR(A174&lt;DATE(1900,1,1),A174&gt;DATE(2100,12,31),A174&gt;CONFIG!$B$5,C174&lt;0,C174&gt;1000000,D174&lt;0,D174&gt;1000000,E174&lt;0,E174&gt;1000000,E174&gt;D174,ABS(F174)&gt;1000000000,ABS(G174)&gt;1000000000,ROUND(F174,2)&lt;&gt;F174,AND(G174&lt;&gt;"",ROUND(G174,2)&lt;&gt;G174)),"REVISAR VALOR","OK"))))),"REVISAR VALOR")</f>
        <v>OK</v>
      </c>
    </row>
    <row r="175" spans="1:9" x14ac:dyDescent="0.45">
      <c r="A175" s="4">
        <v>46260</v>
      </c>
      <c r="B175" s="8" t="s">
        <v>81</v>
      </c>
      <c r="C175" s="5">
        <v>2</v>
      </c>
      <c r="D175" s="5">
        <v>0</v>
      </c>
      <c r="E175" s="5">
        <v>0</v>
      </c>
      <c r="F175" s="7">
        <v>598</v>
      </c>
      <c r="G175" s="7">
        <v>208</v>
      </c>
      <c r="H175" s="8" t="s">
        <v>103</v>
      </c>
      <c r="I175" s="12" t="str">
        <f>IFERROR(IF(COUNTA(A175:H175)=0,"",IF(OR(A175="",B175="",C175="",D175="",E175="",F175=""),"FALTA CAMPO",IF(COUNTIFS($A$6:$A$1005,A175,$B$6:$B$1005,B175)&gt;1,"DUPLICADO FECHA-SKU",IF(COUNTIF(CATALOGO!$A$6:$A$105,B175)&lt;&gt;1,"SKU NO VALIDO",IF(OR(A175&lt;DATE(1900,1,1),A175&gt;DATE(2100,12,31),A175&gt;CONFIG!$B$5,C175&lt;0,C175&gt;1000000,D175&lt;0,D175&gt;1000000,E175&lt;0,E175&gt;1000000,E175&gt;D175,ABS(F175)&gt;1000000000,ABS(G175)&gt;1000000000,ROUND(F175,2)&lt;&gt;F175,AND(G175&lt;&gt;"",ROUND(G175,2)&lt;&gt;G175)),"REVISAR VALOR","OK"))))),"REVISAR VALOR")</f>
        <v>OK</v>
      </c>
    </row>
    <row r="176" spans="1:9" x14ac:dyDescent="0.45">
      <c r="A176" s="4">
        <v>46261</v>
      </c>
      <c r="B176" s="8" t="s">
        <v>81</v>
      </c>
      <c r="C176" s="5">
        <v>1</v>
      </c>
      <c r="D176" s="5">
        <v>0</v>
      </c>
      <c r="E176" s="5">
        <v>0</v>
      </c>
      <c r="F176" s="7">
        <v>299</v>
      </c>
      <c r="G176" s="7">
        <v>104</v>
      </c>
      <c r="H176" s="8" t="s">
        <v>104</v>
      </c>
      <c r="I176" s="12" t="str">
        <f>IFERROR(IF(COUNTA(A176:H176)=0,"",IF(OR(A176="",B176="",C176="",D176="",E176="",F176=""),"FALTA CAMPO",IF(COUNTIFS($A$6:$A$1005,A176,$B$6:$B$1005,B176)&gt;1,"DUPLICADO FECHA-SKU",IF(COUNTIF(CATALOGO!$A$6:$A$105,B176)&lt;&gt;1,"SKU NO VALIDO",IF(OR(A176&lt;DATE(1900,1,1),A176&gt;DATE(2100,12,31),A176&gt;CONFIG!$B$5,C176&lt;0,C176&gt;1000000,D176&lt;0,D176&gt;1000000,E176&lt;0,E176&gt;1000000,E176&gt;D176,ABS(F176)&gt;1000000000,ABS(G176)&gt;1000000000,ROUND(F176,2)&lt;&gt;F176,AND(G176&lt;&gt;"",ROUND(G176,2)&lt;&gt;G176)),"REVISAR VALOR","OK"))))),"REVISAR VALOR")</f>
        <v>OK</v>
      </c>
    </row>
    <row r="177" spans="1:9" x14ac:dyDescent="0.45">
      <c r="A177" s="4">
        <v>46262</v>
      </c>
      <c r="B177" s="8" t="s">
        <v>81</v>
      </c>
      <c r="C177" s="5">
        <v>1</v>
      </c>
      <c r="D177" s="5">
        <v>0</v>
      </c>
      <c r="E177" s="5">
        <v>0</v>
      </c>
      <c r="F177" s="7">
        <v>299</v>
      </c>
      <c r="G177" s="7">
        <v>104</v>
      </c>
      <c r="H177" s="8" t="s">
        <v>105</v>
      </c>
      <c r="I177" s="12" t="str">
        <f>IFERROR(IF(COUNTA(A177:H177)=0,"",IF(OR(A177="",B177="",C177="",D177="",E177="",F177=""),"FALTA CAMPO",IF(COUNTIFS($A$6:$A$1005,A177,$B$6:$B$1005,B177)&gt;1,"DUPLICADO FECHA-SKU",IF(COUNTIF(CATALOGO!$A$6:$A$105,B177)&lt;&gt;1,"SKU NO VALIDO",IF(OR(A177&lt;DATE(1900,1,1),A177&gt;DATE(2100,12,31),A177&gt;CONFIG!$B$5,C177&lt;0,C177&gt;1000000,D177&lt;0,D177&gt;1000000,E177&lt;0,E177&gt;1000000,E177&gt;D177,ABS(F177)&gt;1000000000,ABS(G177)&gt;1000000000,ROUND(F177,2)&lt;&gt;F177,AND(G177&lt;&gt;"",ROUND(G177,2)&lt;&gt;G177)),"REVISAR VALOR","OK"))))),"REVISAR VALOR")</f>
        <v>OK</v>
      </c>
    </row>
    <row r="178" spans="1:9" x14ac:dyDescent="0.45">
      <c r="A178" s="4">
        <v>46263</v>
      </c>
      <c r="B178" s="8" t="s">
        <v>81</v>
      </c>
      <c r="C178" s="5">
        <v>1</v>
      </c>
      <c r="D178" s="5">
        <v>0</v>
      </c>
      <c r="E178" s="5">
        <v>0</v>
      </c>
      <c r="F178" s="7">
        <v>299</v>
      </c>
      <c r="G178" s="7">
        <v>104</v>
      </c>
      <c r="H178" s="8" t="s">
        <v>106</v>
      </c>
      <c r="I178" s="12" t="str">
        <f>IFERROR(IF(COUNTA(A178:H178)=0,"",IF(OR(A178="",B178="",C178="",D178="",E178="",F178=""),"FALTA CAMPO",IF(COUNTIFS($A$6:$A$1005,A178,$B$6:$B$1005,B178)&gt;1,"DUPLICADO FECHA-SKU",IF(COUNTIF(CATALOGO!$A$6:$A$105,B178)&lt;&gt;1,"SKU NO VALIDO",IF(OR(A178&lt;DATE(1900,1,1),A178&gt;DATE(2100,12,31),A178&gt;CONFIG!$B$5,C178&lt;0,C178&gt;1000000,D178&lt;0,D178&gt;1000000,E178&lt;0,E178&gt;1000000,E178&gt;D178,ABS(F178)&gt;1000000000,ABS(G178)&gt;1000000000,ROUND(F178,2)&lt;&gt;F178,AND(G178&lt;&gt;"",ROUND(G178,2)&lt;&gt;G178)),"REVISAR VALOR","OK"))))),"REVISAR VALOR")</f>
        <v>OK</v>
      </c>
    </row>
    <row r="179" spans="1:9" x14ac:dyDescent="0.45">
      <c r="A179" s="4">
        <v>46264</v>
      </c>
      <c r="B179" s="8" t="s">
        <v>81</v>
      </c>
      <c r="C179" s="5">
        <v>1</v>
      </c>
      <c r="D179" s="5">
        <v>0</v>
      </c>
      <c r="E179" s="5">
        <v>0</v>
      </c>
      <c r="F179" s="7">
        <v>299</v>
      </c>
      <c r="G179" s="7">
        <v>104</v>
      </c>
      <c r="H179" s="8" t="s">
        <v>107</v>
      </c>
      <c r="I179" s="12" t="str">
        <f>IFERROR(IF(COUNTA(A179:H179)=0,"",IF(OR(A179="",B179="",C179="",D179="",E179="",F179=""),"FALTA CAMPO",IF(COUNTIFS($A$6:$A$1005,A179,$B$6:$B$1005,B179)&gt;1,"DUPLICADO FECHA-SKU",IF(COUNTIF(CATALOGO!$A$6:$A$105,B179)&lt;&gt;1,"SKU NO VALIDO",IF(OR(A179&lt;DATE(1900,1,1),A179&gt;DATE(2100,12,31),A179&gt;CONFIG!$B$5,C179&lt;0,C179&gt;1000000,D179&lt;0,D179&gt;1000000,E179&lt;0,E179&gt;1000000,E179&gt;D179,ABS(F179)&gt;1000000000,ABS(G179)&gt;1000000000,ROUND(F179,2)&lt;&gt;F179,AND(G179&lt;&gt;"",ROUND(G179,2)&lt;&gt;G179)),"REVISAR VALOR","OK"))))),"REVISAR VALOR")</f>
        <v>OK</v>
      </c>
    </row>
    <row r="180" spans="1:9" x14ac:dyDescent="0.45">
      <c r="A180" s="4">
        <v>46265</v>
      </c>
      <c r="B180" s="8" t="s">
        <v>81</v>
      </c>
      <c r="C180" s="5">
        <v>1</v>
      </c>
      <c r="D180" s="5">
        <v>0</v>
      </c>
      <c r="E180" s="5">
        <v>0</v>
      </c>
      <c r="F180" s="7">
        <v>299</v>
      </c>
      <c r="G180" s="7">
        <v>104</v>
      </c>
      <c r="H180" s="8" t="s">
        <v>108</v>
      </c>
      <c r="I180" s="12" t="str">
        <f>IFERROR(IF(COUNTA(A180:H180)=0,"",IF(OR(A180="",B180="",C180="",D180="",E180="",F180=""),"FALTA CAMPO",IF(COUNTIFS($A$6:$A$1005,A180,$B$6:$B$1005,B180)&gt;1,"DUPLICADO FECHA-SKU",IF(COUNTIF(CATALOGO!$A$6:$A$105,B180)&lt;&gt;1,"SKU NO VALIDO",IF(OR(A180&lt;DATE(1900,1,1),A180&gt;DATE(2100,12,31),A180&gt;CONFIG!$B$5,C180&lt;0,C180&gt;1000000,D180&lt;0,D180&gt;1000000,E180&lt;0,E180&gt;1000000,E180&gt;D180,ABS(F180)&gt;1000000000,ABS(G180)&gt;1000000000,ROUND(F180,2)&lt;&gt;F180,AND(G180&lt;&gt;"",ROUND(G180,2)&lt;&gt;G180)),"REVISAR VALOR","OK"))))),"REVISAR VALOR")</f>
        <v>OK</v>
      </c>
    </row>
    <row r="181" spans="1:9" x14ac:dyDescent="0.45">
      <c r="A181" s="4">
        <v>46266</v>
      </c>
      <c r="B181" s="8" t="s">
        <v>81</v>
      </c>
      <c r="C181" s="5">
        <v>1</v>
      </c>
      <c r="D181" s="5">
        <v>0</v>
      </c>
      <c r="E181" s="5">
        <v>0</v>
      </c>
      <c r="F181" s="7">
        <v>299</v>
      </c>
      <c r="G181" s="7">
        <v>104</v>
      </c>
      <c r="H181" s="8" t="s">
        <v>109</v>
      </c>
      <c r="I181" s="12" t="str">
        <f>IFERROR(IF(COUNTA(A181:H181)=0,"",IF(OR(A181="",B181="",C181="",D181="",E181="",F181=""),"FALTA CAMPO",IF(COUNTIFS($A$6:$A$1005,A181,$B$6:$B$1005,B181)&gt;1,"DUPLICADO FECHA-SKU",IF(COUNTIF(CATALOGO!$A$6:$A$105,B181)&lt;&gt;1,"SKU NO VALIDO",IF(OR(A181&lt;DATE(1900,1,1),A181&gt;DATE(2100,12,31),A181&gt;CONFIG!$B$5,C181&lt;0,C181&gt;1000000,D181&lt;0,D181&gt;1000000,E181&lt;0,E181&gt;1000000,E181&gt;D181,ABS(F181)&gt;1000000000,ABS(G181)&gt;1000000000,ROUND(F181,2)&lt;&gt;F181,AND(G181&lt;&gt;"",ROUND(G181,2)&lt;&gt;G181)),"REVISAR VALOR","OK"))))),"REVISAR VALOR")</f>
        <v>OK</v>
      </c>
    </row>
    <row r="182" spans="1:9" x14ac:dyDescent="0.45">
      <c r="A182" s="4">
        <v>46267</v>
      </c>
      <c r="B182" s="8" t="s">
        <v>81</v>
      </c>
      <c r="C182" s="5">
        <v>1</v>
      </c>
      <c r="D182" s="5">
        <v>0</v>
      </c>
      <c r="E182" s="5">
        <v>0</v>
      </c>
      <c r="F182" s="7">
        <v>299</v>
      </c>
      <c r="G182" s="7">
        <v>104</v>
      </c>
      <c r="H182" s="8" t="s">
        <v>110</v>
      </c>
      <c r="I182" s="12" t="str">
        <f>IFERROR(IF(COUNTA(A182:H182)=0,"",IF(OR(A182="",B182="",C182="",D182="",E182="",F182=""),"FALTA CAMPO",IF(COUNTIFS($A$6:$A$1005,A182,$B$6:$B$1005,B182)&gt;1,"DUPLICADO FECHA-SKU",IF(COUNTIF(CATALOGO!$A$6:$A$105,B182)&lt;&gt;1,"SKU NO VALIDO",IF(OR(A182&lt;DATE(1900,1,1),A182&gt;DATE(2100,12,31),A182&gt;CONFIG!$B$5,C182&lt;0,C182&gt;1000000,D182&lt;0,D182&gt;1000000,E182&lt;0,E182&gt;1000000,E182&gt;D182,ABS(F182)&gt;1000000000,ABS(G182)&gt;1000000000,ROUND(F182,2)&lt;&gt;F182,AND(G182&lt;&gt;"",ROUND(G182,2)&lt;&gt;G182)),"REVISAR VALOR","OK"))))),"REVISAR VALOR")</f>
        <v>OK</v>
      </c>
    </row>
    <row r="183" spans="1:9" x14ac:dyDescent="0.45">
      <c r="A183" s="4">
        <v>46268</v>
      </c>
      <c r="B183" s="8" t="s">
        <v>81</v>
      </c>
      <c r="C183" s="5">
        <v>1</v>
      </c>
      <c r="D183" s="5">
        <v>0</v>
      </c>
      <c r="E183" s="5">
        <v>0</v>
      </c>
      <c r="F183" s="7">
        <v>299</v>
      </c>
      <c r="G183" s="7">
        <v>104</v>
      </c>
      <c r="H183" s="8" t="s">
        <v>111</v>
      </c>
      <c r="I183" s="12" t="str">
        <f>IFERROR(IF(COUNTA(A183:H183)=0,"",IF(OR(A183="",B183="",C183="",D183="",E183="",F183=""),"FALTA CAMPO",IF(COUNTIFS($A$6:$A$1005,A183,$B$6:$B$1005,B183)&gt;1,"DUPLICADO FECHA-SKU",IF(COUNTIF(CATALOGO!$A$6:$A$105,B183)&lt;&gt;1,"SKU NO VALIDO",IF(OR(A183&lt;DATE(1900,1,1),A183&gt;DATE(2100,12,31),A183&gt;CONFIG!$B$5,C183&lt;0,C183&gt;1000000,D183&lt;0,D183&gt;1000000,E183&lt;0,E183&gt;1000000,E183&gt;D183,ABS(F183)&gt;1000000000,ABS(G183)&gt;1000000000,ROUND(F183,2)&lt;&gt;F183,AND(G183&lt;&gt;"",ROUND(G183,2)&lt;&gt;G183)),"REVISAR VALOR","OK"))))),"REVISAR VALOR")</f>
        <v>OK</v>
      </c>
    </row>
    <row r="184" spans="1:9" x14ac:dyDescent="0.45">
      <c r="A184" s="4">
        <v>46269</v>
      </c>
      <c r="B184" s="8" t="s">
        <v>81</v>
      </c>
      <c r="C184" s="5">
        <v>1</v>
      </c>
      <c r="D184" s="5">
        <v>0</v>
      </c>
      <c r="E184" s="5">
        <v>0</v>
      </c>
      <c r="F184" s="7">
        <v>299</v>
      </c>
      <c r="G184" s="7">
        <v>104</v>
      </c>
      <c r="H184" s="8" t="s">
        <v>112</v>
      </c>
      <c r="I184" s="12" t="str">
        <f>IFERROR(IF(COUNTA(A184:H184)=0,"",IF(OR(A184="",B184="",C184="",D184="",E184="",F184=""),"FALTA CAMPO",IF(COUNTIFS($A$6:$A$1005,A184,$B$6:$B$1005,B184)&gt;1,"DUPLICADO FECHA-SKU",IF(COUNTIF(CATALOGO!$A$6:$A$105,B184)&lt;&gt;1,"SKU NO VALIDO",IF(OR(A184&lt;DATE(1900,1,1),A184&gt;DATE(2100,12,31),A184&gt;CONFIG!$B$5,C184&lt;0,C184&gt;1000000,D184&lt;0,D184&gt;1000000,E184&lt;0,E184&gt;1000000,E184&gt;D184,ABS(F184)&gt;1000000000,ABS(G184)&gt;1000000000,ROUND(F184,2)&lt;&gt;F184,AND(G184&lt;&gt;"",ROUND(G184,2)&lt;&gt;G184)),"REVISAR VALOR","OK"))))),"REVISAR VALOR")</f>
        <v>OK</v>
      </c>
    </row>
    <row r="185" spans="1:9" x14ac:dyDescent="0.45">
      <c r="A185" s="4">
        <v>46270</v>
      </c>
      <c r="B185" s="8" t="s">
        <v>81</v>
      </c>
      <c r="C185" s="5">
        <v>1</v>
      </c>
      <c r="D185" s="5">
        <v>0</v>
      </c>
      <c r="E185" s="5">
        <v>0</v>
      </c>
      <c r="F185" s="7">
        <v>299</v>
      </c>
      <c r="G185" s="7">
        <v>104</v>
      </c>
      <c r="H185" s="8" t="s">
        <v>113</v>
      </c>
      <c r="I185" s="12" t="str">
        <f>IFERROR(IF(COUNTA(A185:H185)=0,"",IF(OR(A185="",B185="",C185="",D185="",E185="",F185=""),"FALTA CAMPO",IF(COUNTIFS($A$6:$A$1005,A185,$B$6:$B$1005,B185)&gt;1,"DUPLICADO FECHA-SKU",IF(COUNTIF(CATALOGO!$A$6:$A$105,B185)&lt;&gt;1,"SKU NO VALIDO",IF(OR(A185&lt;DATE(1900,1,1),A185&gt;DATE(2100,12,31),A185&gt;CONFIG!$B$5,C185&lt;0,C185&gt;1000000,D185&lt;0,D185&gt;1000000,E185&lt;0,E185&gt;1000000,E185&gt;D185,ABS(F185)&gt;1000000000,ABS(G185)&gt;1000000000,ROUND(F185,2)&lt;&gt;F185,AND(G185&lt;&gt;"",ROUND(G185,2)&lt;&gt;G185)),"REVISAR VALOR","OK"))))),"REVISAR VALOR")</f>
        <v>OK</v>
      </c>
    </row>
    <row r="186" spans="1:9" x14ac:dyDescent="0.45">
      <c r="A186" s="4">
        <v>46271</v>
      </c>
      <c r="B186" s="8" t="s">
        <v>81</v>
      </c>
      <c r="C186" s="5">
        <v>1</v>
      </c>
      <c r="D186" s="5">
        <v>0</v>
      </c>
      <c r="E186" s="5">
        <v>0</v>
      </c>
      <c r="F186" s="7">
        <v>299</v>
      </c>
      <c r="G186" s="7">
        <v>104</v>
      </c>
      <c r="H186" s="8" t="s">
        <v>114</v>
      </c>
      <c r="I186" s="12" t="str">
        <f>IFERROR(IF(COUNTA(A186:H186)=0,"",IF(OR(A186="",B186="",C186="",D186="",E186="",F186=""),"FALTA CAMPO",IF(COUNTIFS($A$6:$A$1005,A186,$B$6:$B$1005,B186)&gt;1,"DUPLICADO FECHA-SKU",IF(COUNTIF(CATALOGO!$A$6:$A$105,B186)&lt;&gt;1,"SKU NO VALIDO",IF(OR(A186&lt;DATE(1900,1,1),A186&gt;DATE(2100,12,31),A186&gt;CONFIG!$B$5,C186&lt;0,C186&gt;1000000,D186&lt;0,D186&gt;1000000,E186&lt;0,E186&gt;1000000,E186&gt;D186,ABS(F186)&gt;1000000000,ABS(G186)&gt;1000000000,ROUND(F186,2)&lt;&gt;F186,AND(G186&lt;&gt;"",ROUND(G186,2)&lt;&gt;G186)),"REVISAR VALOR","OK"))))),"REVISAR VALOR")</f>
        <v>OK</v>
      </c>
    </row>
    <row r="187" spans="1:9" x14ac:dyDescent="0.45">
      <c r="A187" s="4">
        <v>46272</v>
      </c>
      <c r="B187" s="8" t="s">
        <v>81</v>
      </c>
      <c r="C187" s="5">
        <v>1</v>
      </c>
      <c r="D187" s="5">
        <v>0</v>
      </c>
      <c r="E187" s="5">
        <v>0</v>
      </c>
      <c r="F187" s="7">
        <v>299</v>
      </c>
      <c r="G187" s="7">
        <v>104</v>
      </c>
      <c r="H187" s="8" t="s">
        <v>115</v>
      </c>
      <c r="I187" s="12" t="str">
        <f>IFERROR(IF(COUNTA(A187:H187)=0,"",IF(OR(A187="",B187="",C187="",D187="",E187="",F187=""),"FALTA CAMPO",IF(COUNTIFS($A$6:$A$1005,A187,$B$6:$B$1005,B187)&gt;1,"DUPLICADO FECHA-SKU",IF(COUNTIF(CATALOGO!$A$6:$A$105,B187)&lt;&gt;1,"SKU NO VALIDO",IF(OR(A187&lt;DATE(1900,1,1),A187&gt;DATE(2100,12,31),A187&gt;CONFIG!$B$5,C187&lt;0,C187&gt;1000000,D187&lt;0,D187&gt;1000000,E187&lt;0,E187&gt;1000000,E187&gt;D187,ABS(F187)&gt;1000000000,ABS(G187)&gt;1000000000,ROUND(F187,2)&lt;&gt;F187,AND(G187&lt;&gt;"",ROUND(G187,2)&lt;&gt;G187)),"REVISAR VALOR","OK"))))),"REVISAR VALOR")</f>
        <v>OK</v>
      </c>
    </row>
    <row r="188" spans="1:9" x14ac:dyDescent="0.45">
      <c r="A188" s="4">
        <v>46273</v>
      </c>
      <c r="B188" s="8" t="s">
        <v>81</v>
      </c>
      <c r="C188" s="5">
        <v>1</v>
      </c>
      <c r="D188" s="5">
        <v>0</v>
      </c>
      <c r="E188" s="5">
        <v>0</v>
      </c>
      <c r="F188" s="7">
        <v>299</v>
      </c>
      <c r="G188" s="7">
        <v>104</v>
      </c>
      <c r="H188" s="8" t="s">
        <v>116</v>
      </c>
      <c r="I188" s="12" t="str">
        <f>IFERROR(IF(COUNTA(A188:H188)=0,"",IF(OR(A188="",B188="",C188="",D188="",E188="",F188=""),"FALTA CAMPO",IF(COUNTIFS($A$6:$A$1005,A188,$B$6:$B$1005,B188)&gt;1,"DUPLICADO FECHA-SKU",IF(COUNTIF(CATALOGO!$A$6:$A$105,B188)&lt;&gt;1,"SKU NO VALIDO",IF(OR(A188&lt;DATE(1900,1,1),A188&gt;DATE(2100,12,31),A188&gt;CONFIG!$B$5,C188&lt;0,C188&gt;1000000,D188&lt;0,D188&gt;1000000,E188&lt;0,E188&gt;1000000,E188&gt;D188,ABS(F188)&gt;1000000000,ABS(G188)&gt;1000000000,ROUND(F188,2)&lt;&gt;F188,AND(G188&lt;&gt;"",ROUND(G188,2)&lt;&gt;G188)),"REVISAR VALOR","OK"))))),"REVISAR VALOR")</f>
        <v>OK</v>
      </c>
    </row>
    <row r="189" spans="1:9" x14ac:dyDescent="0.45">
      <c r="A189" s="4">
        <v>46274</v>
      </c>
      <c r="B189" s="8" t="s">
        <v>81</v>
      </c>
      <c r="C189" s="5">
        <v>1</v>
      </c>
      <c r="D189" s="5">
        <v>0</v>
      </c>
      <c r="E189" s="5">
        <v>0</v>
      </c>
      <c r="F189" s="7">
        <v>299</v>
      </c>
      <c r="G189" s="7">
        <v>104</v>
      </c>
      <c r="H189" s="8" t="s">
        <v>117</v>
      </c>
      <c r="I189" s="12" t="str">
        <f>IFERROR(IF(COUNTA(A189:H189)=0,"",IF(OR(A189="",B189="",C189="",D189="",E189="",F189=""),"FALTA CAMPO",IF(COUNTIFS($A$6:$A$1005,A189,$B$6:$B$1005,B189)&gt;1,"DUPLICADO FECHA-SKU",IF(COUNTIF(CATALOGO!$A$6:$A$105,B189)&lt;&gt;1,"SKU NO VALIDO",IF(OR(A189&lt;DATE(1900,1,1),A189&gt;DATE(2100,12,31),A189&gt;CONFIG!$B$5,C189&lt;0,C189&gt;1000000,D189&lt;0,D189&gt;1000000,E189&lt;0,E189&gt;1000000,E189&gt;D189,ABS(F189)&gt;1000000000,ABS(G189)&gt;1000000000,ROUND(F189,2)&lt;&gt;F189,AND(G189&lt;&gt;"",ROUND(G189,2)&lt;&gt;G189)),"REVISAR VALOR","OK"))))),"REVISAR VALOR")</f>
        <v>OK</v>
      </c>
    </row>
    <row r="190" spans="1:9" x14ac:dyDescent="0.45">
      <c r="A190" s="4">
        <v>46275</v>
      </c>
      <c r="B190" s="8" t="s">
        <v>81</v>
      </c>
      <c r="C190" s="5">
        <v>1</v>
      </c>
      <c r="D190" s="5">
        <v>0</v>
      </c>
      <c r="E190" s="5">
        <v>0</v>
      </c>
      <c r="F190" s="7">
        <v>299</v>
      </c>
      <c r="G190" s="7">
        <v>104</v>
      </c>
      <c r="H190" s="8" t="s">
        <v>118</v>
      </c>
      <c r="I190" s="12" t="str">
        <f>IFERROR(IF(COUNTA(A190:H190)=0,"",IF(OR(A190="",B190="",C190="",D190="",E190="",F190=""),"FALTA CAMPO",IF(COUNTIFS($A$6:$A$1005,A190,$B$6:$B$1005,B190)&gt;1,"DUPLICADO FECHA-SKU",IF(COUNTIF(CATALOGO!$A$6:$A$105,B190)&lt;&gt;1,"SKU NO VALIDO",IF(OR(A190&lt;DATE(1900,1,1),A190&gt;DATE(2100,12,31),A190&gt;CONFIG!$B$5,C190&lt;0,C190&gt;1000000,D190&lt;0,D190&gt;1000000,E190&lt;0,E190&gt;1000000,E190&gt;D190,ABS(F190)&gt;1000000000,ABS(G190)&gt;1000000000,ROUND(F190,2)&lt;&gt;F190,AND(G190&lt;&gt;"",ROUND(G190,2)&lt;&gt;G190)),"REVISAR VALOR","OK"))))),"REVISAR VALOR")</f>
        <v>OK</v>
      </c>
    </row>
    <row r="191" spans="1:9" x14ac:dyDescent="0.45">
      <c r="A191" s="4">
        <v>46276</v>
      </c>
      <c r="B191" s="8" t="s">
        <v>81</v>
      </c>
      <c r="C191" s="5">
        <v>1</v>
      </c>
      <c r="D191" s="5">
        <v>0</v>
      </c>
      <c r="E191" s="5">
        <v>0</v>
      </c>
      <c r="F191" s="7">
        <v>299</v>
      </c>
      <c r="G191" s="7">
        <v>104</v>
      </c>
      <c r="H191" s="8" t="s">
        <v>119</v>
      </c>
      <c r="I191" s="12" t="str">
        <f>IFERROR(IF(COUNTA(A191:H191)=0,"",IF(OR(A191="",B191="",C191="",D191="",E191="",F191=""),"FALTA CAMPO",IF(COUNTIFS($A$6:$A$1005,A191,$B$6:$B$1005,B191)&gt;1,"DUPLICADO FECHA-SKU",IF(COUNTIF(CATALOGO!$A$6:$A$105,B191)&lt;&gt;1,"SKU NO VALIDO",IF(OR(A191&lt;DATE(1900,1,1),A191&gt;DATE(2100,12,31),A191&gt;CONFIG!$B$5,C191&lt;0,C191&gt;1000000,D191&lt;0,D191&gt;1000000,E191&lt;0,E191&gt;1000000,E191&gt;D191,ABS(F191)&gt;1000000000,ABS(G191)&gt;1000000000,ROUND(F191,2)&lt;&gt;F191,AND(G191&lt;&gt;"",ROUND(G191,2)&lt;&gt;G191)),"REVISAR VALOR","OK"))))),"REVISAR VALOR")</f>
        <v>OK</v>
      </c>
    </row>
    <row r="192" spans="1:9" x14ac:dyDescent="0.45">
      <c r="A192" s="4">
        <v>46277</v>
      </c>
      <c r="B192" s="8" t="s">
        <v>81</v>
      </c>
      <c r="C192" s="5">
        <v>1</v>
      </c>
      <c r="D192" s="5">
        <v>0</v>
      </c>
      <c r="E192" s="5">
        <v>0</v>
      </c>
      <c r="F192" s="7">
        <v>299</v>
      </c>
      <c r="G192" s="7">
        <v>104</v>
      </c>
      <c r="H192" s="8" t="s">
        <v>120</v>
      </c>
      <c r="I192" s="12" t="str">
        <f>IFERROR(IF(COUNTA(A192:H192)=0,"",IF(OR(A192="",B192="",C192="",D192="",E192="",F192=""),"FALTA CAMPO",IF(COUNTIFS($A$6:$A$1005,A192,$B$6:$B$1005,B192)&gt;1,"DUPLICADO FECHA-SKU",IF(COUNTIF(CATALOGO!$A$6:$A$105,B192)&lt;&gt;1,"SKU NO VALIDO",IF(OR(A192&lt;DATE(1900,1,1),A192&gt;DATE(2100,12,31),A192&gt;CONFIG!$B$5,C192&lt;0,C192&gt;1000000,D192&lt;0,D192&gt;1000000,E192&lt;0,E192&gt;1000000,E192&gt;D192,ABS(F192)&gt;1000000000,ABS(G192)&gt;1000000000,ROUND(F192,2)&lt;&gt;F192,AND(G192&lt;&gt;"",ROUND(G192,2)&lt;&gt;G192)),"REVISAR VALOR","OK"))))),"REVISAR VALOR")</f>
        <v>OK</v>
      </c>
    </row>
    <row r="193" spans="1:9" x14ac:dyDescent="0.45">
      <c r="A193" s="4">
        <v>46278</v>
      </c>
      <c r="B193" s="8" t="s">
        <v>81</v>
      </c>
      <c r="C193" s="5">
        <v>1</v>
      </c>
      <c r="D193" s="5">
        <v>0</v>
      </c>
      <c r="E193" s="5">
        <v>0</v>
      </c>
      <c r="F193" s="7">
        <v>299</v>
      </c>
      <c r="G193" s="7">
        <v>104</v>
      </c>
      <c r="H193" s="8" t="s">
        <v>121</v>
      </c>
      <c r="I193" s="12" t="str">
        <f>IFERROR(IF(COUNTA(A193:H193)=0,"",IF(OR(A193="",B193="",C193="",D193="",E193="",F193=""),"FALTA CAMPO",IF(COUNTIFS($A$6:$A$1005,A193,$B$6:$B$1005,B193)&gt;1,"DUPLICADO FECHA-SKU",IF(COUNTIF(CATALOGO!$A$6:$A$105,B193)&lt;&gt;1,"SKU NO VALIDO",IF(OR(A193&lt;DATE(1900,1,1),A193&gt;DATE(2100,12,31),A193&gt;CONFIG!$B$5,C193&lt;0,C193&gt;1000000,D193&lt;0,D193&gt;1000000,E193&lt;0,E193&gt;1000000,E193&gt;D193,ABS(F193)&gt;1000000000,ABS(G193)&gt;1000000000,ROUND(F193,2)&lt;&gt;F193,AND(G193&lt;&gt;"",ROUND(G193,2)&lt;&gt;G193)),"REVISAR VALOR","OK"))))),"REVISAR VALOR")</f>
        <v>OK</v>
      </c>
    </row>
    <row r="194" spans="1:9" x14ac:dyDescent="0.45">
      <c r="A194" s="4">
        <v>46279</v>
      </c>
      <c r="B194" s="8" t="s">
        <v>81</v>
      </c>
      <c r="C194" s="5">
        <v>1</v>
      </c>
      <c r="D194" s="5">
        <v>0</v>
      </c>
      <c r="E194" s="5">
        <v>0</v>
      </c>
      <c r="F194" s="7">
        <v>299</v>
      </c>
      <c r="G194" s="7">
        <v>104</v>
      </c>
      <c r="H194" s="8" t="s">
        <v>122</v>
      </c>
      <c r="I194" s="12" t="str">
        <f>IFERROR(IF(COUNTA(A194:H194)=0,"",IF(OR(A194="",B194="",C194="",D194="",E194="",F194=""),"FALTA CAMPO",IF(COUNTIFS($A$6:$A$1005,A194,$B$6:$B$1005,B194)&gt;1,"DUPLICADO FECHA-SKU",IF(COUNTIF(CATALOGO!$A$6:$A$105,B194)&lt;&gt;1,"SKU NO VALIDO",IF(OR(A194&lt;DATE(1900,1,1),A194&gt;DATE(2100,12,31),A194&gt;CONFIG!$B$5,C194&lt;0,C194&gt;1000000,D194&lt;0,D194&gt;1000000,E194&lt;0,E194&gt;1000000,E194&gt;D194,ABS(F194)&gt;1000000000,ABS(G194)&gt;1000000000,ROUND(F194,2)&lt;&gt;F194,AND(G194&lt;&gt;"",ROUND(G194,2)&lt;&gt;G194)),"REVISAR VALOR","OK"))))),"REVISAR VALOR")</f>
        <v>OK</v>
      </c>
    </row>
    <row r="195" spans="1:9" x14ac:dyDescent="0.45">
      <c r="A195" s="4">
        <v>46280</v>
      </c>
      <c r="B195" s="8" t="s">
        <v>81</v>
      </c>
      <c r="C195" s="5">
        <v>1</v>
      </c>
      <c r="D195" s="5">
        <v>0</v>
      </c>
      <c r="E195" s="5">
        <v>0</v>
      </c>
      <c r="F195" s="7">
        <v>299</v>
      </c>
      <c r="G195" s="7">
        <v>104</v>
      </c>
      <c r="H195" s="8" t="s">
        <v>123</v>
      </c>
      <c r="I195" s="12" t="str">
        <f>IFERROR(IF(COUNTA(A195:H195)=0,"",IF(OR(A195="",B195="",C195="",D195="",E195="",F195=""),"FALTA CAMPO",IF(COUNTIFS($A$6:$A$1005,A195,$B$6:$B$1005,B195)&gt;1,"DUPLICADO FECHA-SKU",IF(COUNTIF(CATALOGO!$A$6:$A$105,B195)&lt;&gt;1,"SKU NO VALIDO",IF(OR(A195&lt;DATE(1900,1,1),A195&gt;DATE(2100,12,31),A195&gt;CONFIG!$B$5,C195&lt;0,C195&gt;1000000,D195&lt;0,D195&gt;1000000,E195&lt;0,E195&gt;1000000,E195&gt;D195,ABS(F195)&gt;1000000000,ABS(G195)&gt;1000000000,ROUND(F195,2)&lt;&gt;F195,AND(G195&lt;&gt;"",ROUND(G195,2)&lt;&gt;G195)),"REVISAR VALOR","OK"))))),"REVISAR VALOR")</f>
        <v>OK</v>
      </c>
    </row>
    <row r="196" spans="1:9" x14ac:dyDescent="0.45">
      <c r="A196" s="4">
        <v>46281</v>
      </c>
      <c r="B196" s="8" t="s">
        <v>81</v>
      </c>
      <c r="C196" s="5">
        <v>1</v>
      </c>
      <c r="D196" s="5">
        <v>0</v>
      </c>
      <c r="E196" s="5">
        <v>0</v>
      </c>
      <c r="F196" s="7">
        <v>299</v>
      </c>
      <c r="G196" s="7">
        <v>104</v>
      </c>
      <c r="H196" s="8" t="s">
        <v>124</v>
      </c>
      <c r="I196" s="12" t="str">
        <f>IFERROR(IF(COUNTA(A196:H196)=0,"",IF(OR(A196="",B196="",C196="",D196="",E196="",F196=""),"FALTA CAMPO",IF(COUNTIFS($A$6:$A$1005,A196,$B$6:$B$1005,B196)&gt;1,"DUPLICADO FECHA-SKU",IF(COUNTIF(CATALOGO!$A$6:$A$105,B196)&lt;&gt;1,"SKU NO VALIDO",IF(OR(A196&lt;DATE(1900,1,1),A196&gt;DATE(2100,12,31),A196&gt;CONFIG!$B$5,C196&lt;0,C196&gt;1000000,D196&lt;0,D196&gt;1000000,E196&lt;0,E196&gt;1000000,E196&gt;D196,ABS(F196)&gt;1000000000,ABS(G196)&gt;1000000000,ROUND(F196,2)&lt;&gt;F196,AND(G196&lt;&gt;"",ROUND(G196,2)&lt;&gt;G196)),"REVISAR VALOR","OK"))))),"REVISAR VALOR")</f>
        <v>OK</v>
      </c>
    </row>
    <row r="197" spans="1:9" x14ac:dyDescent="0.45">
      <c r="A197" s="4">
        <v>46282</v>
      </c>
      <c r="B197" s="8" t="s">
        <v>81</v>
      </c>
      <c r="C197" s="5">
        <v>1</v>
      </c>
      <c r="D197" s="5">
        <v>0</v>
      </c>
      <c r="E197" s="5">
        <v>0</v>
      </c>
      <c r="F197" s="7">
        <v>299</v>
      </c>
      <c r="G197" s="7">
        <v>104</v>
      </c>
      <c r="H197" s="8" t="s">
        <v>125</v>
      </c>
      <c r="I197" s="12" t="str">
        <f>IFERROR(IF(COUNTA(A197:H197)=0,"",IF(OR(A197="",B197="",C197="",D197="",E197="",F197=""),"FALTA CAMPO",IF(COUNTIFS($A$6:$A$1005,A197,$B$6:$B$1005,B197)&gt;1,"DUPLICADO FECHA-SKU",IF(COUNTIF(CATALOGO!$A$6:$A$105,B197)&lt;&gt;1,"SKU NO VALIDO",IF(OR(A197&lt;DATE(1900,1,1),A197&gt;DATE(2100,12,31),A197&gt;CONFIG!$B$5,C197&lt;0,C197&gt;1000000,D197&lt;0,D197&gt;1000000,E197&lt;0,E197&gt;1000000,E197&gt;D197,ABS(F197)&gt;1000000000,ABS(G197)&gt;1000000000,ROUND(F197,2)&lt;&gt;F197,AND(G197&lt;&gt;"",ROUND(G197,2)&lt;&gt;G197)),"REVISAR VALOR","OK"))))),"REVISAR VALOR")</f>
        <v>OK</v>
      </c>
    </row>
    <row r="198" spans="1:9" x14ac:dyDescent="0.45">
      <c r="A198" s="4">
        <v>46283</v>
      </c>
      <c r="B198" s="8" t="s">
        <v>81</v>
      </c>
      <c r="C198" s="5">
        <v>1</v>
      </c>
      <c r="D198" s="5">
        <v>0</v>
      </c>
      <c r="E198" s="5">
        <v>0</v>
      </c>
      <c r="F198" s="7">
        <v>299</v>
      </c>
      <c r="G198" s="7">
        <v>104</v>
      </c>
      <c r="H198" s="8" t="s">
        <v>126</v>
      </c>
      <c r="I198" s="12" t="str">
        <f>IFERROR(IF(COUNTA(A198:H198)=0,"",IF(OR(A198="",B198="",C198="",D198="",E198="",F198=""),"FALTA CAMPO",IF(COUNTIFS($A$6:$A$1005,A198,$B$6:$B$1005,B198)&gt;1,"DUPLICADO FECHA-SKU",IF(COUNTIF(CATALOGO!$A$6:$A$105,B198)&lt;&gt;1,"SKU NO VALIDO",IF(OR(A198&lt;DATE(1900,1,1),A198&gt;DATE(2100,12,31),A198&gt;CONFIG!$B$5,C198&lt;0,C198&gt;1000000,D198&lt;0,D198&gt;1000000,E198&lt;0,E198&gt;1000000,E198&gt;D198,ABS(F198)&gt;1000000000,ABS(G198)&gt;1000000000,ROUND(F198,2)&lt;&gt;F198,AND(G198&lt;&gt;"",ROUND(G198,2)&lt;&gt;G198)),"REVISAR VALOR","OK"))))),"REVISAR VALOR")</f>
        <v>OK</v>
      </c>
    </row>
    <row r="199" spans="1:9" x14ac:dyDescent="0.45">
      <c r="A199" s="4">
        <v>46284</v>
      </c>
      <c r="B199" s="8" t="s">
        <v>81</v>
      </c>
      <c r="C199" s="5">
        <v>1</v>
      </c>
      <c r="D199" s="5">
        <v>0</v>
      </c>
      <c r="E199" s="5">
        <v>0</v>
      </c>
      <c r="F199" s="7">
        <v>299</v>
      </c>
      <c r="G199" s="7">
        <v>104</v>
      </c>
      <c r="H199" s="8" t="s">
        <v>127</v>
      </c>
      <c r="I199" s="12" t="str">
        <f>IFERROR(IF(COUNTA(A199:H199)=0,"",IF(OR(A199="",B199="",C199="",D199="",E199="",F199=""),"FALTA CAMPO",IF(COUNTIFS($A$6:$A$1005,A199,$B$6:$B$1005,B199)&gt;1,"DUPLICADO FECHA-SKU",IF(COUNTIF(CATALOGO!$A$6:$A$105,B199)&lt;&gt;1,"SKU NO VALIDO",IF(OR(A199&lt;DATE(1900,1,1),A199&gt;DATE(2100,12,31),A199&gt;CONFIG!$B$5,C199&lt;0,C199&gt;1000000,D199&lt;0,D199&gt;1000000,E199&lt;0,E199&gt;1000000,E199&gt;D199,ABS(F199)&gt;1000000000,ABS(G199)&gt;1000000000,ROUND(F199,2)&lt;&gt;F199,AND(G199&lt;&gt;"",ROUND(G199,2)&lt;&gt;G199)),"REVISAR VALOR","OK"))))),"REVISAR VALOR")</f>
        <v>OK</v>
      </c>
    </row>
    <row r="200" spans="1:9" x14ac:dyDescent="0.45">
      <c r="A200" s="4">
        <v>46285</v>
      </c>
      <c r="B200" s="8" t="s">
        <v>81</v>
      </c>
      <c r="C200" s="5">
        <v>1</v>
      </c>
      <c r="D200" s="5">
        <v>0</v>
      </c>
      <c r="E200" s="5">
        <v>0</v>
      </c>
      <c r="F200" s="7">
        <v>299</v>
      </c>
      <c r="G200" s="7">
        <v>104</v>
      </c>
      <c r="H200" s="8" t="s">
        <v>128</v>
      </c>
      <c r="I200" s="12" t="str">
        <f>IFERROR(IF(COUNTA(A200:H200)=0,"",IF(OR(A200="",B200="",C200="",D200="",E200="",F200=""),"FALTA CAMPO",IF(COUNTIFS($A$6:$A$1005,A200,$B$6:$B$1005,B200)&gt;1,"DUPLICADO FECHA-SKU",IF(COUNTIF(CATALOGO!$A$6:$A$105,B200)&lt;&gt;1,"SKU NO VALIDO",IF(OR(A200&lt;DATE(1900,1,1),A200&gt;DATE(2100,12,31),A200&gt;CONFIG!$B$5,C200&lt;0,C200&gt;1000000,D200&lt;0,D200&gt;1000000,E200&lt;0,E200&gt;1000000,E200&gt;D200,ABS(F200)&gt;1000000000,ABS(G200)&gt;1000000000,ROUND(F200,2)&lt;&gt;F200,AND(G200&lt;&gt;"",ROUND(G200,2)&lt;&gt;G200)),"REVISAR VALOR","OK"))))),"REVISAR VALOR")</f>
        <v>OK</v>
      </c>
    </row>
    <row r="201" spans="1:9" x14ac:dyDescent="0.45">
      <c r="A201" s="4">
        <v>46286</v>
      </c>
      <c r="B201" s="8" t="s">
        <v>81</v>
      </c>
      <c r="C201" s="5">
        <v>1</v>
      </c>
      <c r="D201" s="5">
        <v>0</v>
      </c>
      <c r="E201" s="5">
        <v>0</v>
      </c>
      <c r="F201" s="7">
        <v>299</v>
      </c>
      <c r="G201" s="7">
        <v>104</v>
      </c>
      <c r="H201" s="8" t="s">
        <v>129</v>
      </c>
      <c r="I201" s="12" t="str">
        <f>IFERROR(IF(COUNTA(A201:H201)=0,"",IF(OR(A201="",B201="",C201="",D201="",E201="",F201=""),"FALTA CAMPO",IF(COUNTIFS($A$6:$A$1005,A201,$B$6:$B$1005,B201)&gt;1,"DUPLICADO FECHA-SKU",IF(COUNTIF(CATALOGO!$A$6:$A$105,B201)&lt;&gt;1,"SKU NO VALIDO",IF(OR(A201&lt;DATE(1900,1,1),A201&gt;DATE(2100,12,31),A201&gt;CONFIG!$B$5,C201&lt;0,C201&gt;1000000,D201&lt;0,D201&gt;1000000,E201&lt;0,E201&gt;1000000,E201&gt;D201,ABS(F201)&gt;1000000000,ABS(G201)&gt;1000000000,ROUND(F201,2)&lt;&gt;F201,AND(G201&lt;&gt;"",ROUND(G201,2)&lt;&gt;G201)),"REVISAR VALOR","OK"))))),"REVISAR VALOR")</f>
        <v>OK</v>
      </c>
    </row>
    <row r="202" spans="1:9" x14ac:dyDescent="0.45">
      <c r="A202" s="4">
        <v>46259</v>
      </c>
      <c r="B202" s="8" t="s">
        <v>83</v>
      </c>
      <c r="C202" s="5">
        <v>2</v>
      </c>
      <c r="D202" s="5">
        <v>1</v>
      </c>
      <c r="E202" s="5">
        <v>1</v>
      </c>
      <c r="F202" s="7">
        <v>299</v>
      </c>
      <c r="G202" s="7">
        <v>104</v>
      </c>
      <c r="H202" s="8" t="s">
        <v>102</v>
      </c>
      <c r="I202" s="12" t="str">
        <f>IFERROR(IF(COUNTA(A202:H202)=0,"",IF(OR(A202="",B202="",C202="",D202="",E202="",F202=""),"FALTA CAMPO",IF(COUNTIFS($A$6:$A$1005,A202,$B$6:$B$1005,B202)&gt;1,"DUPLICADO FECHA-SKU",IF(COUNTIF(CATALOGO!$A$6:$A$105,B202)&lt;&gt;1,"SKU NO VALIDO",IF(OR(A202&lt;DATE(1900,1,1),A202&gt;DATE(2100,12,31),A202&gt;CONFIG!$B$5,C202&lt;0,C202&gt;1000000,D202&lt;0,D202&gt;1000000,E202&lt;0,E202&gt;1000000,E202&gt;D202,ABS(F202)&gt;1000000000,ABS(G202)&gt;1000000000,ROUND(F202,2)&lt;&gt;F202,AND(G202&lt;&gt;"",ROUND(G202,2)&lt;&gt;G202)),"REVISAR VALOR","OK"))))),"REVISAR VALOR")</f>
        <v>OK</v>
      </c>
    </row>
    <row r="203" spans="1:9" x14ac:dyDescent="0.45">
      <c r="A203" s="4">
        <v>46260</v>
      </c>
      <c r="B203" s="8" t="s">
        <v>83</v>
      </c>
      <c r="C203" s="5">
        <v>2</v>
      </c>
      <c r="D203" s="5">
        <v>1</v>
      </c>
      <c r="E203" s="5">
        <v>1</v>
      </c>
      <c r="F203" s="7">
        <v>299</v>
      </c>
      <c r="G203" s="7">
        <v>104</v>
      </c>
      <c r="H203" s="8" t="s">
        <v>103</v>
      </c>
      <c r="I203" s="12" t="str">
        <f>IFERROR(IF(COUNTA(A203:H203)=0,"",IF(OR(A203="",B203="",C203="",D203="",E203="",F203=""),"FALTA CAMPO",IF(COUNTIFS($A$6:$A$1005,A203,$B$6:$B$1005,B203)&gt;1,"DUPLICADO FECHA-SKU",IF(COUNTIF(CATALOGO!$A$6:$A$105,B203)&lt;&gt;1,"SKU NO VALIDO",IF(OR(A203&lt;DATE(1900,1,1),A203&gt;DATE(2100,12,31),A203&gt;CONFIG!$B$5,C203&lt;0,C203&gt;1000000,D203&lt;0,D203&gt;1000000,E203&lt;0,E203&gt;1000000,E203&gt;D203,ABS(F203)&gt;1000000000,ABS(G203)&gt;1000000000,ROUND(F203,2)&lt;&gt;F203,AND(G203&lt;&gt;"",ROUND(G203,2)&lt;&gt;G203)),"REVISAR VALOR","OK"))))),"REVISAR VALOR")</f>
        <v>OK</v>
      </c>
    </row>
    <row r="204" spans="1:9" x14ac:dyDescent="0.45">
      <c r="A204" s="4">
        <v>46261</v>
      </c>
      <c r="B204" s="8" t="s">
        <v>83</v>
      </c>
      <c r="C204" s="5">
        <v>2</v>
      </c>
      <c r="D204" s="5">
        <v>1</v>
      </c>
      <c r="E204" s="5">
        <v>0</v>
      </c>
      <c r="F204" s="7">
        <v>299</v>
      </c>
      <c r="G204" s="7">
        <v>208</v>
      </c>
      <c r="H204" s="8" t="s">
        <v>104</v>
      </c>
      <c r="I204" s="12" t="str">
        <f>IFERROR(IF(COUNTA(A204:H204)=0,"",IF(OR(A204="",B204="",C204="",D204="",E204="",F204=""),"FALTA CAMPO",IF(COUNTIFS($A$6:$A$1005,A204,$B$6:$B$1005,B204)&gt;1,"DUPLICADO FECHA-SKU",IF(COUNTIF(CATALOGO!$A$6:$A$105,B204)&lt;&gt;1,"SKU NO VALIDO",IF(OR(A204&lt;DATE(1900,1,1),A204&gt;DATE(2100,12,31),A204&gt;CONFIG!$B$5,C204&lt;0,C204&gt;1000000,D204&lt;0,D204&gt;1000000,E204&lt;0,E204&gt;1000000,E204&gt;D204,ABS(F204)&gt;1000000000,ABS(G204)&gt;1000000000,ROUND(F204,2)&lt;&gt;F204,AND(G204&lt;&gt;"",ROUND(G204,2)&lt;&gt;G204)),"REVISAR VALOR","OK"))))),"REVISAR VALOR")</f>
        <v>OK</v>
      </c>
    </row>
    <row r="205" spans="1:9" x14ac:dyDescent="0.45">
      <c r="A205" s="4">
        <v>46262</v>
      </c>
      <c r="B205" s="8" t="s">
        <v>83</v>
      </c>
      <c r="C205" s="5">
        <v>2</v>
      </c>
      <c r="D205" s="5">
        <v>0</v>
      </c>
      <c r="E205" s="5">
        <v>0</v>
      </c>
      <c r="F205" s="7">
        <v>598</v>
      </c>
      <c r="G205" s="7">
        <v>208</v>
      </c>
      <c r="H205" s="8" t="s">
        <v>105</v>
      </c>
      <c r="I205" s="12" t="str">
        <f>IFERROR(IF(COUNTA(A205:H205)=0,"",IF(OR(A205="",B205="",C205="",D205="",E205="",F205=""),"FALTA CAMPO",IF(COUNTIFS($A$6:$A$1005,A205,$B$6:$B$1005,B205)&gt;1,"DUPLICADO FECHA-SKU",IF(COUNTIF(CATALOGO!$A$6:$A$105,B205)&lt;&gt;1,"SKU NO VALIDO",IF(OR(A205&lt;DATE(1900,1,1),A205&gt;DATE(2100,12,31),A205&gt;CONFIG!$B$5,C205&lt;0,C205&gt;1000000,D205&lt;0,D205&gt;1000000,E205&lt;0,E205&gt;1000000,E205&gt;D205,ABS(F205)&gt;1000000000,ABS(G205)&gt;1000000000,ROUND(F205,2)&lt;&gt;F205,AND(G205&lt;&gt;"",ROUND(G205,2)&lt;&gt;G205)),"REVISAR VALOR","OK"))))),"REVISAR VALOR")</f>
        <v>OK</v>
      </c>
    </row>
    <row r="206" spans="1:9" x14ac:dyDescent="0.45">
      <c r="A206" s="4">
        <v>46263</v>
      </c>
      <c r="B206" s="8" t="s">
        <v>83</v>
      </c>
      <c r="C206" s="5">
        <v>2</v>
      </c>
      <c r="D206" s="5">
        <v>0</v>
      </c>
      <c r="E206" s="5">
        <v>0</v>
      </c>
      <c r="F206" s="7">
        <v>598</v>
      </c>
      <c r="G206" s="7">
        <v>208</v>
      </c>
      <c r="H206" s="8" t="s">
        <v>106</v>
      </c>
      <c r="I206" s="12" t="str">
        <f>IFERROR(IF(COUNTA(A206:H206)=0,"",IF(OR(A206="",B206="",C206="",D206="",E206="",F206=""),"FALTA CAMPO",IF(COUNTIFS($A$6:$A$1005,A206,$B$6:$B$1005,B206)&gt;1,"DUPLICADO FECHA-SKU",IF(COUNTIF(CATALOGO!$A$6:$A$105,B206)&lt;&gt;1,"SKU NO VALIDO",IF(OR(A206&lt;DATE(1900,1,1),A206&gt;DATE(2100,12,31),A206&gt;CONFIG!$B$5,C206&lt;0,C206&gt;1000000,D206&lt;0,D206&gt;1000000,E206&lt;0,E206&gt;1000000,E206&gt;D206,ABS(F206)&gt;1000000000,ABS(G206)&gt;1000000000,ROUND(F206,2)&lt;&gt;F206,AND(G206&lt;&gt;"",ROUND(G206,2)&lt;&gt;G206)),"REVISAR VALOR","OK"))))),"REVISAR VALOR")</f>
        <v>OK</v>
      </c>
    </row>
    <row r="207" spans="1:9" x14ac:dyDescent="0.45">
      <c r="A207" s="4">
        <v>46264</v>
      </c>
      <c r="B207" s="8" t="s">
        <v>83</v>
      </c>
      <c r="C207" s="5">
        <v>2</v>
      </c>
      <c r="D207" s="5">
        <v>0</v>
      </c>
      <c r="E207" s="5">
        <v>0</v>
      </c>
      <c r="F207" s="7">
        <v>598</v>
      </c>
      <c r="G207" s="7">
        <v>208</v>
      </c>
      <c r="H207" s="8" t="s">
        <v>107</v>
      </c>
      <c r="I207" s="12" t="str">
        <f>IFERROR(IF(COUNTA(A207:H207)=0,"",IF(OR(A207="",B207="",C207="",D207="",E207="",F207=""),"FALTA CAMPO",IF(COUNTIFS($A$6:$A$1005,A207,$B$6:$B$1005,B207)&gt;1,"DUPLICADO FECHA-SKU",IF(COUNTIF(CATALOGO!$A$6:$A$105,B207)&lt;&gt;1,"SKU NO VALIDO",IF(OR(A207&lt;DATE(1900,1,1),A207&gt;DATE(2100,12,31),A207&gt;CONFIG!$B$5,C207&lt;0,C207&gt;1000000,D207&lt;0,D207&gt;1000000,E207&lt;0,E207&gt;1000000,E207&gt;D207,ABS(F207)&gt;1000000000,ABS(G207)&gt;1000000000,ROUND(F207,2)&lt;&gt;F207,AND(G207&lt;&gt;"",ROUND(G207,2)&lt;&gt;G207)),"REVISAR VALOR","OK"))))),"REVISAR VALOR")</f>
        <v>OK</v>
      </c>
    </row>
    <row r="208" spans="1:9" x14ac:dyDescent="0.45">
      <c r="A208" s="4">
        <v>46265</v>
      </c>
      <c r="B208" s="8" t="s">
        <v>83</v>
      </c>
      <c r="C208" s="5">
        <v>2</v>
      </c>
      <c r="D208" s="5">
        <v>0</v>
      </c>
      <c r="E208" s="5">
        <v>0</v>
      </c>
      <c r="F208" s="7">
        <v>598</v>
      </c>
      <c r="G208" s="7">
        <v>208</v>
      </c>
      <c r="H208" s="8" t="s">
        <v>108</v>
      </c>
      <c r="I208" s="12" t="str">
        <f>IFERROR(IF(COUNTA(A208:H208)=0,"",IF(OR(A208="",B208="",C208="",D208="",E208="",F208=""),"FALTA CAMPO",IF(COUNTIFS($A$6:$A$1005,A208,$B$6:$B$1005,B208)&gt;1,"DUPLICADO FECHA-SKU",IF(COUNTIF(CATALOGO!$A$6:$A$105,B208)&lt;&gt;1,"SKU NO VALIDO",IF(OR(A208&lt;DATE(1900,1,1),A208&gt;DATE(2100,12,31),A208&gt;CONFIG!$B$5,C208&lt;0,C208&gt;1000000,D208&lt;0,D208&gt;1000000,E208&lt;0,E208&gt;1000000,E208&gt;D208,ABS(F208)&gt;1000000000,ABS(G208)&gt;1000000000,ROUND(F208,2)&lt;&gt;F208,AND(G208&lt;&gt;"",ROUND(G208,2)&lt;&gt;G208)),"REVISAR VALOR","OK"))))),"REVISAR VALOR")</f>
        <v>OK</v>
      </c>
    </row>
    <row r="209" spans="1:9" x14ac:dyDescent="0.45">
      <c r="A209" s="4">
        <v>46266</v>
      </c>
      <c r="B209" s="8" t="s">
        <v>83</v>
      </c>
      <c r="C209" s="5">
        <v>2</v>
      </c>
      <c r="D209" s="5">
        <v>0</v>
      </c>
      <c r="E209" s="5">
        <v>0</v>
      </c>
      <c r="F209" s="7">
        <v>598</v>
      </c>
      <c r="G209" s="7">
        <v>208</v>
      </c>
      <c r="H209" s="8" t="s">
        <v>109</v>
      </c>
      <c r="I209" s="12" t="str">
        <f>IFERROR(IF(COUNTA(A209:H209)=0,"",IF(OR(A209="",B209="",C209="",D209="",E209="",F209=""),"FALTA CAMPO",IF(COUNTIFS($A$6:$A$1005,A209,$B$6:$B$1005,B209)&gt;1,"DUPLICADO FECHA-SKU",IF(COUNTIF(CATALOGO!$A$6:$A$105,B209)&lt;&gt;1,"SKU NO VALIDO",IF(OR(A209&lt;DATE(1900,1,1),A209&gt;DATE(2100,12,31),A209&gt;CONFIG!$B$5,C209&lt;0,C209&gt;1000000,D209&lt;0,D209&gt;1000000,E209&lt;0,E209&gt;1000000,E209&gt;D209,ABS(F209)&gt;1000000000,ABS(G209)&gt;1000000000,ROUND(F209,2)&lt;&gt;F209,AND(G209&lt;&gt;"",ROUND(G209,2)&lt;&gt;G209)),"REVISAR VALOR","OK"))))),"REVISAR VALOR")</f>
        <v>OK</v>
      </c>
    </row>
    <row r="210" spans="1:9" x14ac:dyDescent="0.45">
      <c r="A210" s="4">
        <v>46267</v>
      </c>
      <c r="B210" s="8" t="s">
        <v>83</v>
      </c>
      <c r="C210" s="5">
        <v>2</v>
      </c>
      <c r="D210" s="5">
        <v>0</v>
      </c>
      <c r="E210" s="5">
        <v>0</v>
      </c>
      <c r="F210" s="7">
        <v>598</v>
      </c>
      <c r="G210" s="7">
        <v>208</v>
      </c>
      <c r="H210" s="8" t="s">
        <v>110</v>
      </c>
      <c r="I210" s="12" t="str">
        <f>IFERROR(IF(COUNTA(A210:H210)=0,"",IF(OR(A210="",B210="",C210="",D210="",E210="",F210=""),"FALTA CAMPO",IF(COUNTIFS($A$6:$A$1005,A210,$B$6:$B$1005,B210)&gt;1,"DUPLICADO FECHA-SKU",IF(COUNTIF(CATALOGO!$A$6:$A$105,B210)&lt;&gt;1,"SKU NO VALIDO",IF(OR(A210&lt;DATE(1900,1,1),A210&gt;DATE(2100,12,31),A210&gt;CONFIG!$B$5,C210&lt;0,C210&gt;1000000,D210&lt;0,D210&gt;1000000,E210&lt;0,E210&gt;1000000,E210&gt;D210,ABS(F210)&gt;1000000000,ABS(G210)&gt;1000000000,ROUND(F210,2)&lt;&gt;F210,AND(G210&lt;&gt;"",ROUND(G210,2)&lt;&gt;G210)),"REVISAR VALOR","OK"))))),"REVISAR VALOR")</f>
        <v>OK</v>
      </c>
    </row>
    <row r="211" spans="1:9" x14ac:dyDescent="0.45">
      <c r="A211" s="4">
        <v>46268</v>
      </c>
      <c r="B211" s="8" t="s">
        <v>83</v>
      </c>
      <c r="C211" s="5">
        <v>2</v>
      </c>
      <c r="D211" s="5">
        <v>0</v>
      </c>
      <c r="E211" s="5">
        <v>0</v>
      </c>
      <c r="F211" s="7">
        <v>598</v>
      </c>
      <c r="G211" s="7">
        <v>208</v>
      </c>
      <c r="H211" s="8" t="s">
        <v>111</v>
      </c>
      <c r="I211" s="12" t="str">
        <f>IFERROR(IF(COUNTA(A211:H211)=0,"",IF(OR(A211="",B211="",C211="",D211="",E211="",F211=""),"FALTA CAMPO",IF(COUNTIFS($A$6:$A$1005,A211,$B$6:$B$1005,B211)&gt;1,"DUPLICADO FECHA-SKU",IF(COUNTIF(CATALOGO!$A$6:$A$105,B211)&lt;&gt;1,"SKU NO VALIDO",IF(OR(A211&lt;DATE(1900,1,1),A211&gt;DATE(2100,12,31),A211&gt;CONFIG!$B$5,C211&lt;0,C211&gt;1000000,D211&lt;0,D211&gt;1000000,E211&lt;0,E211&gt;1000000,E211&gt;D211,ABS(F211)&gt;1000000000,ABS(G211)&gt;1000000000,ROUND(F211,2)&lt;&gt;F211,AND(G211&lt;&gt;"",ROUND(G211,2)&lt;&gt;G211)),"REVISAR VALOR","OK"))))),"REVISAR VALOR")</f>
        <v>OK</v>
      </c>
    </row>
    <row r="212" spans="1:9" x14ac:dyDescent="0.45">
      <c r="A212" s="4">
        <v>46269</v>
      </c>
      <c r="B212" s="8" t="s">
        <v>83</v>
      </c>
      <c r="C212" s="5">
        <v>2</v>
      </c>
      <c r="D212" s="5">
        <v>0</v>
      </c>
      <c r="E212" s="5">
        <v>0</v>
      </c>
      <c r="F212" s="7">
        <v>598</v>
      </c>
      <c r="G212" s="7">
        <v>208</v>
      </c>
      <c r="H212" s="8" t="s">
        <v>112</v>
      </c>
      <c r="I212" s="12" t="str">
        <f>IFERROR(IF(COUNTA(A212:H212)=0,"",IF(OR(A212="",B212="",C212="",D212="",E212="",F212=""),"FALTA CAMPO",IF(COUNTIFS($A$6:$A$1005,A212,$B$6:$B$1005,B212)&gt;1,"DUPLICADO FECHA-SKU",IF(COUNTIF(CATALOGO!$A$6:$A$105,B212)&lt;&gt;1,"SKU NO VALIDO",IF(OR(A212&lt;DATE(1900,1,1),A212&gt;DATE(2100,12,31),A212&gt;CONFIG!$B$5,C212&lt;0,C212&gt;1000000,D212&lt;0,D212&gt;1000000,E212&lt;0,E212&gt;1000000,E212&gt;D212,ABS(F212)&gt;1000000000,ABS(G212)&gt;1000000000,ROUND(F212,2)&lt;&gt;F212,AND(G212&lt;&gt;"",ROUND(G212,2)&lt;&gt;G212)),"REVISAR VALOR","OK"))))),"REVISAR VALOR")</f>
        <v>OK</v>
      </c>
    </row>
    <row r="213" spans="1:9" x14ac:dyDescent="0.45">
      <c r="A213" s="4">
        <v>46270</v>
      </c>
      <c r="B213" s="8" t="s">
        <v>83</v>
      </c>
      <c r="C213" s="5">
        <v>2</v>
      </c>
      <c r="D213" s="5">
        <v>0</v>
      </c>
      <c r="E213" s="5">
        <v>0</v>
      </c>
      <c r="F213" s="7">
        <v>598</v>
      </c>
      <c r="G213" s="7">
        <v>208</v>
      </c>
      <c r="H213" s="8" t="s">
        <v>113</v>
      </c>
      <c r="I213" s="12" t="str">
        <f>IFERROR(IF(COUNTA(A213:H213)=0,"",IF(OR(A213="",B213="",C213="",D213="",E213="",F213=""),"FALTA CAMPO",IF(COUNTIFS($A$6:$A$1005,A213,$B$6:$B$1005,B213)&gt;1,"DUPLICADO FECHA-SKU",IF(COUNTIF(CATALOGO!$A$6:$A$105,B213)&lt;&gt;1,"SKU NO VALIDO",IF(OR(A213&lt;DATE(1900,1,1),A213&gt;DATE(2100,12,31),A213&gt;CONFIG!$B$5,C213&lt;0,C213&gt;1000000,D213&lt;0,D213&gt;1000000,E213&lt;0,E213&gt;1000000,E213&gt;D213,ABS(F213)&gt;1000000000,ABS(G213)&gt;1000000000,ROUND(F213,2)&lt;&gt;F213,AND(G213&lt;&gt;"",ROUND(G213,2)&lt;&gt;G213)),"REVISAR VALOR","OK"))))),"REVISAR VALOR")</f>
        <v>OK</v>
      </c>
    </row>
    <row r="214" spans="1:9" x14ac:dyDescent="0.45">
      <c r="A214" s="4">
        <v>46271</v>
      </c>
      <c r="B214" s="8" t="s">
        <v>83</v>
      </c>
      <c r="C214" s="5">
        <v>2</v>
      </c>
      <c r="D214" s="5">
        <v>0</v>
      </c>
      <c r="E214" s="5">
        <v>0</v>
      </c>
      <c r="F214" s="7">
        <v>598</v>
      </c>
      <c r="G214" s="7">
        <v>208</v>
      </c>
      <c r="H214" s="8" t="s">
        <v>114</v>
      </c>
      <c r="I214" s="12" t="str">
        <f>IFERROR(IF(COUNTA(A214:H214)=0,"",IF(OR(A214="",B214="",C214="",D214="",E214="",F214=""),"FALTA CAMPO",IF(COUNTIFS($A$6:$A$1005,A214,$B$6:$B$1005,B214)&gt;1,"DUPLICADO FECHA-SKU",IF(COUNTIF(CATALOGO!$A$6:$A$105,B214)&lt;&gt;1,"SKU NO VALIDO",IF(OR(A214&lt;DATE(1900,1,1),A214&gt;DATE(2100,12,31),A214&gt;CONFIG!$B$5,C214&lt;0,C214&gt;1000000,D214&lt;0,D214&gt;1000000,E214&lt;0,E214&gt;1000000,E214&gt;D214,ABS(F214)&gt;1000000000,ABS(G214)&gt;1000000000,ROUND(F214,2)&lt;&gt;F214,AND(G214&lt;&gt;"",ROUND(G214,2)&lt;&gt;G214)),"REVISAR VALOR","OK"))))),"REVISAR VALOR")</f>
        <v>OK</v>
      </c>
    </row>
    <row r="215" spans="1:9" x14ac:dyDescent="0.45">
      <c r="A215" s="4">
        <v>46272</v>
      </c>
      <c r="B215" s="8" t="s">
        <v>83</v>
      </c>
      <c r="C215" s="5">
        <v>2</v>
      </c>
      <c r="D215" s="5">
        <v>0</v>
      </c>
      <c r="E215" s="5">
        <v>0</v>
      </c>
      <c r="F215" s="7">
        <v>598</v>
      </c>
      <c r="G215" s="7">
        <v>208</v>
      </c>
      <c r="H215" s="8" t="s">
        <v>115</v>
      </c>
      <c r="I215" s="12" t="str">
        <f>IFERROR(IF(COUNTA(A215:H215)=0,"",IF(OR(A215="",B215="",C215="",D215="",E215="",F215=""),"FALTA CAMPO",IF(COUNTIFS($A$6:$A$1005,A215,$B$6:$B$1005,B215)&gt;1,"DUPLICADO FECHA-SKU",IF(COUNTIF(CATALOGO!$A$6:$A$105,B215)&lt;&gt;1,"SKU NO VALIDO",IF(OR(A215&lt;DATE(1900,1,1),A215&gt;DATE(2100,12,31),A215&gt;CONFIG!$B$5,C215&lt;0,C215&gt;1000000,D215&lt;0,D215&gt;1000000,E215&lt;0,E215&gt;1000000,E215&gt;D215,ABS(F215)&gt;1000000000,ABS(G215)&gt;1000000000,ROUND(F215,2)&lt;&gt;F215,AND(G215&lt;&gt;"",ROUND(G215,2)&lt;&gt;G215)),"REVISAR VALOR","OK"))))),"REVISAR VALOR")</f>
        <v>OK</v>
      </c>
    </row>
    <row r="216" spans="1:9" x14ac:dyDescent="0.45">
      <c r="A216" s="4">
        <v>46273</v>
      </c>
      <c r="B216" s="8" t="s">
        <v>83</v>
      </c>
      <c r="C216" s="5">
        <v>1</v>
      </c>
      <c r="D216" s="5">
        <v>0</v>
      </c>
      <c r="E216" s="5">
        <v>0</v>
      </c>
      <c r="F216" s="7">
        <v>299</v>
      </c>
      <c r="G216" s="7">
        <v>104</v>
      </c>
      <c r="H216" s="8" t="s">
        <v>116</v>
      </c>
      <c r="I216" s="12" t="str">
        <f>IFERROR(IF(COUNTA(A216:H216)=0,"",IF(OR(A216="",B216="",C216="",D216="",E216="",F216=""),"FALTA CAMPO",IF(COUNTIFS($A$6:$A$1005,A216,$B$6:$B$1005,B216)&gt;1,"DUPLICADO FECHA-SKU",IF(COUNTIF(CATALOGO!$A$6:$A$105,B216)&lt;&gt;1,"SKU NO VALIDO",IF(OR(A216&lt;DATE(1900,1,1),A216&gt;DATE(2100,12,31),A216&gt;CONFIG!$B$5,C216&lt;0,C216&gt;1000000,D216&lt;0,D216&gt;1000000,E216&lt;0,E216&gt;1000000,E216&gt;D216,ABS(F216)&gt;1000000000,ABS(G216)&gt;1000000000,ROUND(F216,2)&lt;&gt;F216,AND(G216&lt;&gt;"",ROUND(G216,2)&lt;&gt;G216)),"REVISAR VALOR","OK"))))),"REVISAR VALOR")</f>
        <v>OK</v>
      </c>
    </row>
    <row r="217" spans="1:9" x14ac:dyDescent="0.45">
      <c r="A217" s="4">
        <v>46274</v>
      </c>
      <c r="B217" s="8" t="s">
        <v>83</v>
      </c>
      <c r="C217" s="5">
        <v>1</v>
      </c>
      <c r="D217" s="5">
        <v>0</v>
      </c>
      <c r="E217" s="5">
        <v>0</v>
      </c>
      <c r="F217" s="7">
        <v>299</v>
      </c>
      <c r="G217" s="7">
        <v>104</v>
      </c>
      <c r="H217" s="8" t="s">
        <v>117</v>
      </c>
      <c r="I217" s="12" t="str">
        <f>IFERROR(IF(COUNTA(A217:H217)=0,"",IF(OR(A217="",B217="",C217="",D217="",E217="",F217=""),"FALTA CAMPO",IF(COUNTIFS($A$6:$A$1005,A217,$B$6:$B$1005,B217)&gt;1,"DUPLICADO FECHA-SKU",IF(COUNTIF(CATALOGO!$A$6:$A$105,B217)&lt;&gt;1,"SKU NO VALIDO",IF(OR(A217&lt;DATE(1900,1,1),A217&gt;DATE(2100,12,31),A217&gt;CONFIG!$B$5,C217&lt;0,C217&gt;1000000,D217&lt;0,D217&gt;1000000,E217&lt;0,E217&gt;1000000,E217&gt;D217,ABS(F217)&gt;1000000000,ABS(G217)&gt;1000000000,ROUND(F217,2)&lt;&gt;F217,AND(G217&lt;&gt;"",ROUND(G217,2)&lt;&gt;G217)),"REVISAR VALOR","OK"))))),"REVISAR VALOR")</f>
        <v>OK</v>
      </c>
    </row>
    <row r="218" spans="1:9" x14ac:dyDescent="0.45">
      <c r="A218" s="4">
        <v>46275</v>
      </c>
      <c r="B218" s="8" t="s">
        <v>83</v>
      </c>
      <c r="C218" s="5">
        <v>1</v>
      </c>
      <c r="D218" s="5">
        <v>0</v>
      </c>
      <c r="E218" s="5">
        <v>0</v>
      </c>
      <c r="F218" s="7">
        <v>299</v>
      </c>
      <c r="G218" s="7">
        <v>104</v>
      </c>
      <c r="H218" s="8" t="s">
        <v>118</v>
      </c>
      <c r="I218" s="12" t="str">
        <f>IFERROR(IF(COUNTA(A218:H218)=0,"",IF(OR(A218="",B218="",C218="",D218="",E218="",F218=""),"FALTA CAMPO",IF(COUNTIFS($A$6:$A$1005,A218,$B$6:$B$1005,B218)&gt;1,"DUPLICADO FECHA-SKU",IF(COUNTIF(CATALOGO!$A$6:$A$105,B218)&lt;&gt;1,"SKU NO VALIDO",IF(OR(A218&lt;DATE(1900,1,1),A218&gt;DATE(2100,12,31),A218&gt;CONFIG!$B$5,C218&lt;0,C218&gt;1000000,D218&lt;0,D218&gt;1000000,E218&lt;0,E218&gt;1000000,E218&gt;D218,ABS(F218)&gt;1000000000,ABS(G218)&gt;1000000000,ROUND(F218,2)&lt;&gt;F218,AND(G218&lt;&gt;"",ROUND(G218,2)&lt;&gt;G218)),"REVISAR VALOR","OK"))))),"REVISAR VALOR")</f>
        <v>OK</v>
      </c>
    </row>
    <row r="219" spans="1:9" x14ac:dyDescent="0.45">
      <c r="A219" s="4">
        <v>46276</v>
      </c>
      <c r="B219" s="8" t="s">
        <v>83</v>
      </c>
      <c r="C219" s="5">
        <v>1</v>
      </c>
      <c r="D219" s="5">
        <v>0</v>
      </c>
      <c r="E219" s="5">
        <v>0</v>
      </c>
      <c r="F219" s="7">
        <v>299</v>
      </c>
      <c r="G219" s="7">
        <v>104</v>
      </c>
      <c r="H219" s="8" t="s">
        <v>119</v>
      </c>
      <c r="I219" s="12" t="str">
        <f>IFERROR(IF(COUNTA(A219:H219)=0,"",IF(OR(A219="",B219="",C219="",D219="",E219="",F219=""),"FALTA CAMPO",IF(COUNTIFS($A$6:$A$1005,A219,$B$6:$B$1005,B219)&gt;1,"DUPLICADO FECHA-SKU",IF(COUNTIF(CATALOGO!$A$6:$A$105,B219)&lt;&gt;1,"SKU NO VALIDO",IF(OR(A219&lt;DATE(1900,1,1),A219&gt;DATE(2100,12,31),A219&gt;CONFIG!$B$5,C219&lt;0,C219&gt;1000000,D219&lt;0,D219&gt;1000000,E219&lt;0,E219&gt;1000000,E219&gt;D219,ABS(F219)&gt;1000000000,ABS(G219)&gt;1000000000,ROUND(F219,2)&lt;&gt;F219,AND(G219&lt;&gt;"",ROUND(G219,2)&lt;&gt;G219)),"REVISAR VALOR","OK"))))),"REVISAR VALOR")</f>
        <v>OK</v>
      </c>
    </row>
    <row r="220" spans="1:9" x14ac:dyDescent="0.45">
      <c r="A220" s="4">
        <v>46277</v>
      </c>
      <c r="B220" s="8" t="s">
        <v>83</v>
      </c>
      <c r="C220" s="5">
        <v>1</v>
      </c>
      <c r="D220" s="5">
        <v>0</v>
      </c>
      <c r="E220" s="5">
        <v>0</v>
      </c>
      <c r="F220" s="7">
        <v>299</v>
      </c>
      <c r="G220" s="7">
        <v>104</v>
      </c>
      <c r="H220" s="8" t="s">
        <v>120</v>
      </c>
      <c r="I220" s="12" t="str">
        <f>IFERROR(IF(COUNTA(A220:H220)=0,"",IF(OR(A220="",B220="",C220="",D220="",E220="",F220=""),"FALTA CAMPO",IF(COUNTIFS($A$6:$A$1005,A220,$B$6:$B$1005,B220)&gt;1,"DUPLICADO FECHA-SKU",IF(COUNTIF(CATALOGO!$A$6:$A$105,B220)&lt;&gt;1,"SKU NO VALIDO",IF(OR(A220&lt;DATE(1900,1,1),A220&gt;DATE(2100,12,31),A220&gt;CONFIG!$B$5,C220&lt;0,C220&gt;1000000,D220&lt;0,D220&gt;1000000,E220&lt;0,E220&gt;1000000,E220&gt;D220,ABS(F220)&gt;1000000000,ABS(G220)&gt;1000000000,ROUND(F220,2)&lt;&gt;F220,AND(G220&lt;&gt;"",ROUND(G220,2)&lt;&gt;G220)),"REVISAR VALOR","OK"))))),"REVISAR VALOR")</f>
        <v>OK</v>
      </c>
    </row>
    <row r="221" spans="1:9" x14ac:dyDescent="0.45">
      <c r="A221" s="4">
        <v>46278</v>
      </c>
      <c r="B221" s="8" t="s">
        <v>83</v>
      </c>
      <c r="C221" s="5">
        <v>1</v>
      </c>
      <c r="D221" s="5">
        <v>0</v>
      </c>
      <c r="E221" s="5">
        <v>0</v>
      </c>
      <c r="F221" s="7">
        <v>299</v>
      </c>
      <c r="G221" s="7">
        <v>104</v>
      </c>
      <c r="H221" s="8" t="s">
        <v>121</v>
      </c>
      <c r="I221" s="12" t="str">
        <f>IFERROR(IF(COUNTA(A221:H221)=0,"",IF(OR(A221="",B221="",C221="",D221="",E221="",F221=""),"FALTA CAMPO",IF(COUNTIFS($A$6:$A$1005,A221,$B$6:$B$1005,B221)&gt;1,"DUPLICADO FECHA-SKU",IF(COUNTIF(CATALOGO!$A$6:$A$105,B221)&lt;&gt;1,"SKU NO VALIDO",IF(OR(A221&lt;DATE(1900,1,1),A221&gt;DATE(2100,12,31),A221&gt;CONFIG!$B$5,C221&lt;0,C221&gt;1000000,D221&lt;0,D221&gt;1000000,E221&lt;0,E221&gt;1000000,E221&gt;D221,ABS(F221)&gt;1000000000,ABS(G221)&gt;1000000000,ROUND(F221,2)&lt;&gt;F221,AND(G221&lt;&gt;"",ROUND(G221,2)&lt;&gt;G221)),"REVISAR VALOR","OK"))))),"REVISAR VALOR")</f>
        <v>OK</v>
      </c>
    </row>
    <row r="222" spans="1:9" x14ac:dyDescent="0.45">
      <c r="A222" s="4">
        <v>46279</v>
      </c>
      <c r="B222" s="8" t="s">
        <v>83</v>
      </c>
      <c r="C222" s="5">
        <v>1</v>
      </c>
      <c r="D222" s="5">
        <v>0</v>
      </c>
      <c r="E222" s="5">
        <v>0</v>
      </c>
      <c r="F222" s="7">
        <v>299</v>
      </c>
      <c r="G222" s="7">
        <v>104</v>
      </c>
      <c r="H222" s="8" t="s">
        <v>122</v>
      </c>
      <c r="I222" s="12" t="str">
        <f>IFERROR(IF(COUNTA(A222:H222)=0,"",IF(OR(A222="",B222="",C222="",D222="",E222="",F222=""),"FALTA CAMPO",IF(COUNTIFS($A$6:$A$1005,A222,$B$6:$B$1005,B222)&gt;1,"DUPLICADO FECHA-SKU",IF(COUNTIF(CATALOGO!$A$6:$A$105,B222)&lt;&gt;1,"SKU NO VALIDO",IF(OR(A222&lt;DATE(1900,1,1),A222&gt;DATE(2100,12,31),A222&gt;CONFIG!$B$5,C222&lt;0,C222&gt;1000000,D222&lt;0,D222&gt;1000000,E222&lt;0,E222&gt;1000000,E222&gt;D222,ABS(F222)&gt;1000000000,ABS(G222)&gt;1000000000,ROUND(F222,2)&lt;&gt;F222,AND(G222&lt;&gt;"",ROUND(G222,2)&lt;&gt;G222)),"REVISAR VALOR","OK"))))),"REVISAR VALOR")</f>
        <v>OK</v>
      </c>
    </row>
    <row r="223" spans="1:9" x14ac:dyDescent="0.45">
      <c r="A223" s="4">
        <v>46280</v>
      </c>
      <c r="B223" s="8" t="s">
        <v>83</v>
      </c>
      <c r="C223" s="5">
        <v>1</v>
      </c>
      <c r="D223" s="5">
        <v>0</v>
      </c>
      <c r="E223" s="5">
        <v>0</v>
      </c>
      <c r="F223" s="7">
        <v>299</v>
      </c>
      <c r="G223" s="7">
        <v>104</v>
      </c>
      <c r="H223" s="8" t="s">
        <v>123</v>
      </c>
      <c r="I223" s="12" t="str">
        <f>IFERROR(IF(COUNTA(A223:H223)=0,"",IF(OR(A223="",B223="",C223="",D223="",E223="",F223=""),"FALTA CAMPO",IF(COUNTIFS($A$6:$A$1005,A223,$B$6:$B$1005,B223)&gt;1,"DUPLICADO FECHA-SKU",IF(COUNTIF(CATALOGO!$A$6:$A$105,B223)&lt;&gt;1,"SKU NO VALIDO",IF(OR(A223&lt;DATE(1900,1,1),A223&gt;DATE(2100,12,31),A223&gt;CONFIG!$B$5,C223&lt;0,C223&gt;1000000,D223&lt;0,D223&gt;1000000,E223&lt;0,E223&gt;1000000,E223&gt;D223,ABS(F223)&gt;1000000000,ABS(G223)&gt;1000000000,ROUND(F223,2)&lt;&gt;F223,AND(G223&lt;&gt;"",ROUND(G223,2)&lt;&gt;G223)),"REVISAR VALOR","OK"))))),"REVISAR VALOR")</f>
        <v>OK</v>
      </c>
    </row>
    <row r="224" spans="1:9" x14ac:dyDescent="0.45">
      <c r="A224" s="4">
        <v>46281</v>
      </c>
      <c r="B224" s="8" t="s">
        <v>83</v>
      </c>
      <c r="C224" s="5">
        <v>1</v>
      </c>
      <c r="D224" s="5">
        <v>0</v>
      </c>
      <c r="E224" s="5">
        <v>0</v>
      </c>
      <c r="F224" s="7">
        <v>299</v>
      </c>
      <c r="G224" s="7">
        <v>104</v>
      </c>
      <c r="H224" s="8" t="s">
        <v>124</v>
      </c>
      <c r="I224" s="12" t="str">
        <f>IFERROR(IF(COUNTA(A224:H224)=0,"",IF(OR(A224="",B224="",C224="",D224="",E224="",F224=""),"FALTA CAMPO",IF(COUNTIFS($A$6:$A$1005,A224,$B$6:$B$1005,B224)&gt;1,"DUPLICADO FECHA-SKU",IF(COUNTIF(CATALOGO!$A$6:$A$105,B224)&lt;&gt;1,"SKU NO VALIDO",IF(OR(A224&lt;DATE(1900,1,1),A224&gt;DATE(2100,12,31),A224&gt;CONFIG!$B$5,C224&lt;0,C224&gt;1000000,D224&lt;0,D224&gt;1000000,E224&lt;0,E224&gt;1000000,E224&gt;D224,ABS(F224)&gt;1000000000,ABS(G224)&gt;1000000000,ROUND(F224,2)&lt;&gt;F224,AND(G224&lt;&gt;"",ROUND(G224,2)&lt;&gt;G224)),"REVISAR VALOR","OK"))))),"REVISAR VALOR")</f>
        <v>OK</v>
      </c>
    </row>
    <row r="225" spans="1:9" x14ac:dyDescent="0.45">
      <c r="A225" s="4">
        <v>46282</v>
      </c>
      <c r="B225" s="8" t="s">
        <v>83</v>
      </c>
      <c r="C225" s="5">
        <v>1</v>
      </c>
      <c r="D225" s="5">
        <v>0</v>
      </c>
      <c r="E225" s="5">
        <v>0</v>
      </c>
      <c r="F225" s="7">
        <v>299</v>
      </c>
      <c r="G225" s="7">
        <v>104</v>
      </c>
      <c r="H225" s="8" t="s">
        <v>125</v>
      </c>
      <c r="I225" s="12" t="str">
        <f>IFERROR(IF(COUNTA(A225:H225)=0,"",IF(OR(A225="",B225="",C225="",D225="",E225="",F225=""),"FALTA CAMPO",IF(COUNTIFS($A$6:$A$1005,A225,$B$6:$B$1005,B225)&gt;1,"DUPLICADO FECHA-SKU",IF(COUNTIF(CATALOGO!$A$6:$A$105,B225)&lt;&gt;1,"SKU NO VALIDO",IF(OR(A225&lt;DATE(1900,1,1),A225&gt;DATE(2100,12,31),A225&gt;CONFIG!$B$5,C225&lt;0,C225&gt;1000000,D225&lt;0,D225&gt;1000000,E225&lt;0,E225&gt;1000000,E225&gt;D225,ABS(F225)&gt;1000000000,ABS(G225)&gt;1000000000,ROUND(F225,2)&lt;&gt;F225,AND(G225&lt;&gt;"",ROUND(G225,2)&lt;&gt;G225)),"REVISAR VALOR","OK"))))),"REVISAR VALOR")</f>
        <v>OK</v>
      </c>
    </row>
    <row r="226" spans="1:9" x14ac:dyDescent="0.45">
      <c r="A226" s="4">
        <v>46283</v>
      </c>
      <c r="B226" s="8" t="s">
        <v>83</v>
      </c>
      <c r="C226" s="5">
        <v>1</v>
      </c>
      <c r="D226" s="5">
        <v>0</v>
      </c>
      <c r="E226" s="5">
        <v>0</v>
      </c>
      <c r="F226" s="7">
        <v>299</v>
      </c>
      <c r="G226" s="7">
        <v>104</v>
      </c>
      <c r="H226" s="8" t="s">
        <v>126</v>
      </c>
      <c r="I226" s="12" t="str">
        <f>IFERROR(IF(COUNTA(A226:H226)=0,"",IF(OR(A226="",B226="",C226="",D226="",E226="",F226=""),"FALTA CAMPO",IF(COUNTIFS($A$6:$A$1005,A226,$B$6:$B$1005,B226)&gt;1,"DUPLICADO FECHA-SKU",IF(COUNTIF(CATALOGO!$A$6:$A$105,B226)&lt;&gt;1,"SKU NO VALIDO",IF(OR(A226&lt;DATE(1900,1,1),A226&gt;DATE(2100,12,31),A226&gt;CONFIG!$B$5,C226&lt;0,C226&gt;1000000,D226&lt;0,D226&gt;1000000,E226&lt;0,E226&gt;1000000,E226&gt;D226,ABS(F226)&gt;1000000000,ABS(G226)&gt;1000000000,ROUND(F226,2)&lt;&gt;F226,AND(G226&lt;&gt;"",ROUND(G226,2)&lt;&gt;G226)),"REVISAR VALOR","OK"))))),"REVISAR VALOR")</f>
        <v>OK</v>
      </c>
    </row>
    <row r="227" spans="1:9" x14ac:dyDescent="0.45">
      <c r="A227" s="4">
        <v>46284</v>
      </c>
      <c r="B227" s="8" t="s">
        <v>83</v>
      </c>
      <c r="C227" s="5">
        <v>1</v>
      </c>
      <c r="D227" s="5">
        <v>0</v>
      </c>
      <c r="E227" s="5">
        <v>0</v>
      </c>
      <c r="F227" s="7">
        <v>299</v>
      </c>
      <c r="G227" s="7">
        <v>104</v>
      </c>
      <c r="H227" s="8" t="s">
        <v>127</v>
      </c>
      <c r="I227" s="12" t="str">
        <f>IFERROR(IF(COUNTA(A227:H227)=0,"",IF(OR(A227="",B227="",C227="",D227="",E227="",F227=""),"FALTA CAMPO",IF(COUNTIFS($A$6:$A$1005,A227,$B$6:$B$1005,B227)&gt;1,"DUPLICADO FECHA-SKU",IF(COUNTIF(CATALOGO!$A$6:$A$105,B227)&lt;&gt;1,"SKU NO VALIDO",IF(OR(A227&lt;DATE(1900,1,1),A227&gt;DATE(2100,12,31),A227&gt;CONFIG!$B$5,C227&lt;0,C227&gt;1000000,D227&lt;0,D227&gt;1000000,E227&lt;0,E227&gt;1000000,E227&gt;D227,ABS(F227)&gt;1000000000,ABS(G227)&gt;1000000000,ROUND(F227,2)&lt;&gt;F227,AND(G227&lt;&gt;"",ROUND(G227,2)&lt;&gt;G227)),"REVISAR VALOR","OK"))))),"REVISAR VALOR")</f>
        <v>OK</v>
      </c>
    </row>
    <row r="228" spans="1:9" x14ac:dyDescent="0.45">
      <c r="A228" s="4">
        <v>46285</v>
      </c>
      <c r="B228" s="8" t="s">
        <v>83</v>
      </c>
      <c r="C228" s="5">
        <v>1</v>
      </c>
      <c r="D228" s="5">
        <v>0</v>
      </c>
      <c r="E228" s="5">
        <v>0</v>
      </c>
      <c r="F228" s="7">
        <v>299</v>
      </c>
      <c r="G228" s="7">
        <v>104</v>
      </c>
      <c r="H228" s="8" t="s">
        <v>128</v>
      </c>
      <c r="I228" s="12" t="str">
        <f>IFERROR(IF(COUNTA(A228:H228)=0,"",IF(OR(A228="",B228="",C228="",D228="",E228="",F228=""),"FALTA CAMPO",IF(COUNTIFS($A$6:$A$1005,A228,$B$6:$B$1005,B228)&gt;1,"DUPLICADO FECHA-SKU",IF(COUNTIF(CATALOGO!$A$6:$A$105,B228)&lt;&gt;1,"SKU NO VALIDO",IF(OR(A228&lt;DATE(1900,1,1),A228&gt;DATE(2100,12,31),A228&gt;CONFIG!$B$5,C228&lt;0,C228&gt;1000000,D228&lt;0,D228&gt;1000000,E228&lt;0,E228&gt;1000000,E228&gt;D228,ABS(F228)&gt;1000000000,ABS(G228)&gt;1000000000,ROUND(F228,2)&lt;&gt;F228,AND(G228&lt;&gt;"",ROUND(G228,2)&lt;&gt;G228)),"REVISAR VALOR","OK"))))),"REVISAR VALOR")</f>
        <v>OK</v>
      </c>
    </row>
    <row r="229" spans="1:9" x14ac:dyDescent="0.45">
      <c r="A229" s="4">
        <v>46286</v>
      </c>
      <c r="B229" s="8" t="s">
        <v>83</v>
      </c>
      <c r="C229" s="5">
        <v>1</v>
      </c>
      <c r="D229" s="5">
        <v>0</v>
      </c>
      <c r="E229" s="5">
        <v>0</v>
      </c>
      <c r="F229" s="7">
        <v>299</v>
      </c>
      <c r="G229" s="7">
        <v>104</v>
      </c>
      <c r="H229" s="8" t="s">
        <v>129</v>
      </c>
      <c r="I229" s="12" t="str">
        <f>IFERROR(IF(COUNTA(A229:H229)=0,"",IF(OR(A229="",B229="",C229="",D229="",E229="",F229=""),"FALTA CAMPO",IF(COUNTIFS($A$6:$A$1005,A229,$B$6:$B$1005,B229)&gt;1,"DUPLICADO FECHA-SKU",IF(COUNTIF(CATALOGO!$A$6:$A$105,B229)&lt;&gt;1,"SKU NO VALIDO",IF(OR(A229&lt;DATE(1900,1,1),A229&gt;DATE(2100,12,31),A229&gt;CONFIG!$B$5,C229&lt;0,C229&gt;1000000,D229&lt;0,D229&gt;1000000,E229&lt;0,E229&gt;1000000,E229&gt;D229,ABS(F229)&gt;1000000000,ABS(G229)&gt;1000000000,ROUND(F229,2)&lt;&gt;F229,AND(G229&lt;&gt;"",ROUND(G229,2)&lt;&gt;G229)),"REVISAR VALOR","OK"))))),"REVISAR VALOR")</f>
        <v>OK</v>
      </c>
    </row>
    <row r="230" spans="1:9" x14ac:dyDescent="0.45">
      <c r="A230" s="4">
        <v>46259</v>
      </c>
      <c r="B230" s="8" t="s">
        <v>85</v>
      </c>
      <c r="C230" s="5">
        <v>1</v>
      </c>
      <c r="D230" s="5">
        <v>1</v>
      </c>
      <c r="E230" s="5">
        <v>1</v>
      </c>
      <c r="F230" s="7">
        <v>0</v>
      </c>
      <c r="G230" s="7">
        <v>0</v>
      </c>
      <c r="H230" s="8" t="s">
        <v>102</v>
      </c>
      <c r="I230" s="12" t="str">
        <f>IFERROR(IF(COUNTA(A230:H230)=0,"",IF(OR(A230="",B230="",C230="",D230="",E230="",F230=""),"FALTA CAMPO",IF(COUNTIFS($A$6:$A$1005,A230,$B$6:$B$1005,B230)&gt;1,"DUPLICADO FECHA-SKU",IF(COUNTIF(CATALOGO!$A$6:$A$105,B230)&lt;&gt;1,"SKU NO VALIDO",IF(OR(A230&lt;DATE(1900,1,1),A230&gt;DATE(2100,12,31),A230&gt;CONFIG!$B$5,C230&lt;0,C230&gt;1000000,D230&lt;0,D230&gt;1000000,E230&lt;0,E230&gt;1000000,E230&gt;D230,ABS(F230)&gt;1000000000,ABS(G230)&gt;1000000000,ROUND(F230,2)&lt;&gt;F230,AND(G230&lt;&gt;"",ROUND(G230,2)&lt;&gt;G230)),"REVISAR VALOR","OK"))))),"REVISAR VALOR")</f>
        <v>OK</v>
      </c>
    </row>
    <row r="231" spans="1:9" x14ac:dyDescent="0.45">
      <c r="A231" s="4">
        <v>46260</v>
      </c>
      <c r="B231" s="8" t="s">
        <v>85</v>
      </c>
      <c r="C231" s="5">
        <v>1</v>
      </c>
      <c r="D231" s="5">
        <v>0</v>
      </c>
      <c r="E231" s="5">
        <v>0</v>
      </c>
      <c r="F231" s="7">
        <v>899</v>
      </c>
      <c r="G231" s="7">
        <v>380</v>
      </c>
      <c r="H231" s="8" t="s">
        <v>103</v>
      </c>
      <c r="I231" s="12" t="str">
        <f>IFERROR(IF(COUNTA(A231:H231)=0,"",IF(OR(A231="",B231="",C231="",D231="",E231="",F231=""),"FALTA CAMPO",IF(COUNTIFS($A$6:$A$1005,A231,$B$6:$B$1005,B231)&gt;1,"DUPLICADO FECHA-SKU",IF(COUNTIF(CATALOGO!$A$6:$A$105,B231)&lt;&gt;1,"SKU NO VALIDO",IF(OR(A231&lt;DATE(1900,1,1),A231&gt;DATE(2100,12,31),A231&gt;CONFIG!$B$5,C231&lt;0,C231&gt;1000000,D231&lt;0,D231&gt;1000000,E231&lt;0,E231&gt;1000000,E231&gt;D231,ABS(F231)&gt;1000000000,ABS(G231)&gt;1000000000,ROUND(F231,2)&lt;&gt;F231,AND(G231&lt;&gt;"",ROUND(G231,2)&lt;&gt;G231)),"REVISAR VALOR","OK"))))),"REVISAR VALOR")</f>
        <v>OK</v>
      </c>
    </row>
    <row r="232" spans="1:9" x14ac:dyDescent="0.45">
      <c r="A232" s="4">
        <v>46261</v>
      </c>
      <c r="B232" s="8" t="s">
        <v>85</v>
      </c>
      <c r="C232" s="5">
        <v>1</v>
      </c>
      <c r="D232" s="5">
        <v>0</v>
      </c>
      <c r="E232" s="5">
        <v>0</v>
      </c>
      <c r="F232" s="7">
        <v>899</v>
      </c>
      <c r="G232" s="7">
        <v>380</v>
      </c>
      <c r="H232" s="8" t="s">
        <v>104</v>
      </c>
      <c r="I232" s="12" t="str">
        <f>IFERROR(IF(COUNTA(A232:H232)=0,"",IF(OR(A232="",B232="",C232="",D232="",E232="",F232=""),"FALTA CAMPO",IF(COUNTIFS($A$6:$A$1005,A232,$B$6:$B$1005,B232)&gt;1,"DUPLICADO FECHA-SKU",IF(COUNTIF(CATALOGO!$A$6:$A$105,B232)&lt;&gt;1,"SKU NO VALIDO",IF(OR(A232&lt;DATE(1900,1,1),A232&gt;DATE(2100,12,31),A232&gt;CONFIG!$B$5,C232&lt;0,C232&gt;1000000,D232&lt;0,D232&gt;1000000,E232&lt;0,E232&gt;1000000,E232&gt;D232,ABS(F232)&gt;1000000000,ABS(G232)&gt;1000000000,ROUND(F232,2)&lt;&gt;F232,AND(G232&lt;&gt;"",ROUND(G232,2)&lt;&gt;G232)),"REVISAR VALOR","OK"))))),"REVISAR VALOR")</f>
        <v>OK</v>
      </c>
    </row>
    <row r="233" spans="1:9" x14ac:dyDescent="0.45">
      <c r="A233" s="4">
        <v>46262</v>
      </c>
      <c r="B233" s="8" t="s">
        <v>85</v>
      </c>
      <c r="C233" s="5">
        <v>1</v>
      </c>
      <c r="D233" s="5">
        <v>0</v>
      </c>
      <c r="E233" s="5">
        <v>0</v>
      </c>
      <c r="F233" s="7">
        <v>899</v>
      </c>
      <c r="G233" s="7">
        <v>380</v>
      </c>
      <c r="H233" s="8" t="s">
        <v>105</v>
      </c>
      <c r="I233" s="12" t="str">
        <f>IFERROR(IF(COUNTA(A233:H233)=0,"",IF(OR(A233="",B233="",C233="",D233="",E233="",F233=""),"FALTA CAMPO",IF(COUNTIFS($A$6:$A$1005,A233,$B$6:$B$1005,B233)&gt;1,"DUPLICADO FECHA-SKU",IF(COUNTIF(CATALOGO!$A$6:$A$105,B233)&lt;&gt;1,"SKU NO VALIDO",IF(OR(A233&lt;DATE(1900,1,1),A233&gt;DATE(2100,12,31),A233&gt;CONFIG!$B$5,C233&lt;0,C233&gt;1000000,D233&lt;0,D233&gt;1000000,E233&lt;0,E233&gt;1000000,E233&gt;D233,ABS(F233)&gt;1000000000,ABS(G233)&gt;1000000000,ROUND(F233,2)&lt;&gt;F233,AND(G233&lt;&gt;"",ROUND(G233,2)&lt;&gt;G233)),"REVISAR VALOR","OK"))))),"REVISAR VALOR")</f>
        <v>OK</v>
      </c>
    </row>
    <row r="234" spans="1:9" x14ac:dyDescent="0.45">
      <c r="A234" s="4">
        <v>46263</v>
      </c>
      <c r="B234" s="8" t="s">
        <v>85</v>
      </c>
      <c r="C234" s="5">
        <v>1</v>
      </c>
      <c r="D234" s="5">
        <v>0</v>
      </c>
      <c r="E234" s="5">
        <v>0</v>
      </c>
      <c r="F234" s="7">
        <v>899</v>
      </c>
      <c r="G234" s="7">
        <v>380</v>
      </c>
      <c r="H234" s="8" t="s">
        <v>106</v>
      </c>
      <c r="I234" s="12" t="str">
        <f>IFERROR(IF(COUNTA(A234:H234)=0,"",IF(OR(A234="",B234="",C234="",D234="",E234="",F234=""),"FALTA CAMPO",IF(COUNTIFS($A$6:$A$1005,A234,$B$6:$B$1005,B234)&gt;1,"DUPLICADO FECHA-SKU",IF(COUNTIF(CATALOGO!$A$6:$A$105,B234)&lt;&gt;1,"SKU NO VALIDO",IF(OR(A234&lt;DATE(1900,1,1),A234&gt;DATE(2100,12,31),A234&gt;CONFIG!$B$5,C234&lt;0,C234&gt;1000000,D234&lt;0,D234&gt;1000000,E234&lt;0,E234&gt;1000000,E234&gt;D234,ABS(F234)&gt;1000000000,ABS(G234)&gt;1000000000,ROUND(F234,2)&lt;&gt;F234,AND(G234&lt;&gt;"",ROUND(G234,2)&lt;&gt;G234)),"REVISAR VALOR","OK"))))),"REVISAR VALOR")</f>
        <v>OK</v>
      </c>
    </row>
    <row r="235" spans="1:9" x14ac:dyDescent="0.45">
      <c r="A235" s="4">
        <v>46264</v>
      </c>
      <c r="B235" s="8" t="s">
        <v>85</v>
      </c>
      <c r="C235" s="5">
        <v>1</v>
      </c>
      <c r="D235" s="5">
        <v>0</v>
      </c>
      <c r="E235" s="5">
        <v>0</v>
      </c>
      <c r="F235" s="7">
        <v>899</v>
      </c>
      <c r="G235" s="7">
        <v>380</v>
      </c>
      <c r="H235" s="8" t="s">
        <v>107</v>
      </c>
      <c r="I235" s="12" t="str">
        <f>IFERROR(IF(COUNTA(A235:H235)=0,"",IF(OR(A235="",B235="",C235="",D235="",E235="",F235=""),"FALTA CAMPO",IF(COUNTIFS($A$6:$A$1005,A235,$B$6:$B$1005,B235)&gt;1,"DUPLICADO FECHA-SKU",IF(COUNTIF(CATALOGO!$A$6:$A$105,B235)&lt;&gt;1,"SKU NO VALIDO",IF(OR(A235&lt;DATE(1900,1,1),A235&gt;DATE(2100,12,31),A235&gt;CONFIG!$B$5,C235&lt;0,C235&gt;1000000,D235&lt;0,D235&gt;1000000,E235&lt;0,E235&gt;1000000,E235&gt;D235,ABS(F235)&gt;1000000000,ABS(G235)&gt;1000000000,ROUND(F235,2)&lt;&gt;F235,AND(G235&lt;&gt;"",ROUND(G235,2)&lt;&gt;G235)),"REVISAR VALOR","OK"))))),"REVISAR VALOR")</f>
        <v>OK</v>
      </c>
    </row>
    <row r="236" spans="1:9" x14ac:dyDescent="0.45">
      <c r="A236" s="4">
        <v>46265</v>
      </c>
      <c r="B236" s="8" t="s">
        <v>85</v>
      </c>
      <c r="C236" s="5">
        <v>1</v>
      </c>
      <c r="D236" s="5">
        <v>0</v>
      </c>
      <c r="E236" s="5">
        <v>0</v>
      </c>
      <c r="F236" s="7">
        <v>899</v>
      </c>
      <c r="G236" s="7">
        <v>380</v>
      </c>
      <c r="H236" s="8" t="s">
        <v>108</v>
      </c>
      <c r="I236" s="12" t="str">
        <f>IFERROR(IF(COUNTA(A236:H236)=0,"",IF(OR(A236="",B236="",C236="",D236="",E236="",F236=""),"FALTA CAMPO",IF(COUNTIFS($A$6:$A$1005,A236,$B$6:$B$1005,B236)&gt;1,"DUPLICADO FECHA-SKU",IF(COUNTIF(CATALOGO!$A$6:$A$105,B236)&lt;&gt;1,"SKU NO VALIDO",IF(OR(A236&lt;DATE(1900,1,1),A236&gt;DATE(2100,12,31),A236&gt;CONFIG!$B$5,C236&lt;0,C236&gt;1000000,D236&lt;0,D236&gt;1000000,E236&lt;0,E236&gt;1000000,E236&gt;D236,ABS(F236)&gt;1000000000,ABS(G236)&gt;1000000000,ROUND(F236,2)&lt;&gt;F236,AND(G236&lt;&gt;"",ROUND(G236,2)&lt;&gt;G236)),"REVISAR VALOR","OK"))))),"REVISAR VALOR")</f>
        <v>OK</v>
      </c>
    </row>
    <row r="237" spans="1:9" x14ac:dyDescent="0.45">
      <c r="A237" s="4">
        <v>46266</v>
      </c>
      <c r="B237" s="8" t="s">
        <v>85</v>
      </c>
      <c r="C237" s="5">
        <v>1</v>
      </c>
      <c r="D237" s="5">
        <v>0</v>
      </c>
      <c r="E237" s="5">
        <v>0</v>
      </c>
      <c r="F237" s="7">
        <v>899</v>
      </c>
      <c r="G237" s="7">
        <v>380</v>
      </c>
      <c r="H237" s="8" t="s">
        <v>109</v>
      </c>
      <c r="I237" s="12" t="str">
        <f>IFERROR(IF(COUNTA(A237:H237)=0,"",IF(OR(A237="",B237="",C237="",D237="",E237="",F237=""),"FALTA CAMPO",IF(COUNTIFS($A$6:$A$1005,A237,$B$6:$B$1005,B237)&gt;1,"DUPLICADO FECHA-SKU",IF(COUNTIF(CATALOGO!$A$6:$A$105,B237)&lt;&gt;1,"SKU NO VALIDO",IF(OR(A237&lt;DATE(1900,1,1),A237&gt;DATE(2100,12,31),A237&gt;CONFIG!$B$5,C237&lt;0,C237&gt;1000000,D237&lt;0,D237&gt;1000000,E237&lt;0,E237&gt;1000000,E237&gt;D237,ABS(F237)&gt;1000000000,ABS(G237)&gt;1000000000,ROUND(F237,2)&lt;&gt;F237,AND(G237&lt;&gt;"",ROUND(G237,2)&lt;&gt;G237)),"REVISAR VALOR","OK"))))),"REVISAR VALOR")</f>
        <v>OK</v>
      </c>
    </row>
    <row r="238" spans="1:9" x14ac:dyDescent="0.45">
      <c r="A238" s="4">
        <v>46267</v>
      </c>
      <c r="B238" s="8" t="s">
        <v>85</v>
      </c>
      <c r="C238" s="5">
        <v>1</v>
      </c>
      <c r="D238" s="5">
        <v>0</v>
      </c>
      <c r="E238" s="5">
        <v>0</v>
      </c>
      <c r="F238" s="7">
        <v>899</v>
      </c>
      <c r="G238" s="7">
        <v>380</v>
      </c>
      <c r="H238" s="8" t="s">
        <v>110</v>
      </c>
      <c r="I238" s="12" t="str">
        <f>IFERROR(IF(COUNTA(A238:H238)=0,"",IF(OR(A238="",B238="",C238="",D238="",E238="",F238=""),"FALTA CAMPO",IF(COUNTIFS($A$6:$A$1005,A238,$B$6:$B$1005,B238)&gt;1,"DUPLICADO FECHA-SKU",IF(COUNTIF(CATALOGO!$A$6:$A$105,B238)&lt;&gt;1,"SKU NO VALIDO",IF(OR(A238&lt;DATE(1900,1,1),A238&gt;DATE(2100,12,31),A238&gt;CONFIG!$B$5,C238&lt;0,C238&gt;1000000,D238&lt;0,D238&gt;1000000,E238&lt;0,E238&gt;1000000,E238&gt;D238,ABS(F238)&gt;1000000000,ABS(G238)&gt;1000000000,ROUND(F238,2)&lt;&gt;F238,AND(G238&lt;&gt;"",ROUND(G238,2)&lt;&gt;G238)),"REVISAR VALOR","OK"))))),"REVISAR VALOR")</f>
        <v>OK</v>
      </c>
    </row>
    <row r="239" spans="1:9" x14ac:dyDescent="0.45">
      <c r="A239" s="4">
        <v>46268</v>
      </c>
      <c r="B239" s="8" t="s">
        <v>85</v>
      </c>
      <c r="C239" s="5">
        <v>1</v>
      </c>
      <c r="D239" s="5">
        <v>0</v>
      </c>
      <c r="E239" s="5">
        <v>0</v>
      </c>
      <c r="F239" s="7">
        <v>899</v>
      </c>
      <c r="G239" s="7">
        <v>380</v>
      </c>
      <c r="H239" s="8" t="s">
        <v>111</v>
      </c>
      <c r="I239" s="12" t="str">
        <f>IFERROR(IF(COUNTA(A239:H239)=0,"",IF(OR(A239="",B239="",C239="",D239="",E239="",F239=""),"FALTA CAMPO",IF(COUNTIFS($A$6:$A$1005,A239,$B$6:$B$1005,B239)&gt;1,"DUPLICADO FECHA-SKU",IF(COUNTIF(CATALOGO!$A$6:$A$105,B239)&lt;&gt;1,"SKU NO VALIDO",IF(OR(A239&lt;DATE(1900,1,1),A239&gt;DATE(2100,12,31),A239&gt;CONFIG!$B$5,C239&lt;0,C239&gt;1000000,D239&lt;0,D239&gt;1000000,E239&lt;0,E239&gt;1000000,E239&gt;D239,ABS(F239)&gt;1000000000,ABS(G239)&gt;1000000000,ROUND(F239,2)&lt;&gt;F239,AND(G239&lt;&gt;"",ROUND(G239,2)&lt;&gt;G239)),"REVISAR VALOR","OK"))))),"REVISAR VALOR")</f>
        <v>OK</v>
      </c>
    </row>
    <row r="240" spans="1:9" x14ac:dyDescent="0.45">
      <c r="A240" s="4">
        <v>46269</v>
      </c>
      <c r="B240" s="8" t="s">
        <v>85</v>
      </c>
      <c r="C240" s="5">
        <v>1</v>
      </c>
      <c r="D240" s="5">
        <v>0</v>
      </c>
      <c r="E240" s="5">
        <v>0</v>
      </c>
      <c r="F240" s="7">
        <v>899</v>
      </c>
      <c r="G240" s="7">
        <v>380</v>
      </c>
      <c r="H240" s="8" t="s">
        <v>112</v>
      </c>
      <c r="I240" s="12" t="str">
        <f>IFERROR(IF(COUNTA(A240:H240)=0,"",IF(OR(A240="",B240="",C240="",D240="",E240="",F240=""),"FALTA CAMPO",IF(COUNTIFS($A$6:$A$1005,A240,$B$6:$B$1005,B240)&gt;1,"DUPLICADO FECHA-SKU",IF(COUNTIF(CATALOGO!$A$6:$A$105,B240)&lt;&gt;1,"SKU NO VALIDO",IF(OR(A240&lt;DATE(1900,1,1),A240&gt;DATE(2100,12,31),A240&gt;CONFIG!$B$5,C240&lt;0,C240&gt;1000000,D240&lt;0,D240&gt;1000000,E240&lt;0,E240&gt;1000000,E240&gt;D240,ABS(F240)&gt;1000000000,ABS(G240)&gt;1000000000,ROUND(F240,2)&lt;&gt;F240,AND(G240&lt;&gt;"",ROUND(G240,2)&lt;&gt;G240)),"REVISAR VALOR","OK"))))),"REVISAR VALOR")</f>
        <v>OK</v>
      </c>
    </row>
    <row r="241" spans="1:9" x14ac:dyDescent="0.45">
      <c r="A241" s="4">
        <v>46270</v>
      </c>
      <c r="B241" s="8" t="s">
        <v>85</v>
      </c>
      <c r="C241" s="5">
        <v>1</v>
      </c>
      <c r="D241" s="5">
        <v>0</v>
      </c>
      <c r="E241" s="5">
        <v>0</v>
      </c>
      <c r="F241" s="7">
        <v>899</v>
      </c>
      <c r="G241" s="7">
        <v>380</v>
      </c>
      <c r="H241" s="8" t="s">
        <v>113</v>
      </c>
      <c r="I241" s="12" t="str">
        <f>IFERROR(IF(COUNTA(A241:H241)=0,"",IF(OR(A241="",B241="",C241="",D241="",E241="",F241=""),"FALTA CAMPO",IF(COUNTIFS($A$6:$A$1005,A241,$B$6:$B$1005,B241)&gt;1,"DUPLICADO FECHA-SKU",IF(COUNTIF(CATALOGO!$A$6:$A$105,B241)&lt;&gt;1,"SKU NO VALIDO",IF(OR(A241&lt;DATE(1900,1,1),A241&gt;DATE(2100,12,31),A241&gt;CONFIG!$B$5,C241&lt;0,C241&gt;1000000,D241&lt;0,D241&gt;1000000,E241&lt;0,E241&gt;1000000,E241&gt;D241,ABS(F241)&gt;1000000000,ABS(G241)&gt;1000000000,ROUND(F241,2)&lt;&gt;F241,AND(G241&lt;&gt;"",ROUND(G241,2)&lt;&gt;G241)),"REVISAR VALOR","OK"))))),"REVISAR VALOR")</f>
        <v>OK</v>
      </c>
    </row>
    <row r="242" spans="1:9" x14ac:dyDescent="0.45">
      <c r="A242" s="4">
        <v>46271</v>
      </c>
      <c r="B242" s="8" t="s">
        <v>85</v>
      </c>
      <c r="C242" s="5">
        <v>0</v>
      </c>
      <c r="D242" s="5">
        <v>0</v>
      </c>
      <c r="E242" s="5">
        <v>0</v>
      </c>
      <c r="F242" s="7">
        <v>0</v>
      </c>
      <c r="G242" s="7">
        <v>0</v>
      </c>
      <c r="H242" s="8" t="s">
        <v>114</v>
      </c>
      <c r="I242" s="12" t="str">
        <f>IFERROR(IF(COUNTA(A242:H242)=0,"",IF(OR(A242="",B242="",C242="",D242="",E242="",F242=""),"FALTA CAMPO",IF(COUNTIFS($A$6:$A$1005,A242,$B$6:$B$1005,B242)&gt;1,"DUPLICADO FECHA-SKU",IF(COUNTIF(CATALOGO!$A$6:$A$105,B242)&lt;&gt;1,"SKU NO VALIDO",IF(OR(A242&lt;DATE(1900,1,1),A242&gt;DATE(2100,12,31),A242&gt;CONFIG!$B$5,C242&lt;0,C242&gt;1000000,D242&lt;0,D242&gt;1000000,E242&lt;0,E242&gt;1000000,E242&gt;D242,ABS(F242)&gt;1000000000,ABS(G242)&gt;1000000000,ROUND(F242,2)&lt;&gt;F242,AND(G242&lt;&gt;"",ROUND(G242,2)&lt;&gt;G242)),"REVISAR VALOR","OK"))))),"REVISAR VALOR")</f>
        <v>OK</v>
      </c>
    </row>
    <row r="243" spans="1:9" x14ac:dyDescent="0.45">
      <c r="A243" s="4">
        <v>46272</v>
      </c>
      <c r="B243" s="8" t="s">
        <v>85</v>
      </c>
      <c r="C243" s="5">
        <v>0</v>
      </c>
      <c r="D243" s="5">
        <v>0</v>
      </c>
      <c r="E243" s="5">
        <v>0</v>
      </c>
      <c r="F243" s="7">
        <v>0</v>
      </c>
      <c r="G243" s="7">
        <v>0</v>
      </c>
      <c r="H243" s="8" t="s">
        <v>115</v>
      </c>
      <c r="I243" s="12" t="str">
        <f>IFERROR(IF(COUNTA(A243:H243)=0,"",IF(OR(A243="",B243="",C243="",D243="",E243="",F243=""),"FALTA CAMPO",IF(COUNTIFS($A$6:$A$1005,A243,$B$6:$B$1005,B243)&gt;1,"DUPLICADO FECHA-SKU",IF(COUNTIF(CATALOGO!$A$6:$A$105,B243)&lt;&gt;1,"SKU NO VALIDO",IF(OR(A243&lt;DATE(1900,1,1),A243&gt;DATE(2100,12,31),A243&gt;CONFIG!$B$5,C243&lt;0,C243&gt;1000000,D243&lt;0,D243&gt;1000000,E243&lt;0,E243&gt;1000000,E243&gt;D243,ABS(F243)&gt;1000000000,ABS(G243)&gt;1000000000,ROUND(F243,2)&lt;&gt;F243,AND(G243&lt;&gt;"",ROUND(G243,2)&lt;&gt;G243)),"REVISAR VALOR","OK"))))),"REVISAR VALOR")</f>
        <v>OK</v>
      </c>
    </row>
    <row r="244" spans="1:9" x14ac:dyDescent="0.45">
      <c r="A244" s="4">
        <v>46273</v>
      </c>
      <c r="B244" s="8" t="s">
        <v>85</v>
      </c>
      <c r="C244" s="5">
        <v>0</v>
      </c>
      <c r="D244" s="5">
        <v>0</v>
      </c>
      <c r="E244" s="5">
        <v>0</v>
      </c>
      <c r="F244" s="7">
        <v>0</v>
      </c>
      <c r="G244" s="7">
        <v>0</v>
      </c>
      <c r="H244" s="8" t="s">
        <v>116</v>
      </c>
      <c r="I244" s="12" t="str">
        <f>IFERROR(IF(COUNTA(A244:H244)=0,"",IF(OR(A244="",B244="",C244="",D244="",E244="",F244=""),"FALTA CAMPO",IF(COUNTIFS($A$6:$A$1005,A244,$B$6:$B$1005,B244)&gt;1,"DUPLICADO FECHA-SKU",IF(COUNTIF(CATALOGO!$A$6:$A$105,B244)&lt;&gt;1,"SKU NO VALIDO",IF(OR(A244&lt;DATE(1900,1,1),A244&gt;DATE(2100,12,31),A244&gt;CONFIG!$B$5,C244&lt;0,C244&gt;1000000,D244&lt;0,D244&gt;1000000,E244&lt;0,E244&gt;1000000,E244&gt;D244,ABS(F244)&gt;1000000000,ABS(G244)&gt;1000000000,ROUND(F244,2)&lt;&gt;F244,AND(G244&lt;&gt;"",ROUND(G244,2)&lt;&gt;G244)),"REVISAR VALOR","OK"))))),"REVISAR VALOR")</f>
        <v>OK</v>
      </c>
    </row>
    <row r="245" spans="1:9" x14ac:dyDescent="0.45">
      <c r="A245" s="4">
        <v>46274</v>
      </c>
      <c r="B245" s="8" t="s">
        <v>85</v>
      </c>
      <c r="C245" s="5">
        <v>0</v>
      </c>
      <c r="D245" s="5">
        <v>0</v>
      </c>
      <c r="E245" s="5">
        <v>0</v>
      </c>
      <c r="F245" s="7">
        <v>0</v>
      </c>
      <c r="G245" s="7">
        <v>0</v>
      </c>
      <c r="H245" s="8" t="s">
        <v>117</v>
      </c>
      <c r="I245" s="12" t="str">
        <f>IFERROR(IF(COUNTA(A245:H245)=0,"",IF(OR(A245="",B245="",C245="",D245="",E245="",F245=""),"FALTA CAMPO",IF(COUNTIFS($A$6:$A$1005,A245,$B$6:$B$1005,B245)&gt;1,"DUPLICADO FECHA-SKU",IF(COUNTIF(CATALOGO!$A$6:$A$105,B245)&lt;&gt;1,"SKU NO VALIDO",IF(OR(A245&lt;DATE(1900,1,1),A245&gt;DATE(2100,12,31),A245&gt;CONFIG!$B$5,C245&lt;0,C245&gt;1000000,D245&lt;0,D245&gt;1000000,E245&lt;0,E245&gt;1000000,E245&gt;D245,ABS(F245)&gt;1000000000,ABS(G245)&gt;1000000000,ROUND(F245,2)&lt;&gt;F245,AND(G245&lt;&gt;"",ROUND(G245,2)&lt;&gt;G245)),"REVISAR VALOR","OK"))))),"REVISAR VALOR")</f>
        <v>OK</v>
      </c>
    </row>
    <row r="246" spans="1:9" x14ac:dyDescent="0.45">
      <c r="A246" s="4">
        <v>46275</v>
      </c>
      <c r="B246" s="8" t="s">
        <v>85</v>
      </c>
      <c r="C246" s="5">
        <v>0</v>
      </c>
      <c r="D246" s="5">
        <v>0</v>
      </c>
      <c r="E246" s="5">
        <v>0</v>
      </c>
      <c r="F246" s="7">
        <v>0</v>
      </c>
      <c r="G246" s="7">
        <v>0</v>
      </c>
      <c r="H246" s="8" t="s">
        <v>118</v>
      </c>
      <c r="I246" s="12" t="str">
        <f>IFERROR(IF(COUNTA(A246:H246)=0,"",IF(OR(A246="",B246="",C246="",D246="",E246="",F246=""),"FALTA CAMPO",IF(COUNTIFS($A$6:$A$1005,A246,$B$6:$B$1005,B246)&gt;1,"DUPLICADO FECHA-SKU",IF(COUNTIF(CATALOGO!$A$6:$A$105,B246)&lt;&gt;1,"SKU NO VALIDO",IF(OR(A246&lt;DATE(1900,1,1),A246&gt;DATE(2100,12,31),A246&gt;CONFIG!$B$5,C246&lt;0,C246&gt;1000000,D246&lt;0,D246&gt;1000000,E246&lt;0,E246&gt;1000000,E246&gt;D246,ABS(F246)&gt;1000000000,ABS(G246)&gt;1000000000,ROUND(F246,2)&lt;&gt;F246,AND(G246&lt;&gt;"",ROUND(G246,2)&lt;&gt;G246)),"REVISAR VALOR","OK"))))),"REVISAR VALOR")</f>
        <v>OK</v>
      </c>
    </row>
    <row r="247" spans="1:9" x14ac:dyDescent="0.45">
      <c r="A247" s="4">
        <v>46276</v>
      </c>
      <c r="B247" s="8" t="s">
        <v>85</v>
      </c>
      <c r="C247" s="5">
        <v>0</v>
      </c>
      <c r="D247" s="5">
        <v>0</v>
      </c>
      <c r="E247" s="5">
        <v>0</v>
      </c>
      <c r="F247" s="7">
        <v>0</v>
      </c>
      <c r="G247" s="7">
        <v>0</v>
      </c>
      <c r="H247" s="8" t="s">
        <v>119</v>
      </c>
      <c r="I247" s="12" t="str">
        <f>IFERROR(IF(COUNTA(A247:H247)=0,"",IF(OR(A247="",B247="",C247="",D247="",E247="",F247=""),"FALTA CAMPO",IF(COUNTIFS($A$6:$A$1005,A247,$B$6:$B$1005,B247)&gt;1,"DUPLICADO FECHA-SKU",IF(COUNTIF(CATALOGO!$A$6:$A$105,B247)&lt;&gt;1,"SKU NO VALIDO",IF(OR(A247&lt;DATE(1900,1,1),A247&gt;DATE(2100,12,31),A247&gt;CONFIG!$B$5,C247&lt;0,C247&gt;1000000,D247&lt;0,D247&gt;1000000,E247&lt;0,E247&gt;1000000,E247&gt;D247,ABS(F247)&gt;1000000000,ABS(G247)&gt;1000000000,ROUND(F247,2)&lt;&gt;F247,AND(G247&lt;&gt;"",ROUND(G247,2)&lt;&gt;G247)),"REVISAR VALOR","OK"))))),"REVISAR VALOR")</f>
        <v>OK</v>
      </c>
    </row>
    <row r="248" spans="1:9" x14ac:dyDescent="0.45">
      <c r="A248" s="4">
        <v>46277</v>
      </c>
      <c r="B248" s="8" t="s">
        <v>85</v>
      </c>
      <c r="C248" s="5">
        <v>0</v>
      </c>
      <c r="D248" s="5">
        <v>0</v>
      </c>
      <c r="E248" s="5">
        <v>0</v>
      </c>
      <c r="F248" s="7">
        <v>0</v>
      </c>
      <c r="G248" s="7">
        <v>0</v>
      </c>
      <c r="H248" s="8" t="s">
        <v>120</v>
      </c>
      <c r="I248" s="12" t="str">
        <f>IFERROR(IF(COUNTA(A248:H248)=0,"",IF(OR(A248="",B248="",C248="",D248="",E248="",F248=""),"FALTA CAMPO",IF(COUNTIFS($A$6:$A$1005,A248,$B$6:$B$1005,B248)&gt;1,"DUPLICADO FECHA-SKU",IF(COUNTIF(CATALOGO!$A$6:$A$105,B248)&lt;&gt;1,"SKU NO VALIDO",IF(OR(A248&lt;DATE(1900,1,1),A248&gt;DATE(2100,12,31),A248&gt;CONFIG!$B$5,C248&lt;0,C248&gt;1000000,D248&lt;0,D248&gt;1000000,E248&lt;0,E248&gt;1000000,E248&gt;D248,ABS(F248)&gt;1000000000,ABS(G248)&gt;1000000000,ROUND(F248,2)&lt;&gt;F248,AND(G248&lt;&gt;"",ROUND(G248,2)&lt;&gt;G248)),"REVISAR VALOR","OK"))))),"REVISAR VALOR")</f>
        <v>OK</v>
      </c>
    </row>
    <row r="249" spans="1:9" x14ac:dyDescent="0.45">
      <c r="A249" s="4">
        <v>46278</v>
      </c>
      <c r="B249" s="8" t="s">
        <v>85</v>
      </c>
      <c r="C249" s="5">
        <v>0</v>
      </c>
      <c r="D249" s="5">
        <v>0</v>
      </c>
      <c r="E249" s="5">
        <v>0</v>
      </c>
      <c r="F249" s="7">
        <v>0</v>
      </c>
      <c r="G249" s="7">
        <v>0</v>
      </c>
      <c r="H249" s="8" t="s">
        <v>121</v>
      </c>
      <c r="I249" s="12" t="str">
        <f>IFERROR(IF(COUNTA(A249:H249)=0,"",IF(OR(A249="",B249="",C249="",D249="",E249="",F249=""),"FALTA CAMPO",IF(COUNTIFS($A$6:$A$1005,A249,$B$6:$B$1005,B249)&gt;1,"DUPLICADO FECHA-SKU",IF(COUNTIF(CATALOGO!$A$6:$A$105,B249)&lt;&gt;1,"SKU NO VALIDO",IF(OR(A249&lt;DATE(1900,1,1),A249&gt;DATE(2100,12,31),A249&gt;CONFIG!$B$5,C249&lt;0,C249&gt;1000000,D249&lt;0,D249&gt;1000000,E249&lt;0,E249&gt;1000000,E249&gt;D249,ABS(F249)&gt;1000000000,ABS(G249)&gt;1000000000,ROUND(F249,2)&lt;&gt;F249,AND(G249&lt;&gt;"",ROUND(G249,2)&lt;&gt;G249)),"REVISAR VALOR","OK"))))),"REVISAR VALOR")</f>
        <v>OK</v>
      </c>
    </row>
    <row r="250" spans="1:9" x14ac:dyDescent="0.45">
      <c r="A250" s="4">
        <v>46279</v>
      </c>
      <c r="B250" s="8" t="s">
        <v>85</v>
      </c>
      <c r="C250" s="5">
        <v>0</v>
      </c>
      <c r="D250" s="5">
        <v>0</v>
      </c>
      <c r="E250" s="5">
        <v>0</v>
      </c>
      <c r="F250" s="7">
        <v>0</v>
      </c>
      <c r="G250" s="7">
        <v>0</v>
      </c>
      <c r="H250" s="8" t="s">
        <v>122</v>
      </c>
      <c r="I250" s="12" t="str">
        <f>IFERROR(IF(COUNTA(A250:H250)=0,"",IF(OR(A250="",B250="",C250="",D250="",E250="",F250=""),"FALTA CAMPO",IF(COUNTIFS($A$6:$A$1005,A250,$B$6:$B$1005,B250)&gt;1,"DUPLICADO FECHA-SKU",IF(COUNTIF(CATALOGO!$A$6:$A$105,B250)&lt;&gt;1,"SKU NO VALIDO",IF(OR(A250&lt;DATE(1900,1,1),A250&gt;DATE(2100,12,31),A250&gt;CONFIG!$B$5,C250&lt;0,C250&gt;1000000,D250&lt;0,D250&gt;1000000,E250&lt;0,E250&gt;1000000,E250&gt;D250,ABS(F250)&gt;1000000000,ABS(G250)&gt;1000000000,ROUND(F250,2)&lt;&gt;F250,AND(G250&lt;&gt;"",ROUND(G250,2)&lt;&gt;G250)),"REVISAR VALOR","OK"))))),"REVISAR VALOR")</f>
        <v>OK</v>
      </c>
    </row>
    <row r="251" spans="1:9" x14ac:dyDescent="0.45">
      <c r="A251" s="4">
        <v>46280</v>
      </c>
      <c r="B251" s="8" t="s">
        <v>85</v>
      </c>
      <c r="C251" s="5">
        <v>0</v>
      </c>
      <c r="D251" s="5">
        <v>0</v>
      </c>
      <c r="E251" s="5">
        <v>0</v>
      </c>
      <c r="F251" s="7">
        <v>0</v>
      </c>
      <c r="G251" s="7">
        <v>0</v>
      </c>
      <c r="H251" s="8" t="s">
        <v>123</v>
      </c>
      <c r="I251" s="12" t="str">
        <f>IFERROR(IF(COUNTA(A251:H251)=0,"",IF(OR(A251="",B251="",C251="",D251="",E251="",F251=""),"FALTA CAMPO",IF(COUNTIFS($A$6:$A$1005,A251,$B$6:$B$1005,B251)&gt;1,"DUPLICADO FECHA-SKU",IF(COUNTIF(CATALOGO!$A$6:$A$105,B251)&lt;&gt;1,"SKU NO VALIDO",IF(OR(A251&lt;DATE(1900,1,1),A251&gt;DATE(2100,12,31),A251&gt;CONFIG!$B$5,C251&lt;0,C251&gt;1000000,D251&lt;0,D251&gt;1000000,E251&lt;0,E251&gt;1000000,E251&gt;D251,ABS(F251)&gt;1000000000,ABS(G251)&gt;1000000000,ROUND(F251,2)&lt;&gt;F251,AND(G251&lt;&gt;"",ROUND(G251,2)&lt;&gt;G251)),"REVISAR VALOR","OK"))))),"REVISAR VALOR")</f>
        <v>OK</v>
      </c>
    </row>
    <row r="252" spans="1:9" x14ac:dyDescent="0.45">
      <c r="A252" s="4">
        <v>46281</v>
      </c>
      <c r="B252" s="8" t="s">
        <v>85</v>
      </c>
      <c r="C252" s="5">
        <v>0</v>
      </c>
      <c r="D252" s="5">
        <v>0</v>
      </c>
      <c r="E252" s="5">
        <v>0</v>
      </c>
      <c r="F252" s="7">
        <v>0</v>
      </c>
      <c r="G252" s="7">
        <v>0</v>
      </c>
      <c r="H252" s="8" t="s">
        <v>124</v>
      </c>
      <c r="I252" s="12" t="str">
        <f>IFERROR(IF(COUNTA(A252:H252)=0,"",IF(OR(A252="",B252="",C252="",D252="",E252="",F252=""),"FALTA CAMPO",IF(COUNTIFS($A$6:$A$1005,A252,$B$6:$B$1005,B252)&gt;1,"DUPLICADO FECHA-SKU",IF(COUNTIF(CATALOGO!$A$6:$A$105,B252)&lt;&gt;1,"SKU NO VALIDO",IF(OR(A252&lt;DATE(1900,1,1),A252&gt;DATE(2100,12,31),A252&gt;CONFIG!$B$5,C252&lt;0,C252&gt;1000000,D252&lt;0,D252&gt;1000000,E252&lt;0,E252&gt;1000000,E252&gt;D252,ABS(F252)&gt;1000000000,ABS(G252)&gt;1000000000,ROUND(F252,2)&lt;&gt;F252,AND(G252&lt;&gt;"",ROUND(G252,2)&lt;&gt;G252)),"REVISAR VALOR","OK"))))),"REVISAR VALOR")</f>
        <v>OK</v>
      </c>
    </row>
    <row r="253" spans="1:9" x14ac:dyDescent="0.45">
      <c r="A253" s="4">
        <v>46282</v>
      </c>
      <c r="B253" s="8" t="s">
        <v>85</v>
      </c>
      <c r="C253" s="5">
        <v>0</v>
      </c>
      <c r="D253" s="5">
        <v>0</v>
      </c>
      <c r="E253" s="5">
        <v>0</v>
      </c>
      <c r="F253" s="7">
        <v>0</v>
      </c>
      <c r="G253" s="7">
        <v>0</v>
      </c>
      <c r="H253" s="8" t="s">
        <v>125</v>
      </c>
      <c r="I253" s="12" t="str">
        <f>IFERROR(IF(COUNTA(A253:H253)=0,"",IF(OR(A253="",B253="",C253="",D253="",E253="",F253=""),"FALTA CAMPO",IF(COUNTIFS($A$6:$A$1005,A253,$B$6:$B$1005,B253)&gt;1,"DUPLICADO FECHA-SKU",IF(COUNTIF(CATALOGO!$A$6:$A$105,B253)&lt;&gt;1,"SKU NO VALIDO",IF(OR(A253&lt;DATE(1900,1,1),A253&gt;DATE(2100,12,31),A253&gt;CONFIG!$B$5,C253&lt;0,C253&gt;1000000,D253&lt;0,D253&gt;1000000,E253&lt;0,E253&gt;1000000,E253&gt;D253,ABS(F253)&gt;1000000000,ABS(G253)&gt;1000000000,ROUND(F253,2)&lt;&gt;F253,AND(G253&lt;&gt;"",ROUND(G253,2)&lt;&gt;G253)),"REVISAR VALOR","OK"))))),"REVISAR VALOR")</f>
        <v>OK</v>
      </c>
    </row>
    <row r="254" spans="1:9" x14ac:dyDescent="0.45">
      <c r="A254" s="4">
        <v>46283</v>
      </c>
      <c r="B254" s="8" t="s">
        <v>85</v>
      </c>
      <c r="C254" s="5">
        <v>0</v>
      </c>
      <c r="D254" s="5">
        <v>0</v>
      </c>
      <c r="E254" s="5">
        <v>0</v>
      </c>
      <c r="F254" s="7">
        <v>0</v>
      </c>
      <c r="G254" s="7">
        <v>0</v>
      </c>
      <c r="H254" s="8" t="s">
        <v>126</v>
      </c>
      <c r="I254" s="12" t="str">
        <f>IFERROR(IF(COUNTA(A254:H254)=0,"",IF(OR(A254="",B254="",C254="",D254="",E254="",F254=""),"FALTA CAMPO",IF(COUNTIFS($A$6:$A$1005,A254,$B$6:$B$1005,B254)&gt;1,"DUPLICADO FECHA-SKU",IF(COUNTIF(CATALOGO!$A$6:$A$105,B254)&lt;&gt;1,"SKU NO VALIDO",IF(OR(A254&lt;DATE(1900,1,1),A254&gt;DATE(2100,12,31),A254&gt;CONFIG!$B$5,C254&lt;0,C254&gt;1000000,D254&lt;0,D254&gt;1000000,E254&lt;0,E254&gt;1000000,E254&gt;D254,ABS(F254)&gt;1000000000,ABS(G254)&gt;1000000000,ROUND(F254,2)&lt;&gt;F254,AND(G254&lt;&gt;"",ROUND(G254,2)&lt;&gt;G254)),"REVISAR VALOR","OK"))))),"REVISAR VALOR")</f>
        <v>OK</v>
      </c>
    </row>
    <row r="255" spans="1:9" x14ac:dyDescent="0.45">
      <c r="A255" s="4">
        <v>46284</v>
      </c>
      <c r="B255" s="8" t="s">
        <v>85</v>
      </c>
      <c r="C255" s="5">
        <v>0</v>
      </c>
      <c r="D255" s="5">
        <v>0</v>
      </c>
      <c r="E255" s="5">
        <v>0</v>
      </c>
      <c r="F255" s="7">
        <v>0</v>
      </c>
      <c r="G255" s="7">
        <v>0</v>
      </c>
      <c r="H255" s="8" t="s">
        <v>127</v>
      </c>
      <c r="I255" s="12" t="str">
        <f>IFERROR(IF(COUNTA(A255:H255)=0,"",IF(OR(A255="",B255="",C255="",D255="",E255="",F255=""),"FALTA CAMPO",IF(COUNTIFS($A$6:$A$1005,A255,$B$6:$B$1005,B255)&gt;1,"DUPLICADO FECHA-SKU",IF(COUNTIF(CATALOGO!$A$6:$A$105,B255)&lt;&gt;1,"SKU NO VALIDO",IF(OR(A255&lt;DATE(1900,1,1),A255&gt;DATE(2100,12,31),A255&gt;CONFIG!$B$5,C255&lt;0,C255&gt;1000000,D255&lt;0,D255&gt;1000000,E255&lt;0,E255&gt;1000000,E255&gt;D255,ABS(F255)&gt;1000000000,ABS(G255)&gt;1000000000,ROUND(F255,2)&lt;&gt;F255,AND(G255&lt;&gt;"",ROUND(G255,2)&lt;&gt;G255)),"REVISAR VALOR","OK"))))),"REVISAR VALOR")</f>
        <v>OK</v>
      </c>
    </row>
    <row r="256" spans="1:9" x14ac:dyDescent="0.45">
      <c r="A256" s="4">
        <v>46285</v>
      </c>
      <c r="B256" s="8" t="s">
        <v>85</v>
      </c>
      <c r="C256" s="5">
        <v>0</v>
      </c>
      <c r="D256" s="5">
        <v>0</v>
      </c>
      <c r="E256" s="5">
        <v>0</v>
      </c>
      <c r="F256" s="7">
        <v>0</v>
      </c>
      <c r="G256" s="7">
        <v>0</v>
      </c>
      <c r="H256" s="8" t="s">
        <v>128</v>
      </c>
      <c r="I256" s="12" t="str">
        <f>IFERROR(IF(COUNTA(A256:H256)=0,"",IF(OR(A256="",B256="",C256="",D256="",E256="",F256=""),"FALTA CAMPO",IF(COUNTIFS($A$6:$A$1005,A256,$B$6:$B$1005,B256)&gt;1,"DUPLICADO FECHA-SKU",IF(COUNTIF(CATALOGO!$A$6:$A$105,B256)&lt;&gt;1,"SKU NO VALIDO",IF(OR(A256&lt;DATE(1900,1,1),A256&gt;DATE(2100,12,31),A256&gt;CONFIG!$B$5,C256&lt;0,C256&gt;1000000,D256&lt;0,D256&gt;1000000,E256&lt;0,E256&gt;1000000,E256&gt;D256,ABS(F256)&gt;1000000000,ABS(G256)&gt;1000000000,ROUND(F256,2)&lt;&gt;F256,AND(G256&lt;&gt;"",ROUND(G256,2)&lt;&gt;G256)),"REVISAR VALOR","OK"))))),"REVISAR VALOR")</f>
        <v>OK</v>
      </c>
    </row>
    <row r="257" spans="1:9" x14ac:dyDescent="0.45">
      <c r="A257" s="4">
        <v>46286</v>
      </c>
      <c r="B257" s="8" t="s">
        <v>85</v>
      </c>
      <c r="C257" s="5">
        <v>0</v>
      </c>
      <c r="D257" s="5">
        <v>0</v>
      </c>
      <c r="E257" s="5">
        <v>0</v>
      </c>
      <c r="F257" s="7">
        <v>0</v>
      </c>
      <c r="G257" s="7">
        <v>0</v>
      </c>
      <c r="H257" s="8" t="s">
        <v>129</v>
      </c>
      <c r="I257" s="12" t="str">
        <f>IFERROR(IF(COUNTA(A257:H257)=0,"",IF(OR(A257="",B257="",C257="",D257="",E257="",F257=""),"FALTA CAMPO",IF(COUNTIFS($A$6:$A$1005,A257,$B$6:$B$1005,B257)&gt;1,"DUPLICADO FECHA-SKU",IF(COUNTIF(CATALOGO!$A$6:$A$105,B257)&lt;&gt;1,"SKU NO VALIDO",IF(OR(A257&lt;DATE(1900,1,1),A257&gt;DATE(2100,12,31),A257&gt;CONFIG!$B$5,C257&lt;0,C257&gt;1000000,D257&lt;0,D257&gt;1000000,E257&lt;0,E257&gt;1000000,E257&gt;D257,ABS(F257)&gt;1000000000,ABS(G257)&gt;1000000000,ROUND(F257,2)&lt;&gt;F257,AND(G257&lt;&gt;"",ROUND(G257,2)&lt;&gt;G257)),"REVISAR VALOR","OK"))))),"REVISAR VALOR")</f>
        <v>OK</v>
      </c>
    </row>
    <row r="258" spans="1:9" x14ac:dyDescent="0.45">
      <c r="A258" s="4">
        <v>46259</v>
      </c>
      <c r="B258" s="8" t="s">
        <v>89</v>
      </c>
      <c r="C258" s="5">
        <v>1</v>
      </c>
      <c r="D258" s="5">
        <v>1</v>
      </c>
      <c r="E258" s="5">
        <v>1</v>
      </c>
      <c r="F258" s="7">
        <v>0</v>
      </c>
      <c r="G258" s="7">
        <v>0</v>
      </c>
      <c r="H258" s="8" t="s">
        <v>102</v>
      </c>
      <c r="I258" s="12" t="str">
        <f>IFERROR(IF(COUNTA(A258:H258)=0,"",IF(OR(A258="",B258="",C258="",D258="",E258="",F258=""),"FALTA CAMPO",IF(COUNTIFS($A$6:$A$1005,A258,$B$6:$B$1005,B258)&gt;1,"DUPLICADO FECHA-SKU",IF(COUNTIF(CATALOGO!$A$6:$A$105,B258)&lt;&gt;1,"SKU NO VALIDO",IF(OR(A258&lt;DATE(1900,1,1),A258&gt;DATE(2100,12,31),A258&gt;CONFIG!$B$5,C258&lt;0,C258&gt;1000000,D258&lt;0,D258&gt;1000000,E258&lt;0,E258&gt;1000000,E258&gt;D258,ABS(F258)&gt;1000000000,ABS(G258)&gt;1000000000,ROUND(F258,2)&lt;&gt;F258,AND(G258&lt;&gt;"",ROUND(G258,2)&lt;&gt;G258)),"REVISAR VALOR","OK"))))),"REVISAR VALOR")</f>
        <v>OK</v>
      </c>
    </row>
    <row r="259" spans="1:9" x14ac:dyDescent="0.45">
      <c r="A259" s="4">
        <v>46260</v>
      </c>
      <c r="B259" s="8" t="s">
        <v>89</v>
      </c>
      <c r="C259" s="5">
        <v>1</v>
      </c>
      <c r="D259" s="5">
        <v>0</v>
      </c>
      <c r="E259" s="5">
        <v>0</v>
      </c>
      <c r="F259" s="7">
        <v>1299</v>
      </c>
      <c r="G259" s="7">
        <v>530</v>
      </c>
      <c r="H259" s="8" t="s">
        <v>103</v>
      </c>
      <c r="I259" s="12" t="str">
        <f>IFERROR(IF(COUNTA(A259:H259)=0,"",IF(OR(A259="",B259="",C259="",D259="",E259="",F259=""),"FALTA CAMPO",IF(COUNTIFS($A$6:$A$1005,A259,$B$6:$B$1005,B259)&gt;1,"DUPLICADO FECHA-SKU",IF(COUNTIF(CATALOGO!$A$6:$A$105,B259)&lt;&gt;1,"SKU NO VALIDO",IF(OR(A259&lt;DATE(1900,1,1),A259&gt;DATE(2100,12,31),A259&gt;CONFIG!$B$5,C259&lt;0,C259&gt;1000000,D259&lt;0,D259&gt;1000000,E259&lt;0,E259&gt;1000000,E259&gt;D259,ABS(F259)&gt;1000000000,ABS(G259)&gt;1000000000,ROUND(F259,2)&lt;&gt;F259,AND(G259&lt;&gt;"",ROUND(G259,2)&lt;&gt;G259)),"REVISAR VALOR","OK"))))),"REVISAR VALOR")</f>
        <v>OK</v>
      </c>
    </row>
    <row r="260" spans="1:9" x14ac:dyDescent="0.45">
      <c r="A260" s="4">
        <v>46261</v>
      </c>
      <c r="B260" s="8" t="s">
        <v>89</v>
      </c>
      <c r="C260" s="5">
        <v>1</v>
      </c>
      <c r="D260" s="5">
        <v>0</v>
      </c>
      <c r="E260" s="5">
        <v>0</v>
      </c>
      <c r="F260" s="7">
        <v>1299</v>
      </c>
      <c r="G260" s="7">
        <v>530</v>
      </c>
      <c r="H260" s="8" t="s">
        <v>104</v>
      </c>
      <c r="I260" s="12" t="str">
        <f>IFERROR(IF(COUNTA(A260:H260)=0,"",IF(OR(A260="",B260="",C260="",D260="",E260="",F260=""),"FALTA CAMPO",IF(COUNTIFS($A$6:$A$1005,A260,$B$6:$B$1005,B260)&gt;1,"DUPLICADO FECHA-SKU",IF(COUNTIF(CATALOGO!$A$6:$A$105,B260)&lt;&gt;1,"SKU NO VALIDO",IF(OR(A260&lt;DATE(1900,1,1),A260&gt;DATE(2100,12,31),A260&gt;CONFIG!$B$5,C260&lt;0,C260&gt;1000000,D260&lt;0,D260&gt;1000000,E260&lt;0,E260&gt;1000000,E260&gt;D260,ABS(F260)&gt;1000000000,ABS(G260)&gt;1000000000,ROUND(F260,2)&lt;&gt;F260,AND(G260&lt;&gt;"",ROUND(G260,2)&lt;&gt;G260)),"REVISAR VALOR","OK"))))),"REVISAR VALOR")</f>
        <v>OK</v>
      </c>
    </row>
    <row r="261" spans="1:9" x14ac:dyDescent="0.45">
      <c r="A261" s="4">
        <v>46262</v>
      </c>
      <c r="B261" s="8" t="s">
        <v>89</v>
      </c>
      <c r="C261" s="5">
        <v>1</v>
      </c>
      <c r="D261" s="5">
        <v>0</v>
      </c>
      <c r="E261" s="5">
        <v>0</v>
      </c>
      <c r="F261" s="7">
        <v>1299</v>
      </c>
      <c r="G261" s="7">
        <v>530</v>
      </c>
      <c r="H261" s="8" t="s">
        <v>105</v>
      </c>
      <c r="I261" s="12" t="str">
        <f>IFERROR(IF(COUNTA(A261:H261)=0,"",IF(OR(A261="",B261="",C261="",D261="",E261="",F261=""),"FALTA CAMPO",IF(COUNTIFS($A$6:$A$1005,A261,$B$6:$B$1005,B261)&gt;1,"DUPLICADO FECHA-SKU",IF(COUNTIF(CATALOGO!$A$6:$A$105,B261)&lt;&gt;1,"SKU NO VALIDO",IF(OR(A261&lt;DATE(1900,1,1),A261&gt;DATE(2100,12,31),A261&gt;CONFIG!$B$5,C261&lt;0,C261&gt;1000000,D261&lt;0,D261&gt;1000000,E261&lt;0,E261&gt;1000000,E261&gt;D261,ABS(F261)&gt;1000000000,ABS(G261)&gt;1000000000,ROUND(F261,2)&lt;&gt;F261,AND(G261&lt;&gt;"",ROUND(G261,2)&lt;&gt;G261)),"REVISAR VALOR","OK"))))),"REVISAR VALOR")</f>
        <v>OK</v>
      </c>
    </row>
    <row r="262" spans="1:9" x14ac:dyDescent="0.45">
      <c r="A262" s="4">
        <v>46263</v>
      </c>
      <c r="B262" s="8" t="s">
        <v>89</v>
      </c>
      <c r="C262" s="5">
        <v>1</v>
      </c>
      <c r="D262" s="5">
        <v>0</v>
      </c>
      <c r="E262" s="5">
        <v>0</v>
      </c>
      <c r="F262" s="7">
        <v>1299</v>
      </c>
      <c r="G262" s="7">
        <v>530</v>
      </c>
      <c r="H262" s="8" t="s">
        <v>106</v>
      </c>
      <c r="I262" s="12" t="str">
        <f>IFERROR(IF(COUNTA(A262:H262)=0,"",IF(OR(A262="",B262="",C262="",D262="",E262="",F262=""),"FALTA CAMPO",IF(COUNTIFS($A$6:$A$1005,A262,$B$6:$B$1005,B262)&gt;1,"DUPLICADO FECHA-SKU",IF(COUNTIF(CATALOGO!$A$6:$A$105,B262)&lt;&gt;1,"SKU NO VALIDO",IF(OR(A262&lt;DATE(1900,1,1),A262&gt;DATE(2100,12,31),A262&gt;CONFIG!$B$5,C262&lt;0,C262&gt;1000000,D262&lt;0,D262&gt;1000000,E262&lt;0,E262&gt;1000000,E262&gt;D262,ABS(F262)&gt;1000000000,ABS(G262)&gt;1000000000,ROUND(F262,2)&lt;&gt;F262,AND(G262&lt;&gt;"",ROUND(G262,2)&lt;&gt;G262)),"REVISAR VALOR","OK"))))),"REVISAR VALOR")</f>
        <v>OK</v>
      </c>
    </row>
    <row r="263" spans="1:9" x14ac:dyDescent="0.45">
      <c r="A263" s="4">
        <v>46264</v>
      </c>
      <c r="B263" s="8" t="s">
        <v>89</v>
      </c>
      <c r="C263" s="5">
        <v>1</v>
      </c>
      <c r="D263" s="5">
        <v>0</v>
      </c>
      <c r="E263" s="5">
        <v>0</v>
      </c>
      <c r="F263" s="7">
        <v>1299</v>
      </c>
      <c r="G263" s="7">
        <v>530</v>
      </c>
      <c r="H263" s="8" t="s">
        <v>107</v>
      </c>
      <c r="I263" s="12" t="str">
        <f>IFERROR(IF(COUNTA(A263:H263)=0,"",IF(OR(A263="",B263="",C263="",D263="",E263="",F263=""),"FALTA CAMPO",IF(COUNTIFS($A$6:$A$1005,A263,$B$6:$B$1005,B263)&gt;1,"DUPLICADO FECHA-SKU",IF(COUNTIF(CATALOGO!$A$6:$A$105,B263)&lt;&gt;1,"SKU NO VALIDO",IF(OR(A263&lt;DATE(1900,1,1),A263&gt;DATE(2100,12,31),A263&gt;CONFIG!$B$5,C263&lt;0,C263&gt;1000000,D263&lt;0,D263&gt;1000000,E263&lt;0,E263&gt;1000000,E263&gt;D263,ABS(F263)&gt;1000000000,ABS(G263)&gt;1000000000,ROUND(F263,2)&lt;&gt;F263,AND(G263&lt;&gt;"",ROUND(G263,2)&lt;&gt;G263)),"REVISAR VALOR","OK"))))),"REVISAR VALOR")</f>
        <v>OK</v>
      </c>
    </row>
    <row r="264" spans="1:9" x14ac:dyDescent="0.45">
      <c r="A264" s="4">
        <v>46265</v>
      </c>
      <c r="B264" s="8" t="s">
        <v>89</v>
      </c>
      <c r="C264" s="5">
        <v>1</v>
      </c>
      <c r="D264" s="5">
        <v>0</v>
      </c>
      <c r="E264" s="5">
        <v>0</v>
      </c>
      <c r="F264" s="7">
        <v>1299</v>
      </c>
      <c r="G264" s="7">
        <v>530</v>
      </c>
      <c r="H264" s="8" t="s">
        <v>108</v>
      </c>
      <c r="I264" s="12" t="str">
        <f>IFERROR(IF(COUNTA(A264:H264)=0,"",IF(OR(A264="",B264="",C264="",D264="",E264="",F264=""),"FALTA CAMPO",IF(COUNTIFS($A$6:$A$1005,A264,$B$6:$B$1005,B264)&gt;1,"DUPLICADO FECHA-SKU",IF(COUNTIF(CATALOGO!$A$6:$A$105,B264)&lt;&gt;1,"SKU NO VALIDO",IF(OR(A264&lt;DATE(1900,1,1),A264&gt;DATE(2100,12,31),A264&gt;CONFIG!$B$5,C264&lt;0,C264&gt;1000000,D264&lt;0,D264&gt;1000000,E264&lt;0,E264&gt;1000000,E264&gt;D264,ABS(F264)&gt;1000000000,ABS(G264)&gt;1000000000,ROUND(F264,2)&lt;&gt;F264,AND(G264&lt;&gt;"",ROUND(G264,2)&lt;&gt;G264)),"REVISAR VALOR","OK"))))),"REVISAR VALOR")</f>
        <v>OK</v>
      </c>
    </row>
    <row r="265" spans="1:9" x14ac:dyDescent="0.45">
      <c r="A265" s="4">
        <v>46266</v>
      </c>
      <c r="B265" s="8" t="s">
        <v>89</v>
      </c>
      <c r="C265" s="5">
        <v>1</v>
      </c>
      <c r="D265" s="5">
        <v>0</v>
      </c>
      <c r="E265" s="5">
        <v>0</v>
      </c>
      <c r="F265" s="7">
        <v>1299</v>
      </c>
      <c r="G265" s="7">
        <v>530</v>
      </c>
      <c r="H265" s="8" t="s">
        <v>109</v>
      </c>
      <c r="I265" s="12" t="str">
        <f>IFERROR(IF(COUNTA(A265:H265)=0,"",IF(OR(A265="",B265="",C265="",D265="",E265="",F265=""),"FALTA CAMPO",IF(COUNTIFS($A$6:$A$1005,A265,$B$6:$B$1005,B265)&gt;1,"DUPLICADO FECHA-SKU",IF(COUNTIF(CATALOGO!$A$6:$A$105,B265)&lt;&gt;1,"SKU NO VALIDO",IF(OR(A265&lt;DATE(1900,1,1),A265&gt;DATE(2100,12,31),A265&gt;CONFIG!$B$5,C265&lt;0,C265&gt;1000000,D265&lt;0,D265&gt;1000000,E265&lt;0,E265&gt;1000000,E265&gt;D265,ABS(F265)&gt;1000000000,ABS(G265)&gt;1000000000,ROUND(F265,2)&lt;&gt;F265,AND(G265&lt;&gt;"",ROUND(G265,2)&lt;&gt;G265)),"REVISAR VALOR","OK"))))),"REVISAR VALOR")</f>
        <v>OK</v>
      </c>
    </row>
    <row r="266" spans="1:9" x14ac:dyDescent="0.45">
      <c r="A266" s="4">
        <v>46267</v>
      </c>
      <c r="B266" s="8" t="s">
        <v>89</v>
      </c>
      <c r="C266" s="5">
        <v>0</v>
      </c>
      <c r="D266" s="5">
        <v>0</v>
      </c>
      <c r="E266" s="5">
        <v>0</v>
      </c>
      <c r="F266" s="7">
        <v>0</v>
      </c>
      <c r="G266" s="7">
        <v>0</v>
      </c>
      <c r="H266" s="8" t="s">
        <v>110</v>
      </c>
      <c r="I266" s="12" t="str">
        <f>IFERROR(IF(COUNTA(A266:H266)=0,"",IF(OR(A266="",B266="",C266="",D266="",E266="",F266=""),"FALTA CAMPO",IF(COUNTIFS($A$6:$A$1005,A266,$B$6:$B$1005,B266)&gt;1,"DUPLICADO FECHA-SKU",IF(COUNTIF(CATALOGO!$A$6:$A$105,B266)&lt;&gt;1,"SKU NO VALIDO",IF(OR(A266&lt;DATE(1900,1,1),A266&gt;DATE(2100,12,31),A266&gt;CONFIG!$B$5,C266&lt;0,C266&gt;1000000,D266&lt;0,D266&gt;1000000,E266&lt;0,E266&gt;1000000,E266&gt;D266,ABS(F266)&gt;1000000000,ABS(G266)&gt;1000000000,ROUND(F266,2)&lt;&gt;F266,AND(G266&lt;&gt;"",ROUND(G266,2)&lt;&gt;G266)),"REVISAR VALOR","OK"))))),"REVISAR VALOR")</f>
        <v>OK</v>
      </c>
    </row>
    <row r="267" spans="1:9" x14ac:dyDescent="0.45">
      <c r="A267" s="4">
        <v>46268</v>
      </c>
      <c r="B267" s="8" t="s">
        <v>89</v>
      </c>
      <c r="C267" s="5">
        <v>0</v>
      </c>
      <c r="D267" s="5">
        <v>0</v>
      </c>
      <c r="E267" s="5">
        <v>0</v>
      </c>
      <c r="F267" s="7">
        <v>0</v>
      </c>
      <c r="G267" s="7">
        <v>0</v>
      </c>
      <c r="H267" s="8" t="s">
        <v>111</v>
      </c>
      <c r="I267" s="12" t="str">
        <f>IFERROR(IF(COUNTA(A267:H267)=0,"",IF(OR(A267="",B267="",C267="",D267="",E267="",F267=""),"FALTA CAMPO",IF(COUNTIFS($A$6:$A$1005,A267,$B$6:$B$1005,B267)&gt;1,"DUPLICADO FECHA-SKU",IF(COUNTIF(CATALOGO!$A$6:$A$105,B267)&lt;&gt;1,"SKU NO VALIDO",IF(OR(A267&lt;DATE(1900,1,1),A267&gt;DATE(2100,12,31),A267&gt;CONFIG!$B$5,C267&lt;0,C267&gt;1000000,D267&lt;0,D267&gt;1000000,E267&lt;0,E267&gt;1000000,E267&gt;D267,ABS(F267)&gt;1000000000,ABS(G267)&gt;1000000000,ROUND(F267,2)&lt;&gt;F267,AND(G267&lt;&gt;"",ROUND(G267,2)&lt;&gt;G267)),"REVISAR VALOR","OK"))))),"REVISAR VALOR")</f>
        <v>OK</v>
      </c>
    </row>
    <row r="268" spans="1:9" x14ac:dyDescent="0.45">
      <c r="A268" s="4">
        <v>46269</v>
      </c>
      <c r="B268" s="8" t="s">
        <v>89</v>
      </c>
      <c r="C268" s="5">
        <v>0</v>
      </c>
      <c r="D268" s="5">
        <v>0</v>
      </c>
      <c r="E268" s="5">
        <v>0</v>
      </c>
      <c r="F268" s="7">
        <v>0</v>
      </c>
      <c r="G268" s="7">
        <v>0</v>
      </c>
      <c r="H268" s="8" t="s">
        <v>112</v>
      </c>
      <c r="I268" s="12" t="str">
        <f>IFERROR(IF(COUNTA(A268:H268)=0,"",IF(OR(A268="",B268="",C268="",D268="",E268="",F268=""),"FALTA CAMPO",IF(COUNTIFS($A$6:$A$1005,A268,$B$6:$B$1005,B268)&gt;1,"DUPLICADO FECHA-SKU",IF(COUNTIF(CATALOGO!$A$6:$A$105,B268)&lt;&gt;1,"SKU NO VALIDO",IF(OR(A268&lt;DATE(1900,1,1),A268&gt;DATE(2100,12,31),A268&gt;CONFIG!$B$5,C268&lt;0,C268&gt;1000000,D268&lt;0,D268&gt;1000000,E268&lt;0,E268&gt;1000000,E268&gt;D268,ABS(F268)&gt;1000000000,ABS(G268)&gt;1000000000,ROUND(F268,2)&lt;&gt;F268,AND(G268&lt;&gt;"",ROUND(G268,2)&lt;&gt;G268)),"REVISAR VALOR","OK"))))),"REVISAR VALOR")</f>
        <v>OK</v>
      </c>
    </row>
    <row r="269" spans="1:9" x14ac:dyDescent="0.45">
      <c r="A269" s="4">
        <v>46270</v>
      </c>
      <c r="B269" s="8" t="s">
        <v>89</v>
      </c>
      <c r="C269" s="5">
        <v>0</v>
      </c>
      <c r="D269" s="5">
        <v>0</v>
      </c>
      <c r="E269" s="5">
        <v>0</v>
      </c>
      <c r="F269" s="7">
        <v>0</v>
      </c>
      <c r="G269" s="7">
        <v>0</v>
      </c>
      <c r="H269" s="8" t="s">
        <v>113</v>
      </c>
      <c r="I269" s="12" t="str">
        <f>IFERROR(IF(COUNTA(A269:H269)=0,"",IF(OR(A269="",B269="",C269="",D269="",E269="",F269=""),"FALTA CAMPO",IF(COUNTIFS($A$6:$A$1005,A269,$B$6:$B$1005,B269)&gt;1,"DUPLICADO FECHA-SKU",IF(COUNTIF(CATALOGO!$A$6:$A$105,B269)&lt;&gt;1,"SKU NO VALIDO",IF(OR(A269&lt;DATE(1900,1,1),A269&gt;DATE(2100,12,31),A269&gt;CONFIG!$B$5,C269&lt;0,C269&gt;1000000,D269&lt;0,D269&gt;1000000,E269&lt;0,E269&gt;1000000,E269&gt;D269,ABS(F269)&gt;1000000000,ABS(G269)&gt;1000000000,ROUND(F269,2)&lt;&gt;F269,AND(G269&lt;&gt;"",ROUND(G269,2)&lt;&gt;G269)),"REVISAR VALOR","OK"))))),"REVISAR VALOR")</f>
        <v>OK</v>
      </c>
    </row>
    <row r="270" spans="1:9" x14ac:dyDescent="0.45">
      <c r="A270" s="4">
        <v>46271</v>
      </c>
      <c r="B270" s="8" t="s">
        <v>89</v>
      </c>
      <c r="C270" s="5">
        <v>0</v>
      </c>
      <c r="D270" s="5">
        <v>0</v>
      </c>
      <c r="E270" s="5">
        <v>0</v>
      </c>
      <c r="F270" s="7">
        <v>0</v>
      </c>
      <c r="G270" s="7">
        <v>0</v>
      </c>
      <c r="H270" s="8" t="s">
        <v>114</v>
      </c>
      <c r="I270" s="12" t="str">
        <f>IFERROR(IF(COUNTA(A270:H270)=0,"",IF(OR(A270="",B270="",C270="",D270="",E270="",F270=""),"FALTA CAMPO",IF(COUNTIFS($A$6:$A$1005,A270,$B$6:$B$1005,B270)&gt;1,"DUPLICADO FECHA-SKU",IF(COUNTIF(CATALOGO!$A$6:$A$105,B270)&lt;&gt;1,"SKU NO VALIDO",IF(OR(A270&lt;DATE(1900,1,1),A270&gt;DATE(2100,12,31),A270&gt;CONFIG!$B$5,C270&lt;0,C270&gt;1000000,D270&lt;0,D270&gt;1000000,E270&lt;0,E270&gt;1000000,E270&gt;D270,ABS(F270)&gt;1000000000,ABS(G270)&gt;1000000000,ROUND(F270,2)&lt;&gt;F270,AND(G270&lt;&gt;"",ROUND(G270,2)&lt;&gt;G270)),"REVISAR VALOR","OK"))))),"REVISAR VALOR")</f>
        <v>OK</v>
      </c>
    </row>
    <row r="271" spans="1:9" x14ac:dyDescent="0.45">
      <c r="A271" s="4">
        <v>46272</v>
      </c>
      <c r="B271" s="8" t="s">
        <v>89</v>
      </c>
      <c r="C271" s="5">
        <v>0</v>
      </c>
      <c r="D271" s="5">
        <v>0</v>
      </c>
      <c r="E271" s="5">
        <v>0</v>
      </c>
      <c r="F271" s="7">
        <v>0</v>
      </c>
      <c r="G271" s="7">
        <v>0</v>
      </c>
      <c r="H271" s="8" t="s">
        <v>115</v>
      </c>
      <c r="I271" s="12" t="str">
        <f>IFERROR(IF(COUNTA(A271:H271)=0,"",IF(OR(A271="",B271="",C271="",D271="",E271="",F271=""),"FALTA CAMPO",IF(COUNTIFS($A$6:$A$1005,A271,$B$6:$B$1005,B271)&gt;1,"DUPLICADO FECHA-SKU",IF(COUNTIF(CATALOGO!$A$6:$A$105,B271)&lt;&gt;1,"SKU NO VALIDO",IF(OR(A271&lt;DATE(1900,1,1),A271&gt;DATE(2100,12,31),A271&gt;CONFIG!$B$5,C271&lt;0,C271&gt;1000000,D271&lt;0,D271&gt;1000000,E271&lt;0,E271&gt;1000000,E271&gt;D271,ABS(F271)&gt;1000000000,ABS(G271)&gt;1000000000,ROUND(F271,2)&lt;&gt;F271,AND(G271&lt;&gt;"",ROUND(G271,2)&lt;&gt;G271)),"REVISAR VALOR","OK"))))),"REVISAR VALOR")</f>
        <v>OK</v>
      </c>
    </row>
    <row r="272" spans="1:9" x14ac:dyDescent="0.45">
      <c r="A272" s="4">
        <v>46273</v>
      </c>
      <c r="B272" s="8" t="s">
        <v>89</v>
      </c>
      <c r="C272" s="5">
        <v>0</v>
      </c>
      <c r="D272" s="5">
        <v>0</v>
      </c>
      <c r="E272" s="5">
        <v>0</v>
      </c>
      <c r="F272" s="7">
        <v>0</v>
      </c>
      <c r="G272" s="7">
        <v>0</v>
      </c>
      <c r="H272" s="8" t="s">
        <v>116</v>
      </c>
      <c r="I272" s="12" t="str">
        <f>IFERROR(IF(COUNTA(A272:H272)=0,"",IF(OR(A272="",B272="",C272="",D272="",E272="",F272=""),"FALTA CAMPO",IF(COUNTIFS($A$6:$A$1005,A272,$B$6:$B$1005,B272)&gt;1,"DUPLICADO FECHA-SKU",IF(COUNTIF(CATALOGO!$A$6:$A$105,B272)&lt;&gt;1,"SKU NO VALIDO",IF(OR(A272&lt;DATE(1900,1,1),A272&gt;DATE(2100,12,31),A272&gt;CONFIG!$B$5,C272&lt;0,C272&gt;1000000,D272&lt;0,D272&gt;1000000,E272&lt;0,E272&gt;1000000,E272&gt;D272,ABS(F272)&gt;1000000000,ABS(G272)&gt;1000000000,ROUND(F272,2)&lt;&gt;F272,AND(G272&lt;&gt;"",ROUND(G272,2)&lt;&gt;G272)),"REVISAR VALOR","OK"))))),"REVISAR VALOR")</f>
        <v>OK</v>
      </c>
    </row>
    <row r="273" spans="1:9" x14ac:dyDescent="0.45">
      <c r="A273" s="4">
        <v>46274</v>
      </c>
      <c r="B273" s="8" t="s">
        <v>89</v>
      </c>
      <c r="C273" s="5">
        <v>0</v>
      </c>
      <c r="D273" s="5">
        <v>0</v>
      </c>
      <c r="E273" s="5">
        <v>0</v>
      </c>
      <c r="F273" s="7">
        <v>0</v>
      </c>
      <c r="G273" s="7">
        <v>0</v>
      </c>
      <c r="H273" s="8" t="s">
        <v>117</v>
      </c>
      <c r="I273" s="12" t="str">
        <f>IFERROR(IF(COUNTA(A273:H273)=0,"",IF(OR(A273="",B273="",C273="",D273="",E273="",F273=""),"FALTA CAMPO",IF(COUNTIFS($A$6:$A$1005,A273,$B$6:$B$1005,B273)&gt;1,"DUPLICADO FECHA-SKU",IF(COUNTIF(CATALOGO!$A$6:$A$105,B273)&lt;&gt;1,"SKU NO VALIDO",IF(OR(A273&lt;DATE(1900,1,1),A273&gt;DATE(2100,12,31),A273&gt;CONFIG!$B$5,C273&lt;0,C273&gt;1000000,D273&lt;0,D273&gt;1000000,E273&lt;0,E273&gt;1000000,E273&gt;D273,ABS(F273)&gt;1000000000,ABS(G273)&gt;1000000000,ROUND(F273,2)&lt;&gt;F273,AND(G273&lt;&gt;"",ROUND(G273,2)&lt;&gt;G273)),"REVISAR VALOR","OK"))))),"REVISAR VALOR")</f>
        <v>OK</v>
      </c>
    </row>
    <row r="274" spans="1:9" x14ac:dyDescent="0.45">
      <c r="A274" s="4">
        <v>46275</v>
      </c>
      <c r="B274" s="8" t="s">
        <v>89</v>
      </c>
      <c r="C274" s="5">
        <v>0</v>
      </c>
      <c r="D274" s="5">
        <v>0</v>
      </c>
      <c r="E274" s="5">
        <v>0</v>
      </c>
      <c r="F274" s="7">
        <v>0</v>
      </c>
      <c r="G274" s="7">
        <v>0</v>
      </c>
      <c r="H274" s="8" t="s">
        <v>118</v>
      </c>
      <c r="I274" s="12" t="str">
        <f>IFERROR(IF(COUNTA(A274:H274)=0,"",IF(OR(A274="",B274="",C274="",D274="",E274="",F274=""),"FALTA CAMPO",IF(COUNTIFS($A$6:$A$1005,A274,$B$6:$B$1005,B274)&gt;1,"DUPLICADO FECHA-SKU",IF(COUNTIF(CATALOGO!$A$6:$A$105,B274)&lt;&gt;1,"SKU NO VALIDO",IF(OR(A274&lt;DATE(1900,1,1),A274&gt;DATE(2100,12,31),A274&gt;CONFIG!$B$5,C274&lt;0,C274&gt;1000000,D274&lt;0,D274&gt;1000000,E274&lt;0,E274&gt;1000000,E274&gt;D274,ABS(F274)&gt;1000000000,ABS(G274)&gt;1000000000,ROUND(F274,2)&lt;&gt;F274,AND(G274&lt;&gt;"",ROUND(G274,2)&lt;&gt;G274)),"REVISAR VALOR","OK"))))),"REVISAR VALOR")</f>
        <v>OK</v>
      </c>
    </row>
    <row r="275" spans="1:9" x14ac:dyDescent="0.45">
      <c r="A275" s="4">
        <v>46276</v>
      </c>
      <c r="B275" s="8" t="s">
        <v>89</v>
      </c>
      <c r="C275" s="5">
        <v>0</v>
      </c>
      <c r="D275" s="5">
        <v>0</v>
      </c>
      <c r="E275" s="5">
        <v>0</v>
      </c>
      <c r="F275" s="7">
        <v>0</v>
      </c>
      <c r="G275" s="7">
        <v>0</v>
      </c>
      <c r="H275" s="8" t="s">
        <v>119</v>
      </c>
      <c r="I275" s="12" t="str">
        <f>IFERROR(IF(COUNTA(A275:H275)=0,"",IF(OR(A275="",B275="",C275="",D275="",E275="",F275=""),"FALTA CAMPO",IF(COUNTIFS($A$6:$A$1005,A275,$B$6:$B$1005,B275)&gt;1,"DUPLICADO FECHA-SKU",IF(COUNTIF(CATALOGO!$A$6:$A$105,B275)&lt;&gt;1,"SKU NO VALIDO",IF(OR(A275&lt;DATE(1900,1,1),A275&gt;DATE(2100,12,31),A275&gt;CONFIG!$B$5,C275&lt;0,C275&gt;1000000,D275&lt;0,D275&gt;1000000,E275&lt;0,E275&gt;1000000,E275&gt;D275,ABS(F275)&gt;1000000000,ABS(G275)&gt;1000000000,ROUND(F275,2)&lt;&gt;F275,AND(G275&lt;&gt;"",ROUND(G275,2)&lt;&gt;G275)),"REVISAR VALOR","OK"))))),"REVISAR VALOR")</f>
        <v>OK</v>
      </c>
    </row>
    <row r="276" spans="1:9" x14ac:dyDescent="0.45">
      <c r="A276" s="4">
        <v>46277</v>
      </c>
      <c r="B276" s="8" t="s">
        <v>89</v>
      </c>
      <c r="C276" s="5">
        <v>0</v>
      </c>
      <c r="D276" s="5">
        <v>0</v>
      </c>
      <c r="E276" s="5">
        <v>0</v>
      </c>
      <c r="F276" s="7">
        <v>0</v>
      </c>
      <c r="G276" s="7">
        <v>0</v>
      </c>
      <c r="H276" s="8" t="s">
        <v>120</v>
      </c>
      <c r="I276" s="12" t="str">
        <f>IFERROR(IF(COUNTA(A276:H276)=0,"",IF(OR(A276="",B276="",C276="",D276="",E276="",F276=""),"FALTA CAMPO",IF(COUNTIFS($A$6:$A$1005,A276,$B$6:$B$1005,B276)&gt;1,"DUPLICADO FECHA-SKU",IF(COUNTIF(CATALOGO!$A$6:$A$105,B276)&lt;&gt;1,"SKU NO VALIDO",IF(OR(A276&lt;DATE(1900,1,1),A276&gt;DATE(2100,12,31),A276&gt;CONFIG!$B$5,C276&lt;0,C276&gt;1000000,D276&lt;0,D276&gt;1000000,E276&lt;0,E276&gt;1000000,E276&gt;D276,ABS(F276)&gt;1000000000,ABS(G276)&gt;1000000000,ROUND(F276,2)&lt;&gt;F276,AND(G276&lt;&gt;"",ROUND(G276,2)&lt;&gt;G276)),"REVISAR VALOR","OK"))))),"REVISAR VALOR")</f>
        <v>OK</v>
      </c>
    </row>
    <row r="277" spans="1:9" x14ac:dyDescent="0.45">
      <c r="A277" s="4">
        <v>46278</v>
      </c>
      <c r="B277" s="8" t="s">
        <v>89</v>
      </c>
      <c r="C277" s="5">
        <v>0</v>
      </c>
      <c r="D277" s="5">
        <v>0</v>
      </c>
      <c r="E277" s="5">
        <v>0</v>
      </c>
      <c r="F277" s="7">
        <v>0</v>
      </c>
      <c r="G277" s="7">
        <v>0</v>
      </c>
      <c r="H277" s="8" t="s">
        <v>121</v>
      </c>
      <c r="I277" s="12" t="str">
        <f>IFERROR(IF(COUNTA(A277:H277)=0,"",IF(OR(A277="",B277="",C277="",D277="",E277="",F277=""),"FALTA CAMPO",IF(COUNTIFS($A$6:$A$1005,A277,$B$6:$B$1005,B277)&gt;1,"DUPLICADO FECHA-SKU",IF(COUNTIF(CATALOGO!$A$6:$A$105,B277)&lt;&gt;1,"SKU NO VALIDO",IF(OR(A277&lt;DATE(1900,1,1),A277&gt;DATE(2100,12,31),A277&gt;CONFIG!$B$5,C277&lt;0,C277&gt;1000000,D277&lt;0,D277&gt;1000000,E277&lt;0,E277&gt;1000000,E277&gt;D277,ABS(F277)&gt;1000000000,ABS(G277)&gt;1000000000,ROUND(F277,2)&lt;&gt;F277,AND(G277&lt;&gt;"",ROUND(G277,2)&lt;&gt;G277)),"REVISAR VALOR","OK"))))),"REVISAR VALOR")</f>
        <v>OK</v>
      </c>
    </row>
    <row r="278" spans="1:9" x14ac:dyDescent="0.45">
      <c r="A278" s="4">
        <v>46279</v>
      </c>
      <c r="B278" s="8" t="s">
        <v>89</v>
      </c>
      <c r="C278" s="5">
        <v>0</v>
      </c>
      <c r="D278" s="5">
        <v>0</v>
      </c>
      <c r="E278" s="5">
        <v>0</v>
      </c>
      <c r="F278" s="7">
        <v>0</v>
      </c>
      <c r="G278" s="7">
        <v>0</v>
      </c>
      <c r="H278" s="8" t="s">
        <v>122</v>
      </c>
      <c r="I278" s="12" t="str">
        <f>IFERROR(IF(COUNTA(A278:H278)=0,"",IF(OR(A278="",B278="",C278="",D278="",E278="",F278=""),"FALTA CAMPO",IF(COUNTIFS($A$6:$A$1005,A278,$B$6:$B$1005,B278)&gt;1,"DUPLICADO FECHA-SKU",IF(COUNTIF(CATALOGO!$A$6:$A$105,B278)&lt;&gt;1,"SKU NO VALIDO",IF(OR(A278&lt;DATE(1900,1,1),A278&gt;DATE(2100,12,31),A278&gt;CONFIG!$B$5,C278&lt;0,C278&gt;1000000,D278&lt;0,D278&gt;1000000,E278&lt;0,E278&gt;1000000,E278&gt;D278,ABS(F278)&gt;1000000000,ABS(G278)&gt;1000000000,ROUND(F278,2)&lt;&gt;F278,AND(G278&lt;&gt;"",ROUND(G278,2)&lt;&gt;G278)),"REVISAR VALOR","OK"))))),"REVISAR VALOR")</f>
        <v>OK</v>
      </c>
    </row>
    <row r="279" spans="1:9" x14ac:dyDescent="0.45">
      <c r="A279" s="4">
        <v>46280</v>
      </c>
      <c r="B279" s="8" t="s">
        <v>89</v>
      </c>
      <c r="C279" s="5">
        <v>0</v>
      </c>
      <c r="D279" s="5">
        <v>0</v>
      </c>
      <c r="E279" s="5">
        <v>0</v>
      </c>
      <c r="F279" s="7">
        <v>0</v>
      </c>
      <c r="G279" s="7">
        <v>0</v>
      </c>
      <c r="H279" s="8" t="s">
        <v>123</v>
      </c>
      <c r="I279" s="12" t="str">
        <f>IFERROR(IF(COUNTA(A279:H279)=0,"",IF(OR(A279="",B279="",C279="",D279="",E279="",F279=""),"FALTA CAMPO",IF(COUNTIFS($A$6:$A$1005,A279,$B$6:$B$1005,B279)&gt;1,"DUPLICADO FECHA-SKU",IF(COUNTIF(CATALOGO!$A$6:$A$105,B279)&lt;&gt;1,"SKU NO VALIDO",IF(OR(A279&lt;DATE(1900,1,1),A279&gt;DATE(2100,12,31),A279&gt;CONFIG!$B$5,C279&lt;0,C279&gt;1000000,D279&lt;0,D279&gt;1000000,E279&lt;0,E279&gt;1000000,E279&gt;D279,ABS(F279)&gt;1000000000,ABS(G279)&gt;1000000000,ROUND(F279,2)&lt;&gt;F279,AND(G279&lt;&gt;"",ROUND(G279,2)&lt;&gt;G279)),"REVISAR VALOR","OK"))))),"REVISAR VALOR")</f>
        <v>OK</v>
      </c>
    </row>
    <row r="280" spans="1:9" x14ac:dyDescent="0.45">
      <c r="A280" s="4">
        <v>46281</v>
      </c>
      <c r="B280" s="8" t="s">
        <v>89</v>
      </c>
      <c r="C280" s="5">
        <v>0</v>
      </c>
      <c r="D280" s="5">
        <v>0</v>
      </c>
      <c r="E280" s="5">
        <v>0</v>
      </c>
      <c r="F280" s="7">
        <v>0</v>
      </c>
      <c r="G280" s="7">
        <v>0</v>
      </c>
      <c r="H280" s="8" t="s">
        <v>124</v>
      </c>
      <c r="I280" s="12" t="str">
        <f>IFERROR(IF(COUNTA(A280:H280)=0,"",IF(OR(A280="",B280="",C280="",D280="",E280="",F280=""),"FALTA CAMPO",IF(COUNTIFS($A$6:$A$1005,A280,$B$6:$B$1005,B280)&gt;1,"DUPLICADO FECHA-SKU",IF(COUNTIF(CATALOGO!$A$6:$A$105,B280)&lt;&gt;1,"SKU NO VALIDO",IF(OR(A280&lt;DATE(1900,1,1),A280&gt;DATE(2100,12,31),A280&gt;CONFIG!$B$5,C280&lt;0,C280&gt;1000000,D280&lt;0,D280&gt;1000000,E280&lt;0,E280&gt;1000000,E280&gt;D280,ABS(F280)&gt;1000000000,ABS(G280)&gt;1000000000,ROUND(F280,2)&lt;&gt;F280,AND(G280&lt;&gt;"",ROUND(G280,2)&lt;&gt;G280)),"REVISAR VALOR","OK"))))),"REVISAR VALOR")</f>
        <v>OK</v>
      </c>
    </row>
    <row r="281" spans="1:9" x14ac:dyDescent="0.45">
      <c r="A281" s="4">
        <v>46282</v>
      </c>
      <c r="B281" s="8" t="s">
        <v>89</v>
      </c>
      <c r="C281" s="5">
        <v>0</v>
      </c>
      <c r="D281" s="5">
        <v>0</v>
      </c>
      <c r="E281" s="5">
        <v>0</v>
      </c>
      <c r="F281" s="7">
        <v>0</v>
      </c>
      <c r="G281" s="7">
        <v>0</v>
      </c>
      <c r="H281" s="8" t="s">
        <v>125</v>
      </c>
      <c r="I281" s="12" t="str">
        <f>IFERROR(IF(COUNTA(A281:H281)=0,"",IF(OR(A281="",B281="",C281="",D281="",E281="",F281=""),"FALTA CAMPO",IF(COUNTIFS($A$6:$A$1005,A281,$B$6:$B$1005,B281)&gt;1,"DUPLICADO FECHA-SKU",IF(COUNTIF(CATALOGO!$A$6:$A$105,B281)&lt;&gt;1,"SKU NO VALIDO",IF(OR(A281&lt;DATE(1900,1,1),A281&gt;DATE(2100,12,31),A281&gt;CONFIG!$B$5,C281&lt;0,C281&gt;1000000,D281&lt;0,D281&gt;1000000,E281&lt;0,E281&gt;1000000,E281&gt;D281,ABS(F281)&gt;1000000000,ABS(G281)&gt;1000000000,ROUND(F281,2)&lt;&gt;F281,AND(G281&lt;&gt;"",ROUND(G281,2)&lt;&gt;G281)),"REVISAR VALOR","OK"))))),"REVISAR VALOR")</f>
        <v>OK</v>
      </c>
    </row>
    <row r="282" spans="1:9" x14ac:dyDescent="0.45">
      <c r="A282" s="4">
        <v>46283</v>
      </c>
      <c r="B282" s="8" t="s">
        <v>89</v>
      </c>
      <c r="C282" s="5">
        <v>0</v>
      </c>
      <c r="D282" s="5">
        <v>0</v>
      </c>
      <c r="E282" s="5">
        <v>0</v>
      </c>
      <c r="F282" s="7">
        <v>0</v>
      </c>
      <c r="G282" s="7">
        <v>0</v>
      </c>
      <c r="H282" s="8" t="s">
        <v>126</v>
      </c>
      <c r="I282" s="12" t="str">
        <f>IFERROR(IF(COUNTA(A282:H282)=0,"",IF(OR(A282="",B282="",C282="",D282="",E282="",F282=""),"FALTA CAMPO",IF(COUNTIFS($A$6:$A$1005,A282,$B$6:$B$1005,B282)&gt;1,"DUPLICADO FECHA-SKU",IF(COUNTIF(CATALOGO!$A$6:$A$105,B282)&lt;&gt;1,"SKU NO VALIDO",IF(OR(A282&lt;DATE(1900,1,1),A282&gt;DATE(2100,12,31),A282&gt;CONFIG!$B$5,C282&lt;0,C282&gt;1000000,D282&lt;0,D282&gt;1000000,E282&lt;0,E282&gt;1000000,E282&gt;D282,ABS(F282)&gt;1000000000,ABS(G282)&gt;1000000000,ROUND(F282,2)&lt;&gt;F282,AND(G282&lt;&gt;"",ROUND(G282,2)&lt;&gt;G282)),"REVISAR VALOR","OK"))))),"REVISAR VALOR")</f>
        <v>OK</v>
      </c>
    </row>
    <row r="283" spans="1:9" x14ac:dyDescent="0.45">
      <c r="A283" s="4">
        <v>46284</v>
      </c>
      <c r="B283" s="8" t="s">
        <v>89</v>
      </c>
      <c r="C283" s="5">
        <v>0</v>
      </c>
      <c r="D283" s="5">
        <v>0</v>
      </c>
      <c r="E283" s="5">
        <v>0</v>
      </c>
      <c r="F283" s="7">
        <v>0</v>
      </c>
      <c r="G283" s="7">
        <v>0</v>
      </c>
      <c r="H283" s="8" t="s">
        <v>127</v>
      </c>
      <c r="I283" s="12" t="str">
        <f>IFERROR(IF(COUNTA(A283:H283)=0,"",IF(OR(A283="",B283="",C283="",D283="",E283="",F283=""),"FALTA CAMPO",IF(COUNTIFS($A$6:$A$1005,A283,$B$6:$B$1005,B283)&gt;1,"DUPLICADO FECHA-SKU",IF(COUNTIF(CATALOGO!$A$6:$A$105,B283)&lt;&gt;1,"SKU NO VALIDO",IF(OR(A283&lt;DATE(1900,1,1),A283&gt;DATE(2100,12,31),A283&gt;CONFIG!$B$5,C283&lt;0,C283&gt;1000000,D283&lt;0,D283&gt;1000000,E283&lt;0,E283&gt;1000000,E283&gt;D283,ABS(F283)&gt;1000000000,ABS(G283)&gt;1000000000,ROUND(F283,2)&lt;&gt;F283,AND(G283&lt;&gt;"",ROUND(G283,2)&lt;&gt;G283)),"REVISAR VALOR","OK"))))),"REVISAR VALOR")</f>
        <v>OK</v>
      </c>
    </row>
    <row r="284" spans="1:9" x14ac:dyDescent="0.45">
      <c r="A284" s="4">
        <v>46285</v>
      </c>
      <c r="B284" s="8" t="s">
        <v>89</v>
      </c>
      <c r="C284" s="5">
        <v>0</v>
      </c>
      <c r="D284" s="5">
        <v>0</v>
      </c>
      <c r="E284" s="5">
        <v>0</v>
      </c>
      <c r="F284" s="7">
        <v>0</v>
      </c>
      <c r="G284" s="7">
        <v>0</v>
      </c>
      <c r="H284" s="8" t="s">
        <v>128</v>
      </c>
      <c r="I284" s="12" t="str">
        <f>IFERROR(IF(COUNTA(A284:H284)=0,"",IF(OR(A284="",B284="",C284="",D284="",E284="",F284=""),"FALTA CAMPO",IF(COUNTIFS($A$6:$A$1005,A284,$B$6:$B$1005,B284)&gt;1,"DUPLICADO FECHA-SKU",IF(COUNTIF(CATALOGO!$A$6:$A$105,B284)&lt;&gt;1,"SKU NO VALIDO",IF(OR(A284&lt;DATE(1900,1,1),A284&gt;DATE(2100,12,31),A284&gt;CONFIG!$B$5,C284&lt;0,C284&gt;1000000,D284&lt;0,D284&gt;1000000,E284&lt;0,E284&gt;1000000,E284&gt;D284,ABS(F284)&gt;1000000000,ABS(G284)&gt;1000000000,ROUND(F284,2)&lt;&gt;F284,AND(G284&lt;&gt;"",ROUND(G284,2)&lt;&gt;G284)),"REVISAR VALOR","OK"))))),"REVISAR VALOR")</f>
        <v>OK</v>
      </c>
    </row>
    <row r="285" spans="1:9" x14ac:dyDescent="0.45">
      <c r="A285" s="4">
        <v>46286</v>
      </c>
      <c r="B285" s="8" t="s">
        <v>89</v>
      </c>
      <c r="C285" s="5">
        <v>0</v>
      </c>
      <c r="D285" s="5">
        <v>0</v>
      </c>
      <c r="E285" s="5">
        <v>0</v>
      </c>
      <c r="F285" s="7">
        <v>0</v>
      </c>
      <c r="G285" s="7">
        <v>0</v>
      </c>
      <c r="H285" s="8" t="s">
        <v>129</v>
      </c>
      <c r="I285" s="12" t="str">
        <f>IFERROR(IF(COUNTA(A285:H285)=0,"",IF(OR(A285="",B285="",C285="",D285="",E285="",F285=""),"FALTA CAMPO",IF(COUNTIFS($A$6:$A$1005,A285,$B$6:$B$1005,B285)&gt;1,"DUPLICADO FECHA-SKU",IF(COUNTIF(CATALOGO!$A$6:$A$105,B285)&lt;&gt;1,"SKU NO VALIDO",IF(OR(A285&lt;DATE(1900,1,1),A285&gt;DATE(2100,12,31),A285&gt;CONFIG!$B$5,C285&lt;0,C285&gt;1000000,D285&lt;0,D285&gt;1000000,E285&lt;0,E285&gt;1000000,E285&gt;D285,ABS(F285)&gt;1000000000,ABS(G285)&gt;1000000000,ROUND(F285,2)&lt;&gt;F285,AND(G285&lt;&gt;"",ROUND(G285,2)&lt;&gt;G285)),"REVISAR VALOR","OK"))))),"REVISAR VALOR")</f>
        <v>OK</v>
      </c>
    </row>
    <row r="286" spans="1:9" x14ac:dyDescent="0.45">
      <c r="A286" s="4"/>
      <c r="B286" s="8"/>
      <c r="C286" s="5"/>
      <c r="D286" s="5"/>
      <c r="E286" s="5"/>
      <c r="F286" s="7"/>
      <c r="G286" s="7"/>
      <c r="H286" s="8"/>
      <c r="I286" s="12" t="str">
        <f>IFERROR(IF(COUNTA(A286:H286)=0,"",IF(OR(A286="",B286="",C286="",D286="",E286="",F286=""),"FALTA CAMPO",IF(COUNTIFS($A$6:$A$1005,A286,$B$6:$B$1005,B286)&gt;1,"DUPLICADO FECHA-SKU",IF(COUNTIF(CATALOGO!$A$6:$A$105,B286)&lt;&gt;1,"SKU NO VALIDO",IF(OR(A286&lt;DATE(1900,1,1),A286&gt;DATE(2100,12,31),A286&gt;CONFIG!$B$5,C286&lt;0,C286&gt;1000000,D286&lt;0,D286&gt;1000000,E286&lt;0,E286&gt;1000000,E286&gt;D286,ABS(F286)&gt;1000000000,ABS(G286)&gt;1000000000,ROUND(F286,2)&lt;&gt;F286,AND(G286&lt;&gt;"",ROUND(G286,2)&lt;&gt;G286)),"REVISAR VALOR","OK"))))),"REVISAR VALOR")</f>
        <v/>
      </c>
    </row>
    <row r="287" spans="1:9" x14ac:dyDescent="0.45">
      <c r="A287" s="4"/>
      <c r="B287" s="8"/>
      <c r="C287" s="5"/>
      <c r="D287" s="5"/>
      <c r="E287" s="5"/>
      <c r="F287" s="7"/>
      <c r="G287" s="7"/>
      <c r="H287" s="8"/>
      <c r="I287" s="12" t="str">
        <f>IFERROR(IF(COUNTA(A287:H287)=0,"",IF(OR(A287="",B287="",C287="",D287="",E287="",F287=""),"FALTA CAMPO",IF(COUNTIFS($A$6:$A$1005,A287,$B$6:$B$1005,B287)&gt;1,"DUPLICADO FECHA-SKU",IF(COUNTIF(CATALOGO!$A$6:$A$105,B287)&lt;&gt;1,"SKU NO VALIDO",IF(OR(A287&lt;DATE(1900,1,1),A287&gt;DATE(2100,12,31),A287&gt;CONFIG!$B$5,C287&lt;0,C287&gt;1000000,D287&lt;0,D287&gt;1000000,E287&lt;0,E287&gt;1000000,E287&gt;D287,ABS(F287)&gt;1000000000,ABS(G287)&gt;1000000000,ROUND(F287,2)&lt;&gt;F287,AND(G287&lt;&gt;"",ROUND(G287,2)&lt;&gt;G287)),"REVISAR VALOR","OK"))))),"REVISAR VALOR")</f>
        <v/>
      </c>
    </row>
    <row r="288" spans="1:9" x14ac:dyDescent="0.45">
      <c r="A288" s="4"/>
      <c r="B288" s="8"/>
      <c r="C288" s="5"/>
      <c r="D288" s="5"/>
      <c r="E288" s="5"/>
      <c r="F288" s="7"/>
      <c r="G288" s="7"/>
      <c r="H288" s="8"/>
      <c r="I288" s="12" t="str">
        <f>IFERROR(IF(COUNTA(A288:H288)=0,"",IF(OR(A288="",B288="",C288="",D288="",E288="",F288=""),"FALTA CAMPO",IF(COUNTIFS($A$6:$A$1005,A288,$B$6:$B$1005,B288)&gt;1,"DUPLICADO FECHA-SKU",IF(COUNTIF(CATALOGO!$A$6:$A$105,B288)&lt;&gt;1,"SKU NO VALIDO",IF(OR(A288&lt;DATE(1900,1,1),A288&gt;DATE(2100,12,31),A288&gt;CONFIG!$B$5,C288&lt;0,C288&gt;1000000,D288&lt;0,D288&gt;1000000,E288&lt;0,E288&gt;1000000,E288&gt;D288,ABS(F288)&gt;1000000000,ABS(G288)&gt;1000000000,ROUND(F288,2)&lt;&gt;F288,AND(G288&lt;&gt;"",ROUND(G288,2)&lt;&gt;G288)),"REVISAR VALOR","OK"))))),"REVISAR VALOR")</f>
        <v/>
      </c>
    </row>
    <row r="289" spans="1:9" x14ac:dyDescent="0.45">
      <c r="A289" s="4"/>
      <c r="B289" s="8"/>
      <c r="C289" s="5"/>
      <c r="D289" s="5"/>
      <c r="E289" s="5"/>
      <c r="F289" s="7"/>
      <c r="G289" s="7"/>
      <c r="H289" s="8"/>
      <c r="I289" s="12" t="str">
        <f>IFERROR(IF(COUNTA(A289:H289)=0,"",IF(OR(A289="",B289="",C289="",D289="",E289="",F289=""),"FALTA CAMPO",IF(COUNTIFS($A$6:$A$1005,A289,$B$6:$B$1005,B289)&gt;1,"DUPLICADO FECHA-SKU",IF(COUNTIF(CATALOGO!$A$6:$A$105,B289)&lt;&gt;1,"SKU NO VALIDO",IF(OR(A289&lt;DATE(1900,1,1),A289&gt;DATE(2100,12,31),A289&gt;CONFIG!$B$5,C289&lt;0,C289&gt;1000000,D289&lt;0,D289&gt;1000000,E289&lt;0,E289&gt;1000000,E289&gt;D289,ABS(F289)&gt;1000000000,ABS(G289)&gt;1000000000,ROUND(F289,2)&lt;&gt;F289,AND(G289&lt;&gt;"",ROUND(G289,2)&lt;&gt;G289)),"REVISAR VALOR","OK"))))),"REVISAR VALOR")</f>
        <v/>
      </c>
    </row>
    <row r="290" spans="1:9" x14ac:dyDescent="0.45">
      <c r="A290" s="4"/>
      <c r="B290" s="8"/>
      <c r="C290" s="5"/>
      <c r="D290" s="5"/>
      <c r="E290" s="5"/>
      <c r="F290" s="7"/>
      <c r="G290" s="7"/>
      <c r="H290" s="8"/>
      <c r="I290" s="12" t="str">
        <f>IFERROR(IF(COUNTA(A290:H290)=0,"",IF(OR(A290="",B290="",C290="",D290="",E290="",F290=""),"FALTA CAMPO",IF(COUNTIFS($A$6:$A$1005,A290,$B$6:$B$1005,B290)&gt;1,"DUPLICADO FECHA-SKU",IF(COUNTIF(CATALOGO!$A$6:$A$105,B290)&lt;&gt;1,"SKU NO VALIDO",IF(OR(A290&lt;DATE(1900,1,1),A290&gt;DATE(2100,12,31),A290&gt;CONFIG!$B$5,C290&lt;0,C290&gt;1000000,D290&lt;0,D290&gt;1000000,E290&lt;0,E290&gt;1000000,E290&gt;D290,ABS(F290)&gt;1000000000,ABS(G290)&gt;1000000000,ROUND(F290,2)&lt;&gt;F290,AND(G290&lt;&gt;"",ROUND(G290,2)&lt;&gt;G290)),"REVISAR VALOR","OK"))))),"REVISAR VALOR")</f>
        <v/>
      </c>
    </row>
    <row r="291" spans="1:9" x14ac:dyDescent="0.45">
      <c r="A291" s="4"/>
      <c r="B291" s="8"/>
      <c r="C291" s="5"/>
      <c r="D291" s="5"/>
      <c r="E291" s="5"/>
      <c r="F291" s="7"/>
      <c r="G291" s="7"/>
      <c r="H291" s="8"/>
      <c r="I291" s="12" t="str">
        <f>IFERROR(IF(COUNTA(A291:H291)=0,"",IF(OR(A291="",B291="",C291="",D291="",E291="",F291=""),"FALTA CAMPO",IF(COUNTIFS($A$6:$A$1005,A291,$B$6:$B$1005,B291)&gt;1,"DUPLICADO FECHA-SKU",IF(COUNTIF(CATALOGO!$A$6:$A$105,B291)&lt;&gt;1,"SKU NO VALIDO",IF(OR(A291&lt;DATE(1900,1,1),A291&gt;DATE(2100,12,31),A291&gt;CONFIG!$B$5,C291&lt;0,C291&gt;1000000,D291&lt;0,D291&gt;1000000,E291&lt;0,E291&gt;1000000,E291&gt;D291,ABS(F291)&gt;1000000000,ABS(G291)&gt;1000000000,ROUND(F291,2)&lt;&gt;F291,AND(G291&lt;&gt;"",ROUND(G291,2)&lt;&gt;G291)),"REVISAR VALOR","OK"))))),"REVISAR VALOR")</f>
        <v/>
      </c>
    </row>
    <row r="292" spans="1:9" x14ac:dyDescent="0.45">
      <c r="A292" s="4"/>
      <c r="B292" s="8"/>
      <c r="C292" s="5"/>
      <c r="D292" s="5"/>
      <c r="E292" s="5"/>
      <c r="F292" s="7"/>
      <c r="G292" s="7"/>
      <c r="H292" s="8"/>
      <c r="I292" s="12" t="str">
        <f>IFERROR(IF(COUNTA(A292:H292)=0,"",IF(OR(A292="",B292="",C292="",D292="",E292="",F292=""),"FALTA CAMPO",IF(COUNTIFS($A$6:$A$1005,A292,$B$6:$B$1005,B292)&gt;1,"DUPLICADO FECHA-SKU",IF(COUNTIF(CATALOGO!$A$6:$A$105,B292)&lt;&gt;1,"SKU NO VALIDO",IF(OR(A292&lt;DATE(1900,1,1),A292&gt;DATE(2100,12,31),A292&gt;CONFIG!$B$5,C292&lt;0,C292&gt;1000000,D292&lt;0,D292&gt;1000000,E292&lt;0,E292&gt;1000000,E292&gt;D292,ABS(F292)&gt;1000000000,ABS(G292)&gt;1000000000,ROUND(F292,2)&lt;&gt;F292,AND(G292&lt;&gt;"",ROUND(G292,2)&lt;&gt;G292)),"REVISAR VALOR","OK"))))),"REVISAR VALOR")</f>
        <v/>
      </c>
    </row>
    <row r="293" spans="1:9" x14ac:dyDescent="0.45">
      <c r="A293" s="4"/>
      <c r="B293" s="8"/>
      <c r="C293" s="5"/>
      <c r="D293" s="5"/>
      <c r="E293" s="5"/>
      <c r="F293" s="7"/>
      <c r="G293" s="7"/>
      <c r="H293" s="8"/>
      <c r="I293" s="12" t="str">
        <f>IFERROR(IF(COUNTA(A293:H293)=0,"",IF(OR(A293="",B293="",C293="",D293="",E293="",F293=""),"FALTA CAMPO",IF(COUNTIFS($A$6:$A$1005,A293,$B$6:$B$1005,B293)&gt;1,"DUPLICADO FECHA-SKU",IF(COUNTIF(CATALOGO!$A$6:$A$105,B293)&lt;&gt;1,"SKU NO VALIDO",IF(OR(A293&lt;DATE(1900,1,1),A293&gt;DATE(2100,12,31),A293&gt;CONFIG!$B$5,C293&lt;0,C293&gt;1000000,D293&lt;0,D293&gt;1000000,E293&lt;0,E293&gt;1000000,E293&gt;D293,ABS(F293)&gt;1000000000,ABS(G293)&gt;1000000000,ROUND(F293,2)&lt;&gt;F293,AND(G293&lt;&gt;"",ROUND(G293,2)&lt;&gt;G293)),"REVISAR VALOR","OK"))))),"REVISAR VALOR")</f>
        <v/>
      </c>
    </row>
    <row r="294" spans="1:9" x14ac:dyDescent="0.45">
      <c r="A294" s="4"/>
      <c r="B294" s="8"/>
      <c r="C294" s="5"/>
      <c r="D294" s="5"/>
      <c r="E294" s="5"/>
      <c r="F294" s="7"/>
      <c r="G294" s="7"/>
      <c r="H294" s="8"/>
      <c r="I294" s="12" t="str">
        <f>IFERROR(IF(COUNTA(A294:H294)=0,"",IF(OR(A294="",B294="",C294="",D294="",E294="",F294=""),"FALTA CAMPO",IF(COUNTIFS($A$6:$A$1005,A294,$B$6:$B$1005,B294)&gt;1,"DUPLICADO FECHA-SKU",IF(COUNTIF(CATALOGO!$A$6:$A$105,B294)&lt;&gt;1,"SKU NO VALIDO",IF(OR(A294&lt;DATE(1900,1,1),A294&gt;DATE(2100,12,31),A294&gt;CONFIG!$B$5,C294&lt;0,C294&gt;1000000,D294&lt;0,D294&gt;1000000,E294&lt;0,E294&gt;1000000,E294&gt;D294,ABS(F294)&gt;1000000000,ABS(G294)&gt;1000000000,ROUND(F294,2)&lt;&gt;F294,AND(G294&lt;&gt;"",ROUND(G294,2)&lt;&gt;G294)),"REVISAR VALOR","OK"))))),"REVISAR VALOR")</f>
        <v/>
      </c>
    </row>
    <row r="295" spans="1:9" x14ac:dyDescent="0.45">
      <c r="A295" s="4"/>
      <c r="B295" s="8"/>
      <c r="C295" s="5"/>
      <c r="D295" s="5"/>
      <c r="E295" s="5"/>
      <c r="F295" s="7"/>
      <c r="G295" s="7"/>
      <c r="H295" s="8"/>
      <c r="I295" s="12" t="str">
        <f>IFERROR(IF(COUNTA(A295:H295)=0,"",IF(OR(A295="",B295="",C295="",D295="",E295="",F295=""),"FALTA CAMPO",IF(COUNTIFS($A$6:$A$1005,A295,$B$6:$B$1005,B295)&gt;1,"DUPLICADO FECHA-SKU",IF(COUNTIF(CATALOGO!$A$6:$A$105,B295)&lt;&gt;1,"SKU NO VALIDO",IF(OR(A295&lt;DATE(1900,1,1),A295&gt;DATE(2100,12,31),A295&gt;CONFIG!$B$5,C295&lt;0,C295&gt;1000000,D295&lt;0,D295&gt;1000000,E295&lt;0,E295&gt;1000000,E295&gt;D295,ABS(F295)&gt;1000000000,ABS(G295)&gt;1000000000,ROUND(F295,2)&lt;&gt;F295,AND(G295&lt;&gt;"",ROUND(G295,2)&lt;&gt;G295)),"REVISAR VALOR","OK"))))),"REVISAR VALOR")</f>
        <v/>
      </c>
    </row>
    <row r="296" spans="1:9" x14ac:dyDescent="0.45">
      <c r="A296" s="4"/>
      <c r="B296" s="8"/>
      <c r="C296" s="5"/>
      <c r="D296" s="5"/>
      <c r="E296" s="5"/>
      <c r="F296" s="7"/>
      <c r="G296" s="7"/>
      <c r="H296" s="8"/>
      <c r="I296" s="12" t="str">
        <f>IFERROR(IF(COUNTA(A296:H296)=0,"",IF(OR(A296="",B296="",C296="",D296="",E296="",F296=""),"FALTA CAMPO",IF(COUNTIFS($A$6:$A$1005,A296,$B$6:$B$1005,B296)&gt;1,"DUPLICADO FECHA-SKU",IF(COUNTIF(CATALOGO!$A$6:$A$105,B296)&lt;&gt;1,"SKU NO VALIDO",IF(OR(A296&lt;DATE(1900,1,1),A296&gt;DATE(2100,12,31),A296&gt;CONFIG!$B$5,C296&lt;0,C296&gt;1000000,D296&lt;0,D296&gt;1000000,E296&lt;0,E296&gt;1000000,E296&gt;D296,ABS(F296)&gt;1000000000,ABS(G296)&gt;1000000000,ROUND(F296,2)&lt;&gt;F296,AND(G296&lt;&gt;"",ROUND(G296,2)&lt;&gt;G296)),"REVISAR VALOR","OK"))))),"REVISAR VALOR")</f>
        <v/>
      </c>
    </row>
    <row r="297" spans="1:9" x14ac:dyDescent="0.45">
      <c r="A297" s="4"/>
      <c r="B297" s="8"/>
      <c r="C297" s="5"/>
      <c r="D297" s="5"/>
      <c r="E297" s="5"/>
      <c r="F297" s="7"/>
      <c r="G297" s="7"/>
      <c r="H297" s="8"/>
      <c r="I297" s="12" t="str">
        <f>IFERROR(IF(COUNTA(A297:H297)=0,"",IF(OR(A297="",B297="",C297="",D297="",E297="",F297=""),"FALTA CAMPO",IF(COUNTIFS($A$6:$A$1005,A297,$B$6:$B$1005,B297)&gt;1,"DUPLICADO FECHA-SKU",IF(COUNTIF(CATALOGO!$A$6:$A$105,B297)&lt;&gt;1,"SKU NO VALIDO",IF(OR(A297&lt;DATE(1900,1,1),A297&gt;DATE(2100,12,31),A297&gt;CONFIG!$B$5,C297&lt;0,C297&gt;1000000,D297&lt;0,D297&gt;1000000,E297&lt;0,E297&gt;1000000,E297&gt;D297,ABS(F297)&gt;1000000000,ABS(G297)&gt;1000000000,ROUND(F297,2)&lt;&gt;F297,AND(G297&lt;&gt;"",ROUND(G297,2)&lt;&gt;G297)),"REVISAR VALOR","OK"))))),"REVISAR VALOR")</f>
        <v/>
      </c>
    </row>
    <row r="298" spans="1:9" x14ac:dyDescent="0.45">
      <c r="A298" s="4"/>
      <c r="B298" s="8"/>
      <c r="C298" s="5"/>
      <c r="D298" s="5"/>
      <c r="E298" s="5"/>
      <c r="F298" s="7"/>
      <c r="G298" s="7"/>
      <c r="H298" s="8"/>
      <c r="I298" s="12" t="str">
        <f>IFERROR(IF(COUNTA(A298:H298)=0,"",IF(OR(A298="",B298="",C298="",D298="",E298="",F298=""),"FALTA CAMPO",IF(COUNTIFS($A$6:$A$1005,A298,$B$6:$B$1005,B298)&gt;1,"DUPLICADO FECHA-SKU",IF(COUNTIF(CATALOGO!$A$6:$A$105,B298)&lt;&gt;1,"SKU NO VALIDO",IF(OR(A298&lt;DATE(1900,1,1),A298&gt;DATE(2100,12,31),A298&gt;CONFIG!$B$5,C298&lt;0,C298&gt;1000000,D298&lt;0,D298&gt;1000000,E298&lt;0,E298&gt;1000000,E298&gt;D298,ABS(F298)&gt;1000000000,ABS(G298)&gt;1000000000,ROUND(F298,2)&lt;&gt;F298,AND(G298&lt;&gt;"",ROUND(G298,2)&lt;&gt;G298)),"REVISAR VALOR","OK"))))),"REVISAR VALOR")</f>
        <v/>
      </c>
    </row>
    <row r="299" spans="1:9" x14ac:dyDescent="0.45">
      <c r="A299" s="4"/>
      <c r="B299" s="8"/>
      <c r="C299" s="5"/>
      <c r="D299" s="5"/>
      <c r="E299" s="5"/>
      <c r="F299" s="7"/>
      <c r="G299" s="7"/>
      <c r="H299" s="8"/>
      <c r="I299" s="12" t="str">
        <f>IFERROR(IF(COUNTA(A299:H299)=0,"",IF(OR(A299="",B299="",C299="",D299="",E299="",F299=""),"FALTA CAMPO",IF(COUNTIFS($A$6:$A$1005,A299,$B$6:$B$1005,B299)&gt;1,"DUPLICADO FECHA-SKU",IF(COUNTIF(CATALOGO!$A$6:$A$105,B299)&lt;&gt;1,"SKU NO VALIDO",IF(OR(A299&lt;DATE(1900,1,1),A299&gt;DATE(2100,12,31),A299&gt;CONFIG!$B$5,C299&lt;0,C299&gt;1000000,D299&lt;0,D299&gt;1000000,E299&lt;0,E299&gt;1000000,E299&gt;D299,ABS(F299)&gt;1000000000,ABS(G299)&gt;1000000000,ROUND(F299,2)&lt;&gt;F299,AND(G299&lt;&gt;"",ROUND(G299,2)&lt;&gt;G299)),"REVISAR VALOR","OK"))))),"REVISAR VALOR")</f>
        <v/>
      </c>
    </row>
    <row r="300" spans="1:9" x14ac:dyDescent="0.45">
      <c r="A300" s="4"/>
      <c r="B300" s="8"/>
      <c r="C300" s="5"/>
      <c r="D300" s="5"/>
      <c r="E300" s="5"/>
      <c r="F300" s="7"/>
      <c r="G300" s="7"/>
      <c r="H300" s="8"/>
      <c r="I300" s="12" t="str">
        <f>IFERROR(IF(COUNTA(A300:H300)=0,"",IF(OR(A300="",B300="",C300="",D300="",E300="",F300=""),"FALTA CAMPO",IF(COUNTIFS($A$6:$A$1005,A300,$B$6:$B$1005,B300)&gt;1,"DUPLICADO FECHA-SKU",IF(COUNTIF(CATALOGO!$A$6:$A$105,B300)&lt;&gt;1,"SKU NO VALIDO",IF(OR(A300&lt;DATE(1900,1,1),A300&gt;DATE(2100,12,31),A300&gt;CONFIG!$B$5,C300&lt;0,C300&gt;1000000,D300&lt;0,D300&gt;1000000,E300&lt;0,E300&gt;1000000,E300&gt;D300,ABS(F300)&gt;1000000000,ABS(G300)&gt;1000000000,ROUND(F300,2)&lt;&gt;F300,AND(G300&lt;&gt;"",ROUND(G300,2)&lt;&gt;G300)),"REVISAR VALOR","OK"))))),"REVISAR VALOR")</f>
        <v/>
      </c>
    </row>
    <row r="301" spans="1:9" x14ac:dyDescent="0.45">
      <c r="A301" s="4"/>
      <c r="B301" s="8"/>
      <c r="C301" s="5"/>
      <c r="D301" s="5"/>
      <c r="E301" s="5"/>
      <c r="F301" s="7"/>
      <c r="G301" s="7"/>
      <c r="H301" s="8"/>
      <c r="I301" s="12" t="str">
        <f>IFERROR(IF(COUNTA(A301:H301)=0,"",IF(OR(A301="",B301="",C301="",D301="",E301="",F301=""),"FALTA CAMPO",IF(COUNTIFS($A$6:$A$1005,A301,$B$6:$B$1005,B301)&gt;1,"DUPLICADO FECHA-SKU",IF(COUNTIF(CATALOGO!$A$6:$A$105,B301)&lt;&gt;1,"SKU NO VALIDO",IF(OR(A301&lt;DATE(1900,1,1),A301&gt;DATE(2100,12,31),A301&gt;CONFIG!$B$5,C301&lt;0,C301&gt;1000000,D301&lt;0,D301&gt;1000000,E301&lt;0,E301&gt;1000000,E301&gt;D301,ABS(F301)&gt;1000000000,ABS(G301)&gt;1000000000,ROUND(F301,2)&lt;&gt;F301,AND(G301&lt;&gt;"",ROUND(G301,2)&lt;&gt;G301)),"REVISAR VALOR","OK"))))),"REVISAR VALOR")</f>
        <v/>
      </c>
    </row>
    <row r="302" spans="1:9" x14ac:dyDescent="0.45">
      <c r="A302" s="4"/>
      <c r="B302" s="8"/>
      <c r="C302" s="5"/>
      <c r="D302" s="5"/>
      <c r="E302" s="5"/>
      <c r="F302" s="7"/>
      <c r="G302" s="7"/>
      <c r="H302" s="8"/>
      <c r="I302" s="12" t="str">
        <f>IFERROR(IF(COUNTA(A302:H302)=0,"",IF(OR(A302="",B302="",C302="",D302="",E302="",F302=""),"FALTA CAMPO",IF(COUNTIFS($A$6:$A$1005,A302,$B$6:$B$1005,B302)&gt;1,"DUPLICADO FECHA-SKU",IF(COUNTIF(CATALOGO!$A$6:$A$105,B302)&lt;&gt;1,"SKU NO VALIDO",IF(OR(A302&lt;DATE(1900,1,1),A302&gt;DATE(2100,12,31),A302&gt;CONFIG!$B$5,C302&lt;0,C302&gt;1000000,D302&lt;0,D302&gt;1000000,E302&lt;0,E302&gt;1000000,E302&gt;D302,ABS(F302)&gt;1000000000,ABS(G302)&gt;1000000000,ROUND(F302,2)&lt;&gt;F302,AND(G302&lt;&gt;"",ROUND(G302,2)&lt;&gt;G302)),"REVISAR VALOR","OK"))))),"REVISAR VALOR")</f>
        <v/>
      </c>
    </row>
    <row r="303" spans="1:9" x14ac:dyDescent="0.45">
      <c r="A303" s="4"/>
      <c r="B303" s="8"/>
      <c r="C303" s="5"/>
      <c r="D303" s="5"/>
      <c r="E303" s="5"/>
      <c r="F303" s="7"/>
      <c r="G303" s="7"/>
      <c r="H303" s="8"/>
      <c r="I303" s="12" t="str">
        <f>IFERROR(IF(COUNTA(A303:H303)=0,"",IF(OR(A303="",B303="",C303="",D303="",E303="",F303=""),"FALTA CAMPO",IF(COUNTIFS($A$6:$A$1005,A303,$B$6:$B$1005,B303)&gt;1,"DUPLICADO FECHA-SKU",IF(COUNTIF(CATALOGO!$A$6:$A$105,B303)&lt;&gt;1,"SKU NO VALIDO",IF(OR(A303&lt;DATE(1900,1,1),A303&gt;DATE(2100,12,31),A303&gt;CONFIG!$B$5,C303&lt;0,C303&gt;1000000,D303&lt;0,D303&gt;1000000,E303&lt;0,E303&gt;1000000,E303&gt;D303,ABS(F303)&gt;1000000000,ABS(G303)&gt;1000000000,ROUND(F303,2)&lt;&gt;F303,AND(G303&lt;&gt;"",ROUND(G303,2)&lt;&gt;G303)),"REVISAR VALOR","OK"))))),"REVISAR VALOR")</f>
        <v/>
      </c>
    </row>
    <row r="304" spans="1:9" x14ac:dyDescent="0.45">
      <c r="A304" s="4"/>
      <c r="B304" s="8"/>
      <c r="C304" s="5"/>
      <c r="D304" s="5"/>
      <c r="E304" s="5"/>
      <c r="F304" s="7"/>
      <c r="G304" s="7"/>
      <c r="H304" s="8"/>
      <c r="I304" s="12" t="str">
        <f>IFERROR(IF(COUNTA(A304:H304)=0,"",IF(OR(A304="",B304="",C304="",D304="",E304="",F304=""),"FALTA CAMPO",IF(COUNTIFS($A$6:$A$1005,A304,$B$6:$B$1005,B304)&gt;1,"DUPLICADO FECHA-SKU",IF(COUNTIF(CATALOGO!$A$6:$A$105,B304)&lt;&gt;1,"SKU NO VALIDO",IF(OR(A304&lt;DATE(1900,1,1),A304&gt;DATE(2100,12,31),A304&gt;CONFIG!$B$5,C304&lt;0,C304&gt;1000000,D304&lt;0,D304&gt;1000000,E304&lt;0,E304&gt;1000000,E304&gt;D304,ABS(F304)&gt;1000000000,ABS(G304)&gt;1000000000,ROUND(F304,2)&lt;&gt;F304,AND(G304&lt;&gt;"",ROUND(G304,2)&lt;&gt;G304)),"REVISAR VALOR","OK"))))),"REVISAR VALOR")</f>
        <v/>
      </c>
    </row>
    <row r="305" spans="1:9" x14ac:dyDescent="0.45">
      <c r="A305" s="4"/>
      <c r="B305" s="8"/>
      <c r="C305" s="5"/>
      <c r="D305" s="5"/>
      <c r="E305" s="5"/>
      <c r="F305" s="7"/>
      <c r="G305" s="7"/>
      <c r="H305" s="8"/>
      <c r="I305" s="12" t="str">
        <f>IFERROR(IF(COUNTA(A305:H305)=0,"",IF(OR(A305="",B305="",C305="",D305="",E305="",F305=""),"FALTA CAMPO",IF(COUNTIFS($A$6:$A$1005,A305,$B$6:$B$1005,B305)&gt;1,"DUPLICADO FECHA-SKU",IF(COUNTIF(CATALOGO!$A$6:$A$105,B305)&lt;&gt;1,"SKU NO VALIDO",IF(OR(A305&lt;DATE(1900,1,1),A305&gt;DATE(2100,12,31),A305&gt;CONFIG!$B$5,C305&lt;0,C305&gt;1000000,D305&lt;0,D305&gt;1000000,E305&lt;0,E305&gt;1000000,E305&gt;D305,ABS(F305)&gt;1000000000,ABS(G305)&gt;1000000000,ROUND(F305,2)&lt;&gt;F305,AND(G305&lt;&gt;"",ROUND(G305,2)&lt;&gt;G305)),"REVISAR VALOR","OK"))))),"REVISAR VALOR")</f>
        <v/>
      </c>
    </row>
    <row r="306" spans="1:9" x14ac:dyDescent="0.45">
      <c r="A306" s="4"/>
      <c r="B306" s="8"/>
      <c r="C306" s="5"/>
      <c r="D306" s="5"/>
      <c r="E306" s="5"/>
      <c r="F306" s="7"/>
      <c r="G306" s="7"/>
      <c r="H306" s="8"/>
      <c r="I306" s="12" t="str">
        <f>IFERROR(IF(COUNTA(A306:H306)=0,"",IF(OR(A306="",B306="",C306="",D306="",E306="",F306=""),"FALTA CAMPO",IF(COUNTIFS($A$6:$A$1005,A306,$B$6:$B$1005,B306)&gt;1,"DUPLICADO FECHA-SKU",IF(COUNTIF(CATALOGO!$A$6:$A$105,B306)&lt;&gt;1,"SKU NO VALIDO",IF(OR(A306&lt;DATE(1900,1,1),A306&gt;DATE(2100,12,31),A306&gt;CONFIG!$B$5,C306&lt;0,C306&gt;1000000,D306&lt;0,D306&gt;1000000,E306&lt;0,E306&gt;1000000,E306&gt;D306,ABS(F306)&gt;1000000000,ABS(G306)&gt;1000000000,ROUND(F306,2)&lt;&gt;F306,AND(G306&lt;&gt;"",ROUND(G306,2)&lt;&gt;G306)),"REVISAR VALOR","OK"))))),"REVISAR VALOR")</f>
        <v/>
      </c>
    </row>
    <row r="307" spans="1:9" x14ac:dyDescent="0.45">
      <c r="A307" s="4"/>
      <c r="B307" s="8"/>
      <c r="C307" s="5"/>
      <c r="D307" s="5"/>
      <c r="E307" s="5"/>
      <c r="F307" s="7"/>
      <c r="G307" s="7"/>
      <c r="H307" s="8"/>
      <c r="I307" s="12" t="str">
        <f>IFERROR(IF(COUNTA(A307:H307)=0,"",IF(OR(A307="",B307="",C307="",D307="",E307="",F307=""),"FALTA CAMPO",IF(COUNTIFS($A$6:$A$1005,A307,$B$6:$B$1005,B307)&gt;1,"DUPLICADO FECHA-SKU",IF(COUNTIF(CATALOGO!$A$6:$A$105,B307)&lt;&gt;1,"SKU NO VALIDO",IF(OR(A307&lt;DATE(1900,1,1),A307&gt;DATE(2100,12,31),A307&gt;CONFIG!$B$5,C307&lt;0,C307&gt;1000000,D307&lt;0,D307&gt;1000000,E307&lt;0,E307&gt;1000000,E307&gt;D307,ABS(F307)&gt;1000000000,ABS(G307)&gt;1000000000,ROUND(F307,2)&lt;&gt;F307,AND(G307&lt;&gt;"",ROUND(G307,2)&lt;&gt;G307)),"REVISAR VALOR","OK"))))),"REVISAR VALOR")</f>
        <v/>
      </c>
    </row>
    <row r="308" spans="1:9" x14ac:dyDescent="0.45">
      <c r="A308" s="4"/>
      <c r="B308" s="8"/>
      <c r="C308" s="5"/>
      <c r="D308" s="5"/>
      <c r="E308" s="5"/>
      <c r="F308" s="7"/>
      <c r="G308" s="7"/>
      <c r="H308" s="8"/>
      <c r="I308" s="12" t="str">
        <f>IFERROR(IF(COUNTA(A308:H308)=0,"",IF(OR(A308="",B308="",C308="",D308="",E308="",F308=""),"FALTA CAMPO",IF(COUNTIFS($A$6:$A$1005,A308,$B$6:$B$1005,B308)&gt;1,"DUPLICADO FECHA-SKU",IF(COUNTIF(CATALOGO!$A$6:$A$105,B308)&lt;&gt;1,"SKU NO VALIDO",IF(OR(A308&lt;DATE(1900,1,1),A308&gt;DATE(2100,12,31),A308&gt;CONFIG!$B$5,C308&lt;0,C308&gt;1000000,D308&lt;0,D308&gt;1000000,E308&lt;0,E308&gt;1000000,E308&gt;D308,ABS(F308)&gt;1000000000,ABS(G308)&gt;1000000000,ROUND(F308,2)&lt;&gt;F308,AND(G308&lt;&gt;"",ROUND(G308,2)&lt;&gt;G308)),"REVISAR VALOR","OK"))))),"REVISAR VALOR")</f>
        <v/>
      </c>
    </row>
    <row r="309" spans="1:9" x14ac:dyDescent="0.45">
      <c r="A309" s="4"/>
      <c r="B309" s="8"/>
      <c r="C309" s="5"/>
      <c r="D309" s="5"/>
      <c r="E309" s="5"/>
      <c r="F309" s="7"/>
      <c r="G309" s="7"/>
      <c r="H309" s="8"/>
      <c r="I309" s="12" t="str">
        <f>IFERROR(IF(COUNTA(A309:H309)=0,"",IF(OR(A309="",B309="",C309="",D309="",E309="",F309=""),"FALTA CAMPO",IF(COUNTIFS($A$6:$A$1005,A309,$B$6:$B$1005,B309)&gt;1,"DUPLICADO FECHA-SKU",IF(COUNTIF(CATALOGO!$A$6:$A$105,B309)&lt;&gt;1,"SKU NO VALIDO",IF(OR(A309&lt;DATE(1900,1,1),A309&gt;DATE(2100,12,31),A309&gt;CONFIG!$B$5,C309&lt;0,C309&gt;1000000,D309&lt;0,D309&gt;1000000,E309&lt;0,E309&gt;1000000,E309&gt;D309,ABS(F309)&gt;1000000000,ABS(G309)&gt;1000000000,ROUND(F309,2)&lt;&gt;F309,AND(G309&lt;&gt;"",ROUND(G309,2)&lt;&gt;G309)),"REVISAR VALOR","OK"))))),"REVISAR VALOR")</f>
        <v/>
      </c>
    </row>
    <row r="310" spans="1:9" x14ac:dyDescent="0.45">
      <c r="A310" s="4"/>
      <c r="B310" s="8"/>
      <c r="C310" s="5"/>
      <c r="D310" s="5"/>
      <c r="E310" s="5"/>
      <c r="F310" s="7"/>
      <c r="G310" s="7"/>
      <c r="H310" s="8"/>
      <c r="I310" s="12" t="str">
        <f>IFERROR(IF(COUNTA(A310:H310)=0,"",IF(OR(A310="",B310="",C310="",D310="",E310="",F310=""),"FALTA CAMPO",IF(COUNTIFS($A$6:$A$1005,A310,$B$6:$B$1005,B310)&gt;1,"DUPLICADO FECHA-SKU",IF(COUNTIF(CATALOGO!$A$6:$A$105,B310)&lt;&gt;1,"SKU NO VALIDO",IF(OR(A310&lt;DATE(1900,1,1),A310&gt;DATE(2100,12,31),A310&gt;CONFIG!$B$5,C310&lt;0,C310&gt;1000000,D310&lt;0,D310&gt;1000000,E310&lt;0,E310&gt;1000000,E310&gt;D310,ABS(F310)&gt;1000000000,ABS(G310)&gt;1000000000,ROUND(F310,2)&lt;&gt;F310,AND(G310&lt;&gt;"",ROUND(G310,2)&lt;&gt;G310)),"REVISAR VALOR","OK"))))),"REVISAR VALOR")</f>
        <v/>
      </c>
    </row>
    <row r="311" spans="1:9" x14ac:dyDescent="0.45">
      <c r="A311" s="4"/>
      <c r="B311" s="8"/>
      <c r="C311" s="5"/>
      <c r="D311" s="5"/>
      <c r="E311" s="5"/>
      <c r="F311" s="7"/>
      <c r="G311" s="7"/>
      <c r="H311" s="8"/>
      <c r="I311" s="12" t="str">
        <f>IFERROR(IF(COUNTA(A311:H311)=0,"",IF(OR(A311="",B311="",C311="",D311="",E311="",F311=""),"FALTA CAMPO",IF(COUNTIFS($A$6:$A$1005,A311,$B$6:$B$1005,B311)&gt;1,"DUPLICADO FECHA-SKU",IF(COUNTIF(CATALOGO!$A$6:$A$105,B311)&lt;&gt;1,"SKU NO VALIDO",IF(OR(A311&lt;DATE(1900,1,1),A311&gt;DATE(2100,12,31),A311&gt;CONFIG!$B$5,C311&lt;0,C311&gt;1000000,D311&lt;0,D311&gt;1000000,E311&lt;0,E311&gt;1000000,E311&gt;D311,ABS(F311)&gt;1000000000,ABS(G311)&gt;1000000000,ROUND(F311,2)&lt;&gt;F311,AND(G311&lt;&gt;"",ROUND(G311,2)&lt;&gt;G311)),"REVISAR VALOR","OK"))))),"REVISAR VALOR")</f>
        <v/>
      </c>
    </row>
    <row r="312" spans="1:9" x14ac:dyDescent="0.45">
      <c r="A312" s="4"/>
      <c r="B312" s="8"/>
      <c r="C312" s="5"/>
      <c r="D312" s="5"/>
      <c r="E312" s="5"/>
      <c r="F312" s="7"/>
      <c r="G312" s="7"/>
      <c r="H312" s="8"/>
      <c r="I312" s="12" t="str">
        <f>IFERROR(IF(COUNTA(A312:H312)=0,"",IF(OR(A312="",B312="",C312="",D312="",E312="",F312=""),"FALTA CAMPO",IF(COUNTIFS($A$6:$A$1005,A312,$B$6:$B$1005,B312)&gt;1,"DUPLICADO FECHA-SKU",IF(COUNTIF(CATALOGO!$A$6:$A$105,B312)&lt;&gt;1,"SKU NO VALIDO",IF(OR(A312&lt;DATE(1900,1,1),A312&gt;DATE(2100,12,31),A312&gt;CONFIG!$B$5,C312&lt;0,C312&gt;1000000,D312&lt;0,D312&gt;1000000,E312&lt;0,E312&gt;1000000,E312&gt;D312,ABS(F312)&gt;1000000000,ABS(G312)&gt;1000000000,ROUND(F312,2)&lt;&gt;F312,AND(G312&lt;&gt;"",ROUND(G312,2)&lt;&gt;G312)),"REVISAR VALOR","OK"))))),"REVISAR VALOR")</f>
        <v/>
      </c>
    </row>
    <row r="313" spans="1:9" x14ac:dyDescent="0.45">
      <c r="A313" s="4"/>
      <c r="B313" s="8"/>
      <c r="C313" s="5"/>
      <c r="D313" s="5"/>
      <c r="E313" s="5"/>
      <c r="F313" s="7"/>
      <c r="G313" s="7"/>
      <c r="H313" s="8"/>
      <c r="I313" s="12" t="str">
        <f>IFERROR(IF(COUNTA(A313:H313)=0,"",IF(OR(A313="",B313="",C313="",D313="",E313="",F313=""),"FALTA CAMPO",IF(COUNTIFS($A$6:$A$1005,A313,$B$6:$B$1005,B313)&gt;1,"DUPLICADO FECHA-SKU",IF(COUNTIF(CATALOGO!$A$6:$A$105,B313)&lt;&gt;1,"SKU NO VALIDO",IF(OR(A313&lt;DATE(1900,1,1),A313&gt;DATE(2100,12,31),A313&gt;CONFIG!$B$5,C313&lt;0,C313&gt;1000000,D313&lt;0,D313&gt;1000000,E313&lt;0,E313&gt;1000000,E313&gt;D313,ABS(F313)&gt;1000000000,ABS(G313)&gt;1000000000,ROUND(F313,2)&lt;&gt;F313,AND(G313&lt;&gt;"",ROUND(G313,2)&lt;&gt;G313)),"REVISAR VALOR","OK"))))),"REVISAR VALOR")</f>
        <v/>
      </c>
    </row>
    <row r="314" spans="1:9" x14ac:dyDescent="0.45">
      <c r="A314" s="4"/>
      <c r="B314" s="8"/>
      <c r="C314" s="5"/>
      <c r="D314" s="5"/>
      <c r="E314" s="5"/>
      <c r="F314" s="7"/>
      <c r="G314" s="7"/>
      <c r="H314" s="8"/>
      <c r="I314" s="12" t="str">
        <f>IFERROR(IF(COUNTA(A314:H314)=0,"",IF(OR(A314="",B314="",C314="",D314="",E314="",F314=""),"FALTA CAMPO",IF(COUNTIFS($A$6:$A$1005,A314,$B$6:$B$1005,B314)&gt;1,"DUPLICADO FECHA-SKU",IF(COUNTIF(CATALOGO!$A$6:$A$105,B314)&lt;&gt;1,"SKU NO VALIDO",IF(OR(A314&lt;DATE(1900,1,1),A314&gt;DATE(2100,12,31),A314&gt;CONFIG!$B$5,C314&lt;0,C314&gt;1000000,D314&lt;0,D314&gt;1000000,E314&lt;0,E314&gt;1000000,E314&gt;D314,ABS(F314)&gt;1000000000,ABS(G314)&gt;1000000000,ROUND(F314,2)&lt;&gt;F314,AND(G314&lt;&gt;"",ROUND(G314,2)&lt;&gt;G314)),"REVISAR VALOR","OK"))))),"REVISAR VALOR")</f>
        <v/>
      </c>
    </row>
    <row r="315" spans="1:9" x14ac:dyDescent="0.45">
      <c r="A315" s="4"/>
      <c r="B315" s="8"/>
      <c r="C315" s="5"/>
      <c r="D315" s="5"/>
      <c r="E315" s="5"/>
      <c r="F315" s="7"/>
      <c r="G315" s="7"/>
      <c r="H315" s="8"/>
      <c r="I315" s="12" t="str">
        <f>IFERROR(IF(COUNTA(A315:H315)=0,"",IF(OR(A315="",B315="",C315="",D315="",E315="",F315=""),"FALTA CAMPO",IF(COUNTIFS($A$6:$A$1005,A315,$B$6:$B$1005,B315)&gt;1,"DUPLICADO FECHA-SKU",IF(COUNTIF(CATALOGO!$A$6:$A$105,B315)&lt;&gt;1,"SKU NO VALIDO",IF(OR(A315&lt;DATE(1900,1,1),A315&gt;DATE(2100,12,31),A315&gt;CONFIG!$B$5,C315&lt;0,C315&gt;1000000,D315&lt;0,D315&gt;1000000,E315&lt;0,E315&gt;1000000,E315&gt;D315,ABS(F315)&gt;1000000000,ABS(G315)&gt;1000000000,ROUND(F315,2)&lt;&gt;F315,AND(G315&lt;&gt;"",ROUND(G315,2)&lt;&gt;G315)),"REVISAR VALOR","OK"))))),"REVISAR VALOR")</f>
        <v/>
      </c>
    </row>
    <row r="316" spans="1:9" x14ac:dyDescent="0.45">
      <c r="A316" s="4"/>
      <c r="B316" s="8"/>
      <c r="C316" s="5"/>
      <c r="D316" s="5"/>
      <c r="E316" s="5"/>
      <c r="F316" s="7"/>
      <c r="G316" s="7"/>
      <c r="H316" s="8"/>
      <c r="I316" s="12" t="str">
        <f>IFERROR(IF(COUNTA(A316:H316)=0,"",IF(OR(A316="",B316="",C316="",D316="",E316="",F316=""),"FALTA CAMPO",IF(COUNTIFS($A$6:$A$1005,A316,$B$6:$B$1005,B316)&gt;1,"DUPLICADO FECHA-SKU",IF(COUNTIF(CATALOGO!$A$6:$A$105,B316)&lt;&gt;1,"SKU NO VALIDO",IF(OR(A316&lt;DATE(1900,1,1),A316&gt;DATE(2100,12,31),A316&gt;CONFIG!$B$5,C316&lt;0,C316&gt;1000000,D316&lt;0,D316&gt;1000000,E316&lt;0,E316&gt;1000000,E316&gt;D316,ABS(F316)&gt;1000000000,ABS(G316)&gt;1000000000,ROUND(F316,2)&lt;&gt;F316,AND(G316&lt;&gt;"",ROUND(G316,2)&lt;&gt;G316)),"REVISAR VALOR","OK"))))),"REVISAR VALOR")</f>
        <v/>
      </c>
    </row>
    <row r="317" spans="1:9" x14ac:dyDescent="0.45">
      <c r="A317" s="4"/>
      <c r="B317" s="8"/>
      <c r="C317" s="5"/>
      <c r="D317" s="5"/>
      <c r="E317" s="5"/>
      <c r="F317" s="7"/>
      <c r="G317" s="7"/>
      <c r="H317" s="8"/>
      <c r="I317" s="12" t="str">
        <f>IFERROR(IF(COUNTA(A317:H317)=0,"",IF(OR(A317="",B317="",C317="",D317="",E317="",F317=""),"FALTA CAMPO",IF(COUNTIFS($A$6:$A$1005,A317,$B$6:$B$1005,B317)&gt;1,"DUPLICADO FECHA-SKU",IF(COUNTIF(CATALOGO!$A$6:$A$105,B317)&lt;&gt;1,"SKU NO VALIDO",IF(OR(A317&lt;DATE(1900,1,1),A317&gt;DATE(2100,12,31),A317&gt;CONFIG!$B$5,C317&lt;0,C317&gt;1000000,D317&lt;0,D317&gt;1000000,E317&lt;0,E317&gt;1000000,E317&gt;D317,ABS(F317)&gt;1000000000,ABS(G317)&gt;1000000000,ROUND(F317,2)&lt;&gt;F317,AND(G317&lt;&gt;"",ROUND(G317,2)&lt;&gt;G317)),"REVISAR VALOR","OK"))))),"REVISAR VALOR")</f>
        <v/>
      </c>
    </row>
    <row r="318" spans="1:9" x14ac:dyDescent="0.45">
      <c r="A318" s="4"/>
      <c r="B318" s="8"/>
      <c r="C318" s="5"/>
      <c r="D318" s="5"/>
      <c r="E318" s="5"/>
      <c r="F318" s="7"/>
      <c r="G318" s="7"/>
      <c r="H318" s="8"/>
      <c r="I318" s="12" t="str">
        <f>IFERROR(IF(COUNTA(A318:H318)=0,"",IF(OR(A318="",B318="",C318="",D318="",E318="",F318=""),"FALTA CAMPO",IF(COUNTIFS($A$6:$A$1005,A318,$B$6:$B$1005,B318)&gt;1,"DUPLICADO FECHA-SKU",IF(COUNTIF(CATALOGO!$A$6:$A$105,B318)&lt;&gt;1,"SKU NO VALIDO",IF(OR(A318&lt;DATE(1900,1,1),A318&gt;DATE(2100,12,31),A318&gt;CONFIG!$B$5,C318&lt;0,C318&gt;1000000,D318&lt;0,D318&gt;1000000,E318&lt;0,E318&gt;1000000,E318&gt;D318,ABS(F318)&gt;1000000000,ABS(G318)&gt;1000000000,ROUND(F318,2)&lt;&gt;F318,AND(G318&lt;&gt;"",ROUND(G318,2)&lt;&gt;G318)),"REVISAR VALOR","OK"))))),"REVISAR VALOR")</f>
        <v/>
      </c>
    </row>
    <row r="319" spans="1:9" x14ac:dyDescent="0.45">
      <c r="A319" s="4"/>
      <c r="B319" s="8"/>
      <c r="C319" s="5"/>
      <c r="D319" s="5"/>
      <c r="E319" s="5"/>
      <c r="F319" s="7"/>
      <c r="G319" s="7"/>
      <c r="H319" s="8"/>
      <c r="I319" s="12" t="str">
        <f>IFERROR(IF(COUNTA(A319:H319)=0,"",IF(OR(A319="",B319="",C319="",D319="",E319="",F319=""),"FALTA CAMPO",IF(COUNTIFS($A$6:$A$1005,A319,$B$6:$B$1005,B319)&gt;1,"DUPLICADO FECHA-SKU",IF(COUNTIF(CATALOGO!$A$6:$A$105,B319)&lt;&gt;1,"SKU NO VALIDO",IF(OR(A319&lt;DATE(1900,1,1),A319&gt;DATE(2100,12,31),A319&gt;CONFIG!$B$5,C319&lt;0,C319&gt;1000000,D319&lt;0,D319&gt;1000000,E319&lt;0,E319&gt;1000000,E319&gt;D319,ABS(F319)&gt;1000000000,ABS(G319)&gt;1000000000,ROUND(F319,2)&lt;&gt;F319,AND(G319&lt;&gt;"",ROUND(G319,2)&lt;&gt;G319)),"REVISAR VALOR","OK"))))),"REVISAR VALOR")</f>
        <v/>
      </c>
    </row>
    <row r="320" spans="1:9" x14ac:dyDescent="0.45">
      <c r="A320" s="4"/>
      <c r="B320" s="8"/>
      <c r="C320" s="5"/>
      <c r="D320" s="5"/>
      <c r="E320" s="5"/>
      <c r="F320" s="7"/>
      <c r="G320" s="7"/>
      <c r="H320" s="8"/>
      <c r="I320" s="12" t="str">
        <f>IFERROR(IF(COUNTA(A320:H320)=0,"",IF(OR(A320="",B320="",C320="",D320="",E320="",F320=""),"FALTA CAMPO",IF(COUNTIFS($A$6:$A$1005,A320,$B$6:$B$1005,B320)&gt;1,"DUPLICADO FECHA-SKU",IF(COUNTIF(CATALOGO!$A$6:$A$105,B320)&lt;&gt;1,"SKU NO VALIDO",IF(OR(A320&lt;DATE(1900,1,1),A320&gt;DATE(2100,12,31),A320&gt;CONFIG!$B$5,C320&lt;0,C320&gt;1000000,D320&lt;0,D320&gt;1000000,E320&lt;0,E320&gt;1000000,E320&gt;D320,ABS(F320)&gt;1000000000,ABS(G320)&gt;1000000000,ROUND(F320,2)&lt;&gt;F320,AND(G320&lt;&gt;"",ROUND(G320,2)&lt;&gt;G320)),"REVISAR VALOR","OK"))))),"REVISAR VALOR")</f>
        <v/>
      </c>
    </row>
    <row r="321" spans="1:9" x14ac:dyDescent="0.45">
      <c r="A321" s="4"/>
      <c r="B321" s="8"/>
      <c r="C321" s="5"/>
      <c r="D321" s="5"/>
      <c r="E321" s="5"/>
      <c r="F321" s="7"/>
      <c r="G321" s="7"/>
      <c r="H321" s="8"/>
      <c r="I321" s="12" t="str">
        <f>IFERROR(IF(COUNTA(A321:H321)=0,"",IF(OR(A321="",B321="",C321="",D321="",E321="",F321=""),"FALTA CAMPO",IF(COUNTIFS($A$6:$A$1005,A321,$B$6:$B$1005,B321)&gt;1,"DUPLICADO FECHA-SKU",IF(COUNTIF(CATALOGO!$A$6:$A$105,B321)&lt;&gt;1,"SKU NO VALIDO",IF(OR(A321&lt;DATE(1900,1,1),A321&gt;DATE(2100,12,31),A321&gt;CONFIG!$B$5,C321&lt;0,C321&gt;1000000,D321&lt;0,D321&gt;1000000,E321&lt;0,E321&gt;1000000,E321&gt;D321,ABS(F321)&gt;1000000000,ABS(G321)&gt;1000000000,ROUND(F321,2)&lt;&gt;F321,AND(G321&lt;&gt;"",ROUND(G321,2)&lt;&gt;G321)),"REVISAR VALOR","OK"))))),"REVISAR VALOR")</f>
        <v/>
      </c>
    </row>
    <row r="322" spans="1:9" x14ac:dyDescent="0.45">
      <c r="A322" s="4"/>
      <c r="B322" s="8"/>
      <c r="C322" s="5"/>
      <c r="D322" s="5"/>
      <c r="E322" s="5"/>
      <c r="F322" s="7"/>
      <c r="G322" s="7"/>
      <c r="H322" s="8"/>
      <c r="I322" s="12" t="str">
        <f>IFERROR(IF(COUNTA(A322:H322)=0,"",IF(OR(A322="",B322="",C322="",D322="",E322="",F322=""),"FALTA CAMPO",IF(COUNTIFS($A$6:$A$1005,A322,$B$6:$B$1005,B322)&gt;1,"DUPLICADO FECHA-SKU",IF(COUNTIF(CATALOGO!$A$6:$A$105,B322)&lt;&gt;1,"SKU NO VALIDO",IF(OR(A322&lt;DATE(1900,1,1),A322&gt;DATE(2100,12,31),A322&gt;CONFIG!$B$5,C322&lt;0,C322&gt;1000000,D322&lt;0,D322&gt;1000000,E322&lt;0,E322&gt;1000000,E322&gt;D322,ABS(F322)&gt;1000000000,ABS(G322)&gt;1000000000,ROUND(F322,2)&lt;&gt;F322,AND(G322&lt;&gt;"",ROUND(G322,2)&lt;&gt;G322)),"REVISAR VALOR","OK"))))),"REVISAR VALOR")</f>
        <v/>
      </c>
    </row>
    <row r="323" spans="1:9" x14ac:dyDescent="0.45">
      <c r="A323" s="4"/>
      <c r="B323" s="8"/>
      <c r="C323" s="5"/>
      <c r="D323" s="5"/>
      <c r="E323" s="5"/>
      <c r="F323" s="7"/>
      <c r="G323" s="7"/>
      <c r="H323" s="8"/>
      <c r="I323" s="12" t="str">
        <f>IFERROR(IF(COUNTA(A323:H323)=0,"",IF(OR(A323="",B323="",C323="",D323="",E323="",F323=""),"FALTA CAMPO",IF(COUNTIFS($A$6:$A$1005,A323,$B$6:$B$1005,B323)&gt;1,"DUPLICADO FECHA-SKU",IF(COUNTIF(CATALOGO!$A$6:$A$105,B323)&lt;&gt;1,"SKU NO VALIDO",IF(OR(A323&lt;DATE(1900,1,1),A323&gt;DATE(2100,12,31),A323&gt;CONFIG!$B$5,C323&lt;0,C323&gt;1000000,D323&lt;0,D323&gt;1000000,E323&lt;0,E323&gt;1000000,E323&gt;D323,ABS(F323)&gt;1000000000,ABS(G323)&gt;1000000000,ROUND(F323,2)&lt;&gt;F323,AND(G323&lt;&gt;"",ROUND(G323,2)&lt;&gt;G323)),"REVISAR VALOR","OK"))))),"REVISAR VALOR")</f>
        <v/>
      </c>
    </row>
    <row r="324" spans="1:9" x14ac:dyDescent="0.45">
      <c r="A324" s="4"/>
      <c r="B324" s="8"/>
      <c r="C324" s="5"/>
      <c r="D324" s="5"/>
      <c r="E324" s="5"/>
      <c r="F324" s="7"/>
      <c r="G324" s="7"/>
      <c r="H324" s="8"/>
      <c r="I324" s="12" t="str">
        <f>IFERROR(IF(COUNTA(A324:H324)=0,"",IF(OR(A324="",B324="",C324="",D324="",E324="",F324=""),"FALTA CAMPO",IF(COUNTIFS($A$6:$A$1005,A324,$B$6:$B$1005,B324)&gt;1,"DUPLICADO FECHA-SKU",IF(COUNTIF(CATALOGO!$A$6:$A$105,B324)&lt;&gt;1,"SKU NO VALIDO",IF(OR(A324&lt;DATE(1900,1,1),A324&gt;DATE(2100,12,31),A324&gt;CONFIG!$B$5,C324&lt;0,C324&gt;1000000,D324&lt;0,D324&gt;1000000,E324&lt;0,E324&gt;1000000,E324&gt;D324,ABS(F324)&gt;1000000000,ABS(G324)&gt;1000000000,ROUND(F324,2)&lt;&gt;F324,AND(G324&lt;&gt;"",ROUND(G324,2)&lt;&gt;G324)),"REVISAR VALOR","OK"))))),"REVISAR VALOR")</f>
        <v/>
      </c>
    </row>
    <row r="325" spans="1:9" x14ac:dyDescent="0.45">
      <c r="A325" s="4"/>
      <c r="B325" s="8"/>
      <c r="C325" s="5"/>
      <c r="D325" s="5"/>
      <c r="E325" s="5"/>
      <c r="F325" s="7"/>
      <c r="G325" s="7"/>
      <c r="H325" s="8"/>
      <c r="I325" s="12" t="str">
        <f>IFERROR(IF(COUNTA(A325:H325)=0,"",IF(OR(A325="",B325="",C325="",D325="",E325="",F325=""),"FALTA CAMPO",IF(COUNTIFS($A$6:$A$1005,A325,$B$6:$B$1005,B325)&gt;1,"DUPLICADO FECHA-SKU",IF(COUNTIF(CATALOGO!$A$6:$A$105,B325)&lt;&gt;1,"SKU NO VALIDO",IF(OR(A325&lt;DATE(1900,1,1),A325&gt;DATE(2100,12,31),A325&gt;CONFIG!$B$5,C325&lt;0,C325&gt;1000000,D325&lt;0,D325&gt;1000000,E325&lt;0,E325&gt;1000000,E325&gt;D325,ABS(F325)&gt;1000000000,ABS(G325)&gt;1000000000,ROUND(F325,2)&lt;&gt;F325,AND(G325&lt;&gt;"",ROUND(G325,2)&lt;&gt;G325)),"REVISAR VALOR","OK"))))),"REVISAR VALOR")</f>
        <v/>
      </c>
    </row>
    <row r="326" spans="1:9" x14ac:dyDescent="0.45">
      <c r="A326" s="4"/>
      <c r="B326" s="8"/>
      <c r="C326" s="5"/>
      <c r="D326" s="5"/>
      <c r="E326" s="5"/>
      <c r="F326" s="7"/>
      <c r="G326" s="7"/>
      <c r="H326" s="8"/>
      <c r="I326" s="12" t="str">
        <f>IFERROR(IF(COUNTA(A326:H326)=0,"",IF(OR(A326="",B326="",C326="",D326="",E326="",F326=""),"FALTA CAMPO",IF(COUNTIFS($A$6:$A$1005,A326,$B$6:$B$1005,B326)&gt;1,"DUPLICADO FECHA-SKU",IF(COUNTIF(CATALOGO!$A$6:$A$105,B326)&lt;&gt;1,"SKU NO VALIDO",IF(OR(A326&lt;DATE(1900,1,1),A326&gt;DATE(2100,12,31),A326&gt;CONFIG!$B$5,C326&lt;0,C326&gt;1000000,D326&lt;0,D326&gt;1000000,E326&lt;0,E326&gt;1000000,E326&gt;D326,ABS(F326)&gt;1000000000,ABS(G326)&gt;1000000000,ROUND(F326,2)&lt;&gt;F326,AND(G326&lt;&gt;"",ROUND(G326,2)&lt;&gt;G326)),"REVISAR VALOR","OK"))))),"REVISAR VALOR")</f>
        <v/>
      </c>
    </row>
    <row r="327" spans="1:9" x14ac:dyDescent="0.45">
      <c r="A327" s="4"/>
      <c r="B327" s="8"/>
      <c r="C327" s="5"/>
      <c r="D327" s="5"/>
      <c r="E327" s="5"/>
      <c r="F327" s="7"/>
      <c r="G327" s="7"/>
      <c r="H327" s="8"/>
      <c r="I327" s="12" t="str">
        <f>IFERROR(IF(COUNTA(A327:H327)=0,"",IF(OR(A327="",B327="",C327="",D327="",E327="",F327=""),"FALTA CAMPO",IF(COUNTIFS($A$6:$A$1005,A327,$B$6:$B$1005,B327)&gt;1,"DUPLICADO FECHA-SKU",IF(COUNTIF(CATALOGO!$A$6:$A$105,B327)&lt;&gt;1,"SKU NO VALIDO",IF(OR(A327&lt;DATE(1900,1,1),A327&gt;DATE(2100,12,31),A327&gt;CONFIG!$B$5,C327&lt;0,C327&gt;1000000,D327&lt;0,D327&gt;1000000,E327&lt;0,E327&gt;1000000,E327&gt;D327,ABS(F327)&gt;1000000000,ABS(G327)&gt;1000000000,ROUND(F327,2)&lt;&gt;F327,AND(G327&lt;&gt;"",ROUND(G327,2)&lt;&gt;G327)),"REVISAR VALOR","OK"))))),"REVISAR VALOR")</f>
        <v/>
      </c>
    </row>
    <row r="328" spans="1:9" x14ac:dyDescent="0.45">
      <c r="A328" s="4"/>
      <c r="B328" s="8"/>
      <c r="C328" s="5"/>
      <c r="D328" s="5"/>
      <c r="E328" s="5"/>
      <c r="F328" s="7"/>
      <c r="G328" s="7"/>
      <c r="H328" s="8"/>
      <c r="I328" s="12" t="str">
        <f>IFERROR(IF(COUNTA(A328:H328)=0,"",IF(OR(A328="",B328="",C328="",D328="",E328="",F328=""),"FALTA CAMPO",IF(COUNTIFS($A$6:$A$1005,A328,$B$6:$B$1005,B328)&gt;1,"DUPLICADO FECHA-SKU",IF(COUNTIF(CATALOGO!$A$6:$A$105,B328)&lt;&gt;1,"SKU NO VALIDO",IF(OR(A328&lt;DATE(1900,1,1),A328&gt;DATE(2100,12,31),A328&gt;CONFIG!$B$5,C328&lt;0,C328&gt;1000000,D328&lt;0,D328&gt;1000000,E328&lt;0,E328&gt;1000000,E328&gt;D328,ABS(F328)&gt;1000000000,ABS(G328)&gt;1000000000,ROUND(F328,2)&lt;&gt;F328,AND(G328&lt;&gt;"",ROUND(G328,2)&lt;&gt;G328)),"REVISAR VALOR","OK"))))),"REVISAR VALOR")</f>
        <v/>
      </c>
    </row>
    <row r="329" spans="1:9" x14ac:dyDescent="0.45">
      <c r="A329" s="4"/>
      <c r="B329" s="8"/>
      <c r="C329" s="5"/>
      <c r="D329" s="5"/>
      <c r="E329" s="5"/>
      <c r="F329" s="7"/>
      <c r="G329" s="7"/>
      <c r="H329" s="8"/>
      <c r="I329" s="12" t="str">
        <f>IFERROR(IF(COUNTA(A329:H329)=0,"",IF(OR(A329="",B329="",C329="",D329="",E329="",F329=""),"FALTA CAMPO",IF(COUNTIFS($A$6:$A$1005,A329,$B$6:$B$1005,B329)&gt;1,"DUPLICADO FECHA-SKU",IF(COUNTIF(CATALOGO!$A$6:$A$105,B329)&lt;&gt;1,"SKU NO VALIDO",IF(OR(A329&lt;DATE(1900,1,1),A329&gt;DATE(2100,12,31),A329&gt;CONFIG!$B$5,C329&lt;0,C329&gt;1000000,D329&lt;0,D329&gt;1000000,E329&lt;0,E329&gt;1000000,E329&gt;D329,ABS(F329)&gt;1000000000,ABS(G329)&gt;1000000000,ROUND(F329,2)&lt;&gt;F329,AND(G329&lt;&gt;"",ROUND(G329,2)&lt;&gt;G329)),"REVISAR VALOR","OK"))))),"REVISAR VALOR")</f>
        <v/>
      </c>
    </row>
    <row r="330" spans="1:9" x14ac:dyDescent="0.45">
      <c r="A330" s="4"/>
      <c r="B330" s="8"/>
      <c r="C330" s="5"/>
      <c r="D330" s="5"/>
      <c r="E330" s="5"/>
      <c r="F330" s="7"/>
      <c r="G330" s="7"/>
      <c r="H330" s="8"/>
      <c r="I330" s="12" t="str">
        <f>IFERROR(IF(COUNTA(A330:H330)=0,"",IF(OR(A330="",B330="",C330="",D330="",E330="",F330=""),"FALTA CAMPO",IF(COUNTIFS($A$6:$A$1005,A330,$B$6:$B$1005,B330)&gt;1,"DUPLICADO FECHA-SKU",IF(COUNTIF(CATALOGO!$A$6:$A$105,B330)&lt;&gt;1,"SKU NO VALIDO",IF(OR(A330&lt;DATE(1900,1,1),A330&gt;DATE(2100,12,31),A330&gt;CONFIG!$B$5,C330&lt;0,C330&gt;1000000,D330&lt;0,D330&gt;1000000,E330&lt;0,E330&gt;1000000,E330&gt;D330,ABS(F330)&gt;1000000000,ABS(G330)&gt;1000000000,ROUND(F330,2)&lt;&gt;F330,AND(G330&lt;&gt;"",ROUND(G330,2)&lt;&gt;G330)),"REVISAR VALOR","OK"))))),"REVISAR VALOR")</f>
        <v/>
      </c>
    </row>
    <row r="331" spans="1:9" x14ac:dyDescent="0.45">
      <c r="A331" s="4"/>
      <c r="B331" s="8"/>
      <c r="C331" s="5"/>
      <c r="D331" s="5"/>
      <c r="E331" s="5"/>
      <c r="F331" s="7"/>
      <c r="G331" s="7"/>
      <c r="H331" s="8"/>
      <c r="I331" s="12" t="str">
        <f>IFERROR(IF(COUNTA(A331:H331)=0,"",IF(OR(A331="",B331="",C331="",D331="",E331="",F331=""),"FALTA CAMPO",IF(COUNTIFS($A$6:$A$1005,A331,$B$6:$B$1005,B331)&gt;1,"DUPLICADO FECHA-SKU",IF(COUNTIF(CATALOGO!$A$6:$A$105,B331)&lt;&gt;1,"SKU NO VALIDO",IF(OR(A331&lt;DATE(1900,1,1),A331&gt;DATE(2100,12,31),A331&gt;CONFIG!$B$5,C331&lt;0,C331&gt;1000000,D331&lt;0,D331&gt;1000000,E331&lt;0,E331&gt;1000000,E331&gt;D331,ABS(F331)&gt;1000000000,ABS(G331)&gt;1000000000,ROUND(F331,2)&lt;&gt;F331,AND(G331&lt;&gt;"",ROUND(G331,2)&lt;&gt;G331)),"REVISAR VALOR","OK"))))),"REVISAR VALOR")</f>
        <v/>
      </c>
    </row>
    <row r="332" spans="1:9" x14ac:dyDescent="0.45">
      <c r="A332" s="4"/>
      <c r="B332" s="8"/>
      <c r="C332" s="5"/>
      <c r="D332" s="5"/>
      <c r="E332" s="5"/>
      <c r="F332" s="7"/>
      <c r="G332" s="7"/>
      <c r="H332" s="8"/>
      <c r="I332" s="12" t="str">
        <f>IFERROR(IF(COUNTA(A332:H332)=0,"",IF(OR(A332="",B332="",C332="",D332="",E332="",F332=""),"FALTA CAMPO",IF(COUNTIFS($A$6:$A$1005,A332,$B$6:$B$1005,B332)&gt;1,"DUPLICADO FECHA-SKU",IF(COUNTIF(CATALOGO!$A$6:$A$105,B332)&lt;&gt;1,"SKU NO VALIDO",IF(OR(A332&lt;DATE(1900,1,1),A332&gt;DATE(2100,12,31),A332&gt;CONFIG!$B$5,C332&lt;0,C332&gt;1000000,D332&lt;0,D332&gt;1000000,E332&lt;0,E332&gt;1000000,E332&gt;D332,ABS(F332)&gt;1000000000,ABS(G332)&gt;1000000000,ROUND(F332,2)&lt;&gt;F332,AND(G332&lt;&gt;"",ROUND(G332,2)&lt;&gt;G332)),"REVISAR VALOR","OK"))))),"REVISAR VALOR")</f>
        <v/>
      </c>
    </row>
    <row r="333" spans="1:9" x14ac:dyDescent="0.45">
      <c r="A333" s="4"/>
      <c r="B333" s="8"/>
      <c r="C333" s="5"/>
      <c r="D333" s="5"/>
      <c r="E333" s="5"/>
      <c r="F333" s="7"/>
      <c r="G333" s="7"/>
      <c r="H333" s="8"/>
      <c r="I333" s="12" t="str">
        <f>IFERROR(IF(COUNTA(A333:H333)=0,"",IF(OR(A333="",B333="",C333="",D333="",E333="",F333=""),"FALTA CAMPO",IF(COUNTIFS($A$6:$A$1005,A333,$B$6:$B$1005,B333)&gt;1,"DUPLICADO FECHA-SKU",IF(COUNTIF(CATALOGO!$A$6:$A$105,B333)&lt;&gt;1,"SKU NO VALIDO",IF(OR(A333&lt;DATE(1900,1,1),A333&gt;DATE(2100,12,31),A333&gt;CONFIG!$B$5,C333&lt;0,C333&gt;1000000,D333&lt;0,D333&gt;1000000,E333&lt;0,E333&gt;1000000,E333&gt;D333,ABS(F333)&gt;1000000000,ABS(G333)&gt;1000000000,ROUND(F333,2)&lt;&gt;F333,AND(G333&lt;&gt;"",ROUND(G333,2)&lt;&gt;G333)),"REVISAR VALOR","OK"))))),"REVISAR VALOR")</f>
        <v/>
      </c>
    </row>
    <row r="334" spans="1:9" x14ac:dyDescent="0.45">
      <c r="A334" s="4"/>
      <c r="B334" s="8"/>
      <c r="C334" s="5"/>
      <c r="D334" s="5"/>
      <c r="E334" s="5"/>
      <c r="F334" s="7"/>
      <c r="G334" s="7"/>
      <c r="H334" s="8"/>
      <c r="I334" s="12" t="str">
        <f>IFERROR(IF(COUNTA(A334:H334)=0,"",IF(OR(A334="",B334="",C334="",D334="",E334="",F334=""),"FALTA CAMPO",IF(COUNTIFS($A$6:$A$1005,A334,$B$6:$B$1005,B334)&gt;1,"DUPLICADO FECHA-SKU",IF(COUNTIF(CATALOGO!$A$6:$A$105,B334)&lt;&gt;1,"SKU NO VALIDO",IF(OR(A334&lt;DATE(1900,1,1),A334&gt;DATE(2100,12,31),A334&gt;CONFIG!$B$5,C334&lt;0,C334&gt;1000000,D334&lt;0,D334&gt;1000000,E334&lt;0,E334&gt;1000000,E334&gt;D334,ABS(F334)&gt;1000000000,ABS(G334)&gt;1000000000,ROUND(F334,2)&lt;&gt;F334,AND(G334&lt;&gt;"",ROUND(G334,2)&lt;&gt;G334)),"REVISAR VALOR","OK"))))),"REVISAR VALOR")</f>
        <v/>
      </c>
    </row>
    <row r="335" spans="1:9" x14ac:dyDescent="0.45">
      <c r="A335" s="4"/>
      <c r="B335" s="8"/>
      <c r="C335" s="5"/>
      <c r="D335" s="5"/>
      <c r="E335" s="5"/>
      <c r="F335" s="7"/>
      <c r="G335" s="7"/>
      <c r="H335" s="8"/>
      <c r="I335" s="12" t="str">
        <f>IFERROR(IF(COUNTA(A335:H335)=0,"",IF(OR(A335="",B335="",C335="",D335="",E335="",F335=""),"FALTA CAMPO",IF(COUNTIFS($A$6:$A$1005,A335,$B$6:$B$1005,B335)&gt;1,"DUPLICADO FECHA-SKU",IF(COUNTIF(CATALOGO!$A$6:$A$105,B335)&lt;&gt;1,"SKU NO VALIDO",IF(OR(A335&lt;DATE(1900,1,1),A335&gt;DATE(2100,12,31),A335&gt;CONFIG!$B$5,C335&lt;0,C335&gt;1000000,D335&lt;0,D335&gt;1000000,E335&lt;0,E335&gt;1000000,E335&gt;D335,ABS(F335)&gt;1000000000,ABS(G335)&gt;1000000000,ROUND(F335,2)&lt;&gt;F335,AND(G335&lt;&gt;"",ROUND(G335,2)&lt;&gt;G335)),"REVISAR VALOR","OK"))))),"REVISAR VALOR")</f>
        <v/>
      </c>
    </row>
    <row r="336" spans="1:9" x14ac:dyDescent="0.45">
      <c r="A336" s="4"/>
      <c r="B336" s="8"/>
      <c r="C336" s="5"/>
      <c r="D336" s="5"/>
      <c r="E336" s="5"/>
      <c r="F336" s="7"/>
      <c r="G336" s="7"/>
      <c r="H336" s="8"/>
      <c r="I336" s="12" t="str">
        <f>IFERROR(IF(COUNTA(A336:H336)=0,"",IF(OR(A336="",B336="",C336="",D336="",E336="",F336=""),"FALTA CAMPO",IF(COUNTIFS($A$6:$A$1005,A336,$B$6:$B$1005,B336)&gt;1,"DUPLICADO FECHA-SKU",IF(COUNTIF(CATALOGO!$A$6:$A$105,B336)&lt;&gt;1,"SKU NO VALIDO",IF(OR(A336&lt;DATE(1900,1,1),A336&gt;DATE(2100,12,31),A336&gt;CONFIG!$B$5,C336&lt;0,C336&gt;1000000,D336&lt;0,D336&gt;1000000,E336&lt;0,E336&gt;1000000,E336&gt;D336,ABS(F336)&gt;1000000000,ABS(G336)&gt;1000000000,ROUND(F336,2)&lt;&gt;F336,AND(G336&lt;&gt;"",ROUND(G336,2)&lt;&gt;G336)),"REVISAR VALOR","OK"))))),"REVISAR VALOR")</f>
        <v/>
      </c>
    </row>
    <row r="337" spans="1:9" x14ac:dyDescent="0.45">
      <c r="A337" s="4"/>
      <c r="B337" s="8"/>
      <c r="C337" s="5"/>
      <c r="D337" s="5"/>
      <c r="E337" s="5"/>
      <c r="F337" s="7"/>
      <c r="G337" s="7"/>
      <c r="H337" s="8"/>
      <c r="I337" s="12" t="str">
        <f>IFERROR(IF(COUNTA(A337:H337)=0,"",IF(OR(A337="",B337="",C337="",D337="",E337="",F337=""),"FALTA CAMPO",IF(COUNTIFS($A$6:$A$1005,A337,$B$6:$B$1005,B337)&gt;1,"DUPLICADO FECHA-SKU",IF(COUNTIF(CATALOGO!$A$6:$A$105,B337)&lt;&gt;1,"SKU NO VALIDO",IF(OR(A337&lt;DATE(1900,1,1),A337&gt;DATE(2100,12,31),A337&gt;CONFIG!$B$5,C337&lt;0,C337&gt;1000000,D337&lt;0,D337&gt;1000000,E337&lt;0,E337&gt;1000000,E337&gt;D337,ABS(F337)&gt;1000000000,ABS(G337)&gt;1000000000,ROUND(F337,2)&lt;&gt;F337,AND(G337&lt;&gt;"",ROUND(G337,2)&lt;&gt;G337)),"REVISAR VALOR","OK"))))),"REVISAR VALOR")</f>
        <v/>
      </c>
    </row>
    <row r="338" spans="1:9" x14ac:dyDescent="0.45">
      <c r="A338" s="4"/>
      <c r="B338" s="8"/>
      <c r="C338" s="5"/>
      <c r="D338" s="5"/>
      <c r="E338" s="5"/>
      <c r="F338" s="7"/>
      <c r="G338" s="7"/>
      <c r="H338" s="8"/>
      <c r="I338" s="12" t="str">
        <f>IFERROR(IF(COUNTA(A338:H338)=0,"",IF(OR(A338="",B338="",C338="",D338="",E338="",F338=""),"FALTA CAMPO",IF(COUNTIFS($A$6:$A$1005,A338,$B$6:$B$1005,B338)&gt;1,"DUPLICADO FECHA-SKU",IF(COUNTIF(CATALOGO!$A$6:$A$105,B338)&lt;&gt;1,"SKU NO VALIDO",IF(OR(A338&lt;DATE(1900,1,1),A338&gt;DATE(2100,12,31),A338&gt;CONFIG!$B$5,C338&lt;0,C338&gt;1000000,D338&lt;0,D338&gt;1000000,E338&lt;0,E338&gt;1000000,E338&gt;D338,ABS(F338)&gt;1000000000,ABS(G338)&gt;1000000000,ROUND(F338,2)&lt;&gt;F338,AND(G338&lt;&gt;"",ROUND(G338,2)&lt;&gt;G338)),"REVISAR VALOR","OK"))))),"REVISAR VALOR")</f>
        <v/>
      </c>
    </row>
    <row r="339" spans="1:9" x14ac:dyDescent="0.45">
      <c r="A339" s="4"/>
      <c r="B339" s="8"/>
      <c r="C339" s="5"/>
      <c r="D339" s="5"/>
      <c r="E339" s="5"/>
      <c r="F339" s="7"/>
      <c r="G339" s="7"/>
      <c r="H339" s="8"/>
      <c r="I339" s="12" t="str">
        <f>IFERROR(IF(COUNTA(A339:H339)=0,"",IF(OR(A339="",B339="",C339="",D339="",E339="",F339=""),"FALTA CAMPO",IF(COUNTIFS($A$6:$A$1005,A339,$B$6:$B$1005,B339)&gt;1,"DUPLICADO FECHA-SKU",IF(COUNTIF(CATALOGO!$A$6:$A$105,B339)&lt;&gt;1,"SKU NO VALIDO",IF(OR(A339&lt;DATE(1900,1,1),A339&gt;DATE(2100,12,31),A339&gt;CONFIG!$B$5,C339&lt;0,C339&gt;1000000,D339&lt;0,D339&gt;1000000,E339&lt;0,E339&gt;1000000,E339&gt;D339,ABS(F339)&gt;1000000000,ABS(G339)&gt;1000000000,ROUND(F339,2)&lt;&gt;F339,AND(G339&lt;&gt;"",ROUND(G339,2)&lt;&gt;G339)),"REVISAR VALOR","OK"))))),"REVISAR VALOR")</f>
        <v/>
      </c>
    </row>
    <row r="340" spans="1:9" x14ac:dyDescent="0.45">
      <c r="A340" s="4"/>
      <c r="B340" s="8"/>
      <c r="C340" s="5"/>
      <c r="D340" s="5"/>
      <c r="E340" s="5"/>
      <c r="F340" s="7"/>
      <c r="G340" s="7"/>
      <c r="H340" s="8"/>
      <c r="I340" s="12" t="str">
        <f>IFERROR(IF(COUNTA(A340:H340)=0,"",IF(OR(A340="",B340="",C340="",D340="",E340="",F340=""),"FALTA CAMPO",IF(COUNTIFS($A$6:$A$1005,A340,$B$6:$B$1005,B340)&gt;1,"DUPLICADO FECHA-SKU",IF(COUNTIF(CATALOGO!$A$6:$A$105,B340)&lt;&gt;1,"SKU NO VALIDO",IF(OR(A340&lt;DATE(1900,1,1),A340&gt;DATE(2100,12,31),A340&gt;CONFIG!$B$5,C340&lt;0,C340&gt;1000000,D340&lt;0,D340&gt;1000000,E340&lt;0,E340&gt;1000000,E340&gt;D340,ABS(F340)&gt;1000000000,ABS(G340)&gt;1000000000,ROUND(F340,2)&lt;&gt;F340,AND(G340&lt;&gt;"",ROUND(G340,2)&lt;&gt;G340)),"REVISAR VALOR","OK"))))),"REVISAR VALOR")</f>
        <v/>
      </c>
    </row>
    <row r="341" spans="1:9" x14ac:dyDescent="0.45">
      <c r="A341" s="4"/>
      <c r="B341" s="8"/>
      <c r="C341" s="5"/>
      <c r="D341" s="5"/>
      <c r="E341" s="5"/>
      <c r="F341" s="7"/>
      <c r="G341" s="7"/>
      <c r="H341" s="8"/>
      <c r="I341" s="12" t="str">
        <f>IFERROR(IF(COUNTA(A341:H341)=0,"",IF(OR(A341="",B341="",C341="",D341="",E341="",F341=""),"FALTA CAMPO",IF(COUNTIFS($A$6:$A$1005,A341,$B$6:$B$1005,B341)&gt;1,"DUPLICADO FECHA-SKU",IF(COUNTIF(CATALOGO!$A$6:$A$105,B341)&lt;&gt;1,"SKU NO VALIDO",IF(OR(A341&lt;DATE(1900,1,1),A341&gt;DATE(2100,12,31),A341&gt;CONFIG!$B$5,C341&lt;0,C341&gt;1000000,D341&lt;0,D341&gt;1000000,E341&lt;0,E341&gt;1000000,E341&gt;D341,ABS(F341)&gt;1000000000,ABS(G341)&gt;1000000000,ROUND(F341,2)&lt;&gt;F341,AND(G341&lt;&gt;"",ROUND(G341,2)&lt;&gt;G341)),"REVISAR VALOR","OK"))))),"REVISAR VALOR")</f>
        <v/>
      </c>
    </row>
    <row r="342" spans="1:9" x14ac:dyDescent="0.45">
      <c r="A342" s="4"/>
      <c r="B342" s="8"/>
      <c r="C342" s="5"/>
      <c r="D342" s="5"/>
      <c r="E342" s="5"/>
      <c r="F342" s="7"/>
      <c r="G342" s="7"/>
      <c r="H342" s="8"/>
      <c r="I342" s="12" t="str">
        <f>IFERROR(IF(COUNTA(A342:H342)=0,"",IF(OR(A342="",B342="",C342="",D342="",E342="",F342=""),"FALTA CAMPO",IF(COUNTIFS($A$6:$A$1005,A342,$B$6:$B$1005,B342)&gt;1,"DUPLICADO FECHA-SKU",IF(COUNTIF(CATALOGO!$A$6:$A$105,B342)&lt;&gt;1,"SKU NO VALIDO",IF(OR(A342&lt;DATE(1900,1,1),A342&gt;DATE(2100,12,31),A342&gt;CONFIG!$B$5,C342&lt;0,C342&gt;1000000,D342&lt;0,D342&gt;1000000,E342&lt;0,E342&gt;1000000,E342&gt;D342,ABS(F342)&gt;1000000000,ABS(G342)&gt;1000000000,ROUND(F342,2)&lt;&gt;F342,AND(G342&lt;&gt;"",ROUND(G342,2)&lt;&gt;G342)),"REVISAR VALOR","OK"))))),"REVISAR VALOR")</f>
        <v/>
      </c>
    </row>
    <row r="343" spans="1:9" x14ac:dyDescent="0.45">
      <c r="A343" s="4"/>
      <c r="B343" s="8"/>
      <c r="C343" s="5"/>
      <c r="D343" s="5"/>
      <c r="E343" s="5"/>
      <c r="F343" s="7"/>
      <c r="G343" s="7"/>
      <c r="H343" s="8"/>
      <c r="I343" s="12" t="str">
        <f>IFERROR(IF(COUNTA(A343:H343)=0,"",IF(OR(A343="",B343="",C343="",D343="",E343="",F343=""),"FALTA CAMPO",IF(COUNTIFS($A$6:$A$1005,A343,$B$6:$B$1005,B343)&gt;1,"DUPLICADO FECHA-SKU",IF(COUNTIF(CATALOGO!$A$6:$A$105,B343)&lt;&gt;1,"SKU NO VALIDO",IF(OR(A343&lt;DATE(1900,1,1),A343&gt;DATE(2100,12,31),A343&gt;CONFIG!$B$5,C343&lt;0,C343&gt;1000000,D343&lt;0,D343&gt;1000000,E343&lt;0,E343&gt;1000000,E343&gt;D343,ABS(F343)&gt;1000000000,ABS(G343)&gt;1000000000,ROUND(F343,2)&lt;&gt;F343,AND(G343&lt;&gt;"",ROUND(G343,2)&lt;&gt;G343)),"REVISAR VALOR","OK"))))),"REVISAR VALOR")</f>
        <v/>
      </c>
    </row>
    <row r="344" spans="1:9" x14ac:dyDescent="0.45">
      <c r="A344" s="4"/>
      <c r="B344" s="8"/>
      <c r="C344" s="5"/>
      <c r="D344" s="5"/>
      <c r="E344" s="5"/>
      <c r="F344" s="7"/>
      <c r="G344" s="7"/>
      <c r="H344" s="8"/>
      <c r="I344" s="12" t="str">
        <f>IFERROR(IF(COUNTA(A344:H344)=0,"",IF(OR(A344="",B344="",C344="",D344="",E344="",F344=""),"FALTA CAMPO",IF(COUNTIFS($A$6:$A$1005,A344,$B$6:$B$1005,B344)&gt;1,"DUPLICADO FECHA-SKU",IF(COUNTIF(CATALOGO!$A$6:$A$105,B344)&lt;&gt;1,"SKU NO VALIDO",IF(OR(A344&lt;DATE(1900,1,1),A344&gt;DATE(2100,12,31),A344&gt;CONFIG!$B$5,C344&lt;0,C344&gt;1000000,D344&lt;0,D344&gt;1000000,E344&lt;0,E344&gt;1000000,E344&gt;D344,ABS(F344)&gt;1000000000,ABS(G344)&gt;1000000000,ROUND(F344,2)&lt;&gt;F344,AND(G344&lt;&gt;"",ROUND(G344,2)&lt;&gt;G344)),"REVISAR VALOR","OK"))))),"REVISAR VALOR")</f>
        <v/>
      </c>
    </row>
    <row r="345" spans="1:9" x14ac:dyDescent="0.45">
      <c r="A345" s="4"/>
      <c r="B345" s="8"/>
      <c r="C345" s="5"/>
      <c r="D345" s="5"/>
      <c r="E345" s="5"/>
      <c r="F345" s="7"/>
      <c r="G345" s="7"/>
      <c r="H345" s="8"/>
      <c r="I345" s="12" t="str">
        <f>IFERROR(IF(COUNTA(A345:H345)=0,"",IF(OR(A345="",B345="",C345="",D345="",E345="",F345=""),"FALTA CAMPO",IF(COUNTIFS($A$6:$A$1005,A345,$B$6:$B$1005,B345)&gt;1,"DUPLICADO FECHA-SKU",IF(COUNTIF(CATALOGO!$A$6:$A$105,B345)&lt;&gt;1,"SKU NO VALIDO",IF(OR(A345&lt;DATE(1900,1,1),A345&gt;DATE(2100,12,31),A345&gt;CONFIG!$B$5,C345&lt;0,C345&gt;1000000,D345&lt;0,D345&gt;1000000,E345&lt;0,E345&gt;1000000,E345&gt;D345,ABS(F345)&gt;1000000000,ABS(G345)&gt;1000000000,ROUND(F345,2)&lt;&gt;F345,AND(G345&lt;&gt;"",ROUND(G345,2)&lt;&gt;G345)),"REVISAR VALOR","OK"))))),"REVISAR VALOR")</f>
        <v/>
      </c>
    </row>
    <row r="346" spans="1:9" x14ac:dyDescent="0.45">
      <c r="A346" s="4"/>
      <c r="B346" s="8"/>
      <c r="C346" s="5"/>
      <c r="D346" s="5"/>
      <c r="E346" s="5"/>
      <c r="F346" s="7"/>
      <c r="G346" s="7"/>
      <c r="H346" s="8"/>
      <c r="I346" s="12" t="str">
        <f>IFERROR(IF(COUNTA(A346:H346)=0,"",IF(OR(A346="",B346="",C346="",D346="",E346="",F346=""),"FALTA CAMPO",IF(COUNTIFS($A$6:$A$1005,A346,$B$6:$B$1005,B346)&gt;1,"DUPLICADO FECHA-SKU",IF(COUNTIF(CATALOGO!$A$6:$A$105,B346)&lt;&gt;1,"SKU NO VALIDO",IF(OR(A346&lt;DATE(1900,1,1),A346&gt;DATE(2100,12,31),A346&gt;CONFIG!$B$5,C346&lt;0,C346&gt;1000000,D346&lt;0,D346&gt;1000000,E346&lt;0,E346&gt;1000000,E346&gt;D346,ABS(F346)&gt;1000000000,ABS(G346)&gt;1000000000,ROUND(F346,2)&lt;&gt;F346,AND(G346&lt;&gt;"",ROUND(G346,2)&lt;&gt;G346)),"REVISAR VALOR","OK"))))),"REVISAR VALOR")</f>
        <v/>
      </c>
    </row>
    <row r="347" spans="1:9" x14ac:dyDescent="0.45">
      <c r="A347" s="4"/>
      <c r="B347" s="8"/>
      <c r="C347" s="5"/>
      <c r="D347" s="5"/>
      <c r="E347" s="5"/>
      <c r="F347" s="7"/>
      <c r="G347" s="7"/>
      <c r="H347" s="8"/>
      <c r="I347" s="12" t="str">
        <f>IFERROR(IF(COUNTA(A347:H347)=0,"",IF(OR(A347="",B347="",C347="",D347="",E347="",F347=""),"FALTA CAMPO",IF(COUNTIFS($A$6:$A$1005,A347,$B$6:$B$1005,B347)&gt;1,"DUPLICADO FECHA-SKU",IF(COUNTIF(CATALOGO!$A$6:$A$105,B347)&lt;&gt;1,"SKU NO VALIDO",IF(OR(A347&lt;DATE(1900,1,1),A347&gt;DATE(2100,12,31),A347&gt;CONFIG!$B$5,C347&lt;0,C347&gt;1000000,D347&lt;0,D347&gt;1000000,E347&lt;0,E347&gt;1000000,E347&gt;D347,ABS(F347)&gt;1000000000,ABS(G347)&gt;1000000000,ROUND(F347,2)&lt;&gt;F347,AND(G347&lt;&gt;"",ROUND(G347,2)&lt;&gt;G347)),"REVISAR VALOR","OK"))))),"REVISAR VALOR")</f>
        <v/>
      </c>
    </row>
    <row r="348" spans="1:9" x14ac:dyDescent="0.45">
      <c r="A348" s="4"/>
      <c r="B348" s="8"/>
      <c r="C348" s="5"/>
      <c r="D348" s="5"/>
      <c r="E348" s="5"/>
      <c r="F348" s="7"/>
      <c r="G348" s="7"/>
      <c r="H348" s="8"/>
      <c r="I348" s="12" t="str">
        <f>IFERROR(IF(COUNTA(A348:H348)=0,"",IF(OR(A348="",B348="",C348="",D348="",E348="",F348=""),"FALTA CAMPO",IF(COUNTIFS($A$6:$A$1005,A348,$B$6:$B$1005,B348)&gt;1,"DUPLICADO FECHA-SKU",IF(COUNTIF(CATALOGO!$A$6:$A$105,B348)&lt;&gt;1,"SKU NO VALIDO",IF(OR(A348&lt;DATE(1900,1,1),A348&gt;DATE(2100,12,31),A348&gt;CONFIG!$B$5,C348&lt;0,C348&gt;1000000,D348&lt;0,D348&gt;1000000,E348&lt;0,E348&gt;1000000,E348&gt;D348,ABS(F348)&gt;1000000000,ABS(G348)&gt;1000000000,ROUND(F348,2)&lt;&gt;F348,AND(G348&lt;&gt;"",ROUND(G348,2)&lt;&gt;G348)),"REVISAR VALOR","OK"))))),"REVISAR VALOR")</f>
        <v/>
      </c>
    </row>
    <row r="349" spans="1:9" x14ac:dyDescent="0.45">
      <c r="A349" s="4"/>
      <c r="B349" s="8"/>
      <c r="C349" s="5"/>
      <c r="D349" s="5"/>
      <c r="E349" s="5"/>
      <c r="F349" s="7"/>
      <c r="G349" s="7"/>
      <c r="H349" s="8"/>
      <c r="I349" s="12" t="str">
        <f>IFERROR(IF(COUNTA(A349:H349)=0,"",IF(OR(A349="",B349="",C349="",D349="",E349="",F349=""),"FALTA CAMPO",IF(COUNTIFS($A$6:$A$1005,A349,$B$6:$B$1005,B349)&gt;1,"DUPLICADO FECHA-SKU",IF(COUNTIF(CATALOGO!$A$6:$A$105,B349)&lt;&gt;1,"SKU NO VALIDO",IF(OR(A349&lt;DATE(1900,1,1),A349&gt;DATE(2100,12,31),A349&gt;CONFIG!$B$5,C349&lt;0,C349&gt;1000000,D349&lt;0,D349&gt;1000000,E349&lt;0,E349&gt;1000000,E349&gt;D349,ABS(F349)&gt;1000000000,ABS(G349)&gt;1000000000,ROUND(F349,2)&lt;&gt;F349,AND(G349&lt;&gt;"",ROUND(G349,2)&lt;&gt;G349)),"REVISAR VALOR","OK"))))),"REVISAR VALOR")</f>
        <v/>
      </c>
    </row>
    <row r="350" spans="1:9" x14ac:dyDescent="0.45">
      <c r="A350" s="4"/>
      <c r="B350" s="8"/>
      <c r="C350" s="5"/>
      <c r="D350" s="5"/>
      <c r="E350" s="5"/>
      <c r="F350" s="7"/>
      <c r="G350" s="7"/>
      <c r="H350" s="8"/>
      <c r="I350" s="12" t="str">
        <f>IFERROR(IF(COUNTA(A350:H350)=0,"",IF(OR(A350="",B350="",C350="",D350="",E350="",F350=""),"FALTA CAMPO",IF(COUNTIFS($A$6:$A$1005,A350,$B$6:$B$1005,B350)&gt;1,"DUPLICADO FECHA-SKU",IF(COUNTIF(CATALOGO!$A$6:$A$105,B350)&lt;&gt;1,"SKU NO VALIDO",IF(OR(A350&lt;DATE(1900,1,1),A350&gt;DATE(2100,12,31),A350&gt;CONFIG!$B$5,C350&lt;0,C350&gt;1000000,D350&lt;0,D350&gt;1000000,E350&lt;0,E350&gt;1000000,E350&gt;D350,ABS(F350)&gt;1000000000,ABS(G350)&gt;1000000000,ROUND(F350,2)&lt;&gt;F350,AND(G350&lt;&gt;"",ROUND(G350,2)&lt;&gt;G350)),"REVISAR VALOR","OK"))))),"REVISAR VALOR")</f>
        <v/>
      </c>
    </row>
    <row r="351" spans="1:9" x14ac:dyDescent="0.45">
      <c r="A351" s="4"/>
      <c r="B351" s="8"/>
      <c r="C351" s="5"/>
      <c r="D351" s="5"/>
      <c r="E351" s="5"/>
      <c r="F351" s="7"/>
      <c r="G351" s="7"/>
      <c r="H351" s="8"/>
      <c r="I351" s="12" t="str">
        <f>IFERROR(IF(COUNTA(A351:H351)=0,"",IF(OR(A351="",B351="",C351="",D351="",E351="",F351=""),"FALTA CAMPO",IF(COUNTIFS($A$6:$A$1005,A351,$B$6:$B$1005,B351)&gt;1,"DUPLICADO FECHA-SKU",IF(COUNTIF(CATALOGO!$A$6:$A$105,B351)&lt;&gt;1,"SKU NO VALIDO",IF(OR(A351&lt;DATE(1900,1,1),A351&gt;DATE(2100,12,31),A351&gt;CONFIG!$B$5,C351&lt;0,C351&gt;1000000,D351&lt;0,D351&gt;1000000,E351&lt;0,E351&gt;1000000,E351&gt;D351,ABS(F351)&gt;1000000000,ABS(G351)&gt;1000000000,ROUND(F351,2)&lt;&gt;F351,AND(G351&lt;&gt;"",ROUND(G351,2)&lt;&gt;G351)),"REVISAR VALOR","OK"))))),"REVISAR VALOR")</f>
        <v/>
      </c>
    </row>
    <row r="352" spans="1:9" x14ac:dyDescent="0.45">
      <c r="A352" s="4"/>
      <c r="B352" s="8"/>
      <c r="C352" s="5"/>
      <c r="D352" s="5"/>
      <c r="E352" s="5"/>
      <c r="F352" s="7"/>
      <c r="G352" s="7"/>
      <c r="H352" s="8"/>
      <c r="I352" s="12" t="str">
        <f>IFERROR(IF(COUNTA(A352:H352)=0,"",IF(OR(A352="",B352="",C352="",D352="",E352="",F352=""),"FALTA CAMPO",IF(COUNTIFS($A$6:$A$1005,A352,$B$6:$B$1005,B352)&gt;1,"DUPLICADO FECHA-SKU",IF(COUNTIF(CATALOGO!$A$6:$A$105,B352)&lt;&gt;1,"SKU NO VALIDO",IF(OR(A352&lt;DATE(1900,1,1),A352&gt;DATE(2100,12,31),A352&gt;CONFIG!$B$5,C352&lt;0,C352&gt;1000000,D352&lt;0,D352&gt;1000000,E352&lt;0,E352&gt;1000000,E352&gt;D352,ABS(F352)&gt;1000000000,ABS(G352)&gt;1000000000,ROUND(F352,2)&lt;&gt;F352,AND(G352&lt;&gt;"",ROUND(G352,2)&lt;&gt;G352)),"REVISAR VALOR","OK"))))),"REVISAR VALOR")</f>
        <v/>
      </c>
    </row>
    <row r="353" spans="1:9" x14ac:dyDescent="0.45">
      <c r="A353" s="4"/>
      <c r="B353" s="8"/>
      <c r="C353" s="5"/>
      <c r="D353" s="5"/>
      <c r="E353" s="5"/>
      <c r="F353" s="7"/>
      <c r="G353" s="7"/>
      <c r="H353" s="8"/>
      <c r="I353" s="12" t="str">
        <f>IFERROR(IF(COUNTA(A353:H353)=0,"",IF(OR(A353="",B353="",C353="",D353="",E353="",F353=""),"FALTA CAMPO",IF(COUNTIFS($A$6:$A$1005,A353,$B$6:$B$1005,B353)&gt;1,"DUPLICADO FECHA-SKU",IF(COUNTIF(CATALOGO!$A$6:$A$105,B353)&lt;&gt;1,"SKU NO VALIDO",IF(OR(A353&lt;DATE(1900,1,1),A353&gt;DATE(2100,12,31),A353&gt;CONFIG!$B$5,C353&lt;0,C353&gt;1000000,D353&lt;0,D353&gt;1000000,E353&lt;0,E353&gt;1000000,E353&gt;D353,ABS(F353)&gt;1000000000,ABS(G353)&gt;1000000000,ROUND(F353,2)&lt;&gt;F353,AND(G353&lt;&gt;"",ROUND(G353,2)&lt;&gt;G353)),"REVISAR VALOR","OK"))))),"REVISAR VALOR")</f>
        <v/>
      </c>
    </row>
    <row r="354" spans="1:9" x14ac:dyDescent="0.45">
      <c r="A354" s="4"/>
      <c r="B354" s="8"/>
      <c r="C354" s="5"/>
      <c r="D354" s="5"/>
      <c r="E354" s="5"/>
      <c r="F354" s="7"/>
      <c r="G354" s="7"/>
      <c r="H354" s="8"/>
      <c r="I354" s="12" t="str">
        <f>IFERROR(IF(COUNTA(A354:H354)=0,"",IF(OR(A354="",B354="",C354="",D354="",E354="",F354=""),"FALTA CAMPO",IF(COUNTIFS($A$6:$A$1005,A354,$B$6:$B$1005,B354)&gt;1,"DUPLICADO FECHA-SKU",IF(COUNTIF(CATALOGO!$A$6:$A$105,B354)&lt;&gt;1,"SKU NO VALIDO",IF(OR(A354&lt;DATE(1900,1,1),A354&gt;DATE(2100,12,31),A354&gt;CONFIG!$B$5,C354&lt;0,C354&gt;1000000,D354&lt;0,D354&gt;1000000,E354&lt;0,E354&gt;1000000,E354&gt;D354,ABS(F354)&gt;1000000000,ABS(G354)&gt;1000000000,ROUND(F354,2)&lt;&gt;F354,AND(G354&lt;&gt;"",ROUND(G354,2)&lt;&gt;G354)),"REVISAR VALOR","OK"))))),"REVISAR VALOR")</f>
        <v/>
      </c>
    </row>
    <row r="355" spans="1:9" x14ac:dyDescent="0.45">
      <c r="A355" s="4"/>
      <c r="B355" s="8"/>
      <c r="C355" s="5"/>
      <c r="D355" s="5"/>
      <c r="E355" s="5"/>
      <c r="F355" s="7"/>
      <c r="G355" s="7"/>
      <c r="H355" s="8"/>
      <c r="I355" s="12" t="str">
        <f>IFERROR(IF(COUNTA(A355:H355)=0,"",IF(OR(A355="",B355="",C355="",D355="",E355="",F355=""),"FALTA CAMPO",IF(COUNTIFS($A$6:$A$1005,A355,$B$6:$B$1005,B355)&gt;1,"DUPLICADO FECHA-SKU",IF(COUNTIF(CATALOGO!$A$6:$A$105,B355)&lt;&gt;1,"SKU NO VALIDO",IF(OR(A355&lt;DATE(1900,1,1),A355&gt;DATE(2100,12,31),A355&gt;CONFIG!$B$5,C355&lt;0,C355&gt;1000000,D355&lt;0,D355&gt;1000000,E355&lt;0,E355&gt;1000000,E355&gt;D355,ABS(F355)&gt;1000000000,ABS(G355)&gt;1000000000,ROUND(F355,2)&lt;&gt;F355,AND(G355&lt;&gt;"",ROUND(G355,2)&lt;&gt;G355)),"REVISAR VALOR","OK"))))),"REVISAR VALOR")</f>
        <v/>
      </c>
    </row>
    <row r="356" spans="1:9" x14ac:dyDescent="0.45">
      <c r="A356" s="4"/>
      <c r="B356" s="8"/>
      <c r="C356" s="5"/>
      <c r="D356" s="5"/>
      <c r="E356" s="5"/>
      <c r="F356" s="7"/>
      <c r="G356" s="7"/>
      <c r="H356" s="8"/>
      <c r="I356" s="12" t="str">
        <f>IFERROR(IF(COUNTA(A356:H356)=0,"",IF(OR(A356="",B356="",C356="",D356="",E356="",F356=""),"FALTA CAMPO",IF(COUNTIFS($A$6:$A$1005,A356,$B$6:$B$1005,B356)&gt;1,"DUPLICADO FECHA-SKU",IF(COUNTIF(CATALOGO!$A$6:$A$105,B356)&lt;&gt;1,"SKU NO VALIDO",IF(OR(A356&lt;DATE(1900,1,1),A356&gt;DATE(2100,12,31),A356&gt;CONFIG!$B$5,C356&lt;0,C356&gt;1000000,D356&lt;0,D356&gt;1000000,E356&lt;0,E356&gt;1000000,E356&gt;D356,ABS(F356)&gt;1000000000,ABS(G356)&gt;1000000000,ROUND(F356,2)&lt;&gt;F356,AND(G356&lt;&gt;"",ROUND(G356,2)&lt;&gt;G356)),"REVISAR VALOR","OK"))))),"REVISAR VALOR")</f>
        <v/>
      </c>
    </row>
    <row r="357" spans="1:9" x14ac:dyDescent="0.45">
      <c r="A357" s="4"/>
      <c r="B357" s="8"/>
      <c r="C357" s="5"/>
      <c r="D357" s="5"/>
      <c r="E357" s="5"/>
      <c r="F357" s="7"/>
      <c r="G357" s="7"/>
      <c r="H357" s="8"/>
      <c r="I357" s="12" t="str">
        <f>IFERROR(IF(COUNTA(A357:H357)=0,"",IF(OR(A357="",B357="",C357="",D357="",E357="",F357=""),"FALTA CAMPO",IF(COUNTIFS($A$6:$A$1005,A357,$B$6:$B$1005,B357)&gt;1,"DUPLICADO FECHA-SKU",IF(COUNTIF(CATALOGO!$A$6:$A$105,B357)&lt;&gt;1,"SKU NO VALIDO",IF(OR(A357&lt;DATE(1900,1,1),A357&gt;DATE(2100,12,31),A357&gt;CONFIG!$B$5,C357&lt;0,C357&gt;1000000,D357&lt;0,D357&gt;1000000,E357&lt;0,E357&gt;1000000,E357&gt;D357,ABS(F357)&gt;1000000000,ABS(G357)&gt;1000000000,ROUND(F357,2)&lt;&gt;F357,AND(G357&lt;&gt;"",ROUND(G357,2)&lt;&gt;G357)),"REVISAR VALOR","OK"))))),"REVISAR VALOR")</f>
        <v/>
      </c>
    </row>
    <row r="358" spans="1:9" x14ac:dyDescent="0.45">
      <c r="A358" s="4"/>
      <c r="B358" s="8"/>
      <c r="C358" s="5"/>
      <c r="D358" s="5"/>
      <c r="E358" s="5"/>
      <c r="F358" s="7"/>
      <c r="G358" s="7"/>
      <c r="H358" s="8"/>
      <c r="I358" s="12" t="str">
        <f>IFERROR(IF(COUNTA(A358:H358)=0,"",IF(OR(A358="",B358="",C358="",D358="",E358="",F358=""),"FALTA CAMPO",IF(COUNTIFS($A$6:$A$1005,A358,$B$6:$B$1005,B358)&gt;1,"DUPLICADO FECHA-SKU",IF(COUNTIF(CATALOGO!$A$6:$A$105,B358)&lt;&gt;1,"SKU NO VALIDO",IF(OR(A358&lt;DATE(1900,1,1),A358&gt;DATE(2100,12,31),A358&gt;CONFIG!$B$5,C358&lt;0,C358&gt;1000000,D358&lt;0,D358&gt;1000000,E358&lt;0,E358&gt;1000000,E358&gt;D358,ABS(F358)&gt;1000000000,ABS(G358)&gt;1000000000,ROUND(F358,2)&lt;&gt;F358,AND(G358&lt;&gt;"",ROUND(G358,2)&lt;&gt;G358)),"REVISAR VALOR","OK"))))),"REVISAR VALOR")</f>
        <v/>
      </c>
    </row>
    <row r="359" spans="1:9" x14ac:dyDescent="0.45">
      <c r="A359" s="4"/>
      <c r="B359" s="8"/>
      <c r="C359" s="5"/>
      <c r="D359" s="5"/>
      <c r="E359" s="5"/>
      <c r="F359" s="7"/>
      <c r="G359" s="7"/>
      <c r="H359" s="8"/>
      <c r="I359" s="12" t="str">
        <f>IFERROR(IF(COUNTA(A359:H359)=0,"",IF(OR(A359="",B359="",C359="",D359="",E359="",F359=""),"FALTA CAMPO",IF(COUNTIFS($A$6:$A$1005,A359,$B$6:$B$1005,B359)&gt;1,"DUPLICADO FECHA-SKU",IF(COUNTIF(CATALOGO!$A$6:$A$105,B359)&lt;&gt;1,"SKU NO VALIDO",IF(OR(A359&lt;DATE(1900,1,1),A359&gt;DATE(2100,12,31),A359&gt;CONFIG!$B$5,C359&lt;0,C359&gt;1000000,D359&lt;0,D359&gt;1000000,E359&lt;0,E359&gt;1000000,E359&gt;D359,ABS(F359)&gt;1000000000,ABS(G359)&gt;1000000000,ROUND(F359,2)&lt;&gt;F359,AND(G359&lt;&gt;"",ROUND(G359,2)&lt;&gt;G359)),"REVISAR VALOR","OK"))))),"REVISAR VALOR")</f>
        <v/>
      </c>
    </row>
    <row r="360" spans="1:9" x14ac:dyDescent="0.45">
      <c r="A360" s="4"/>
      <c r="B360" s="8"/>
      <c r="C360" s="5"/>
      <c r="D360" s="5"/>
      <c r="E360" s="5"/>
      <c r="F360" s="7"/>
      <c r="G360" s="7"/>
      <c r="H360" s="8"/>
      <c r="I360" s="12" t="str">
        <f>IFERROR(IF(COUNTA(A360:H360)=0,"",IF(OR(A360="",B360="",C360="",D360="",E360="",F360=""),"FALTA CAMPO",IF(COUNTIFS($A$6:$A$1005,A360,$B$6:$B$1005,B360)&gt;1,"DUPLICADO FECHA-SKU",IF(COUNTIF(CATALOGO!$A$6:$A$105,B360)&lt;&gt;1,"SKU NO VALIDO",IF(OR(A360&lt;DATE(1900,1,1),A360&gt;DATE(2100,12,31),A360&gt;CONFIG!$B$5,C360&lt;0,C360&gt;1000000,D360&lt;0,D360&gt;1000000,E360&lt;0,E360&gt;1000000,E360&gt;D360,ABS(F360)&gt;1000000000,ABS(G360)&gt;1000000000,ROUND(F360,2)&lt;&gt;F360,AND(G360&lt;&gt;"",ROUND(G360,2)&lt;&gt;G360)),"REVISAR VALOR","OK"))))),"REVISAR VALOR")</f>
        <v/>
      </c>
    </row>
    <row r="361" spans="1:9" x14ac:dyDescent="0.45">
      <c r="A361" s="4"/>
      <c r="B361" s="8"/>
      <c r="C361" s="5"/>
      <c r="D361" s="5"/>
      <c r="E361" s="5"/>
      <c r="F361" s="7"/>
      <c r="G361" s="7"/>
      <c r="H361" s="8"/>
      <c r="I361" s="12" t="str">
        <f>IFERROR(IF(COUNTA(A361:H361)=0,"",IF(OR(A361="",B361="",C361="",D361="",E361="",F361=""),"FALTA CAMPO",IF(COUNTIFS($A$6:$A$1005,A361,$B$6:$B$1005,B361)&gt;1,"DUPLICADO FECHA-SKU",IF(COUNTIF(CATALOGO!$A$6:$A$105,B361)&lt;&gt;1,"SKU NO VALIDO",IF(OR(A361&lt;DATE(1900,1,1),A361&gt;DATE(2100,12,31),A361&gt;CONFIG!$B$5,C361&lt;0,C361&gt;1000000,D361&lt;0,D361&gt;1000000,E361&lt;0,E361&gt;1000000,E361&gt;D361,ABS(F361)&gt;1000000000,ABS(G361)&gt;1000000000,ROUND(F361,2)&lt;&gt;F361,AND(G361&lt;&gt;"",ROUND(G361,2)&lt;&gt;G361)),"REVISAR VALOR","OK"))))),"REVISAR VALOR")</f>
        <v/>
      </c>
    </row>
    <row r="362" spans="1:9" x14ac:dyDescent="0.45">
      <c r="A362" s="4"/>
      <c r="B362" s="8"/>
      <c r="C362" s="5"/>
      <c r="D362" s="5"/>
      <c r="E362" s="5"/>
      <c r="F362" s="7"/>
      <c r="G362" s="7"/>
      <c r="H362" s="8"/>
      <c r="I362" s="12" t="str">
        <f>IFERROR(IF(COUNTA(A362:H362)=0,"",IF(OR(A362="",B362="",C362="",D362="",E362="",F362=""),"FALTA CAMPO",IF(COUNTIFS($A$6:$A$1005,A362,$B$6:$B$1005,B362)&gt;1,"DUPLICADO FECHA-SKU",IF(COUNTIF(CATALOGO!$A$6:$A$105,B362)&lt;&gt;1,"SKU NO VALIDO",IF(OR(A362&lt;DATE(1900,1,1),A362&gt;DATE(2100,12,31),A362&gt;CONFIG!$B$5,C362&lt;0,C362&gt;1000000,D362&lt;0,D362&gt;1000000,E362&lt;0,E362&gt;1000000,E362&gt;D362,ABS(F362)&gt;1000000000,ABS(G362)&gt;1000000000,ROUND(F362,2)&lt;&gt;F362,AND(G362&lt;&gt;"",ROUND(G362,2)&lt;&gt;G362)),"REVISAR VALOR","OK"))))),"REVISAR VALOR")</f>
        <v/>
      </c>
    </row>
    <row r="363" spans="1:9" x14ac:dyDescent="0.45">
      <c r="A363" s="4"/>
      <c r="B363" s="8"/>
      <c r="C363" s="5"/>
      <c r="D363" s="5"/>
      <c r="E363" s="5"/>
      <c r="F363" s="7"/>
      <c r="G363" s="7"/>
      <c r="H363" s="8"/>
      <c r="I363" s="12" t="str">
        <f>IFERROR(IF(COUNTA(A363:H363)=0,"",IF(OR(A363="",B363="",C363="",D363="",E363="",F363=""),"FALTA CAMPO",IF(COUNTIFS($A$6:$A$1005,A363,$B$6:$B$1005,B363)&gt;1,"DUPLICADO FECHA-SKU",IF(COUNTIF(CATALOGO!$A$6:$A$105,B363)&lt;&gt;1,"SKU NO VALIDO",IF(OR(A363&lt;DATE(1900,1,1),A363&gt;DATE(2100,12,31),A363&gt;CONFIG!$B$5,C363&lt;0,C363&gt;1000000,D363&lt;0,D363&gt;1000000,E363&lt;0,E363&gt;1000000,E363&gt;D363,ABS(F363)&gt;1000000000,ABS(G363)&gt;1000000000,ROUND(F363,2)&lt;&gt;F363,AND(G363&lt;&gt;"",ROUND(G363,2)&lt;&gt;G363)),"REVISAR VALOR","OK"))))),"REVISAR VALOR")</f>
        <v/>
      </c>
    </row>
    <row r="364" spans="1:9" x14ac:dyDescent="0.45">
      <c r="A364" s="4"/>
      <c r="B364" s="8"/>
      <c r="C364" s="5"/>
      <c r="D364" s="5"/>
      <c r="E364" s="5"/>
      <c r="F364" s="7"/>
      <c r="G364" s="7"/>
      <c r="H364" s="8"/>
      <c r="I364" s="12" t="str">
        <f>IFERROR(IF(COUNTA(A364:H364)=0,"",IF(OR(A364="",B364="",C364="",D364="",E364="",F364=""),"FALTA CAMPO",IF(COUNTIFS($A$6:$A$1005,A364,$B$6:$B$1005,B364)&gt;1,"DUPLICADO FECHA-SKU",IF(COUNTIF(CATALOGO!$A$6:$A$105,B364)&lt;&gt;1,"SKU NO VALIDO",IF(OR(A364&lt;DATE(1900,1,1),A364&gt;DATE(2100,12,31),A364&gt;CONFIG!$B$5,C364&lt;0,C364&gt;1000000,D364&lt;0,D364&gt;1000000,E364&lt;0,E364&gt;1000000,E364&gt;D364,ABS(F364)&gt;1000000000,ABS(G364)&gt;1000000000,ROUND(F364,2)&lt;&gt;F364,AND(G364&lt;&gt;"",ROUND(G364,2)&lt;&gt;G364)),"REVISAR VALOR","OK"))))),"REVISAR VALOR")</f>
        <v/>
      </c>
    </row>
    <row r="365" spans="1:9" x14ac:dyDescent="0.45">
      <c r="A365" s="4"/>
      <c r="B365" s="8"/>
      <c r="C365" s="5"/>
      <c r="D365" s="5"/>
      <c r="E365" s="5"/>
      <c r="F365" s="7"/>
      <c r="G365" s="7"/>
      <c r="H365" s="8"/>
      <c r="I365" s="12" t="str">
        <f>IFERROR(IF(COUNTA(A365:H365)=0,"",IF(OR(A365="",B365="",C365="",D365="",E365="",F365=""),"FALTA CAMPO",IF(COUNTIFS($A$6:$A$1005,A365,$B$6:$B$1005,B365)&gt;1,"DUPLICADO FECHA-SKU",IF(COUNTIF(CATALOGO!$A$6:$A$105,B365)&lt;&gt;1,"SKU NO VALIDO",IF(OR(A365&lt;DATE(1900,1,1),A365&gt;DATE(2100,12,31),A365&gt;CONFIG!$B$5,C365&lt;0,C365&gt;1000000,D365&lt;0,D365&gt;1000000,E365&lt;0,E365&gt;1000000,E365&gt;D365,ABS(F365)&gt;1000000000,ABS(G365)&gt;1000000000,ROUND(F365,2)&lt;&gt;F365,AND(G365&lt;&gt;"",ROUND(G365,2)&lt;&gt;G365)),"REVISAR VALOR","OK"))))),"REVISAR VALOR")</f>
        <v/>
      </c>
    </row>
    <row r="366" spans="1:9" x14ac:dyDescent="0.45">
      <c r="A366" s="4"/>
      <c r="B366" s="8"/>
      <c r="C366" s="5"/>
      <c r="D366" s="5"/>
      <c r="E366" s="5"/>
      <c r="F366" s="7"/>
      <c r="G366" s="7"/>
      <c r="H366" s="8"/>
      <c r="I366" s="12" t="str">
        <f>IFERROR(IF(COUNTA(A366:H366)=0,"",IF(OR(A366="",B366="",C366="",D366="",E366="",F366=""),"FALTA CAMPO",IF(COUNTIFS($A$6:$A$1005,A366,$B$6:$B$1005,B366)&gt;1,"DUPLICADO FECHA-SKU",IF(COUNTIF(CATALOGO!$A$6:$A$105,B366)&lt;&gt;1,"SKU NO VALIDO",IF(OR(A366&lt;DATE(1900,1,1),A366&gt;DATE(2100,12,31),A366&gt;CONFIG!$B$5,C366&lt;0,C366&gt;1000000,D366&lt;0,D366&gt;1000000,E366&lt;0,E366&gt;1000000,E366&gt;D366,ABS(F366)&gt;1000000000,ABS(G366)&gt;1000000000,ROUND(F366,2)&lt;&gt;F366,AND(G366&lt;&gt;"",ROUND(G366,2)&lt;&gt;G366)),"REVISAR VALOR","OK"))))),"REVISAR VALOR")</f>
        <v/>
      </c>
    </row>
    <row r="367" spans="1:9" x14ac:dyDescent="0.45">
      <c r="A367" s="4"/>
      <c r="B367" s="8"/>
      <c r="C367" s="5"/>
      <c r="D367" s="5"/>
      <c r="E367" s="5"/>
      <c r="F367" s="7"/>
      <c r="G367" s="7"/>
      <c r="H367" s="8"/>
      <c r="I367" s="12" t="str">
        <f>IFERROR(IF(COUNTA(A367:H367)=0,"",IF(OR(A367="",B367="",C367="",D367="",E367="",F367=""),"FALTA CAMPO",IF(COUNTIFS($A$6:$A$1005,A367,$B$6:$B$1005,B367)&gt;1,"DUPLICADO FECHA-SKU",IF(COUNTIF(CATALOGO!$A$6:$A$105,B367)&lt;&gt;1,"SKU NO VALIDO",IF(OR(A367&lt;DATE(1900,1,1),A367&gt;DATE(2100,12,31),A367&gt;CONFIG!$B$5,C367&lt;0,C367&gt;1000000,D367&lt;0,D367&gt;1000000,E367&lt;0,E367&gt;1000000,E367&gt;D367,ABS(F367)&gt;1000000000,ABS(G367)&gt;1000000000,ROUND(F367,2)&lt;&gt;F367,AND(G367&lt;&gt;"",ROUND(G367,2)&lt;&gt;G367)),"REVISAR VALOR","OK"))))),"REVISAR VALOR")</f>
        <v/>
      </c>
    </row>
    <row r="368" spans="1:9" x14ac:dyDescent="0.45">
      <c r="A368" s="4"/>
      <c r="B368" s="8"/>
      <c r="C368" s="5"/>
      <c r="D368" s="5"/>
      <c r="E368" s="5"/>
      <c r="F368" s="7"/>
      <c r="G368" s="7"/>
      <c r="H368" s="8"/>
      <c r="I368" s="12" t="str">
        <f>IFERROR(IF(COUNTA(A368:H368)=0,"",IF(OR(A368="",B368="",C368="",D368="",E368="",F368=""),"FALTA CAMPO",IF(COUNTIFS($A$6:$A$1005,A368,$B$6:$B$1005,B368)&gt;1,"DUPLICADO FECHA-SKU",IF(COUNTIF(CATALOGO!$A$6:$A$105,B368)&lt;&gt;1,"SKU NO VALIDO",IF(OR(A368&lt;DATE(1900,1,1),A368&gt;DATE(2100,12,31),A368&gt;CONFIG!$B$5,C368&lt;0,C368&gt;1000000,D368&lt;0,D368&gt;1000000,E368&lt;0,E368&gt;1000000,E368&gt;D368,ABS(F368)&gt;1000000000,ABS(G368)&gt;1000000000,ROUND(F368,2)&lt;&gt;F368,AND(G368&lt;&gt;"",ROUND(G368,2)&lt;&gt;G368)),"REVISAR VALOR","OK"))))),"REVISAR VALOR")</f>
        <v/>
      </c>
    </row>
    <row r="369" spans="1:9" x14ac:dyDescent="0.45">
      <c r="A369" s="4"/>
      <c r="B369" s="8"/>
      <c r="C369" s="5"/>
      <c r="D369" s="5"/>
      <c r="E369" s="5"/>
      <c r="F369" s="7"/>
      <c r="G369" s="7"/>
      <c r="H369" s="8"/>
      <c r="I369" s="12" t="str">
        <f>IFERROR(IF(COUNTA(A369:H369)=0,"",IF(OR(A369="",B369="",C369="",D369="",E369="",F369=""),"FALTA CAMPO",IF(COUNTIFS($A$6:$A$1005,A369,$B$6:$B$1005,B369)&gt;1,"DUPLICADO FECHA-SKU",IF(COUNTIF(CATALOGO!$A$6:$A$105,B369)&lt;&gt;1,"SKU NO VALIDO",IF(OR(A369&lt;DATE(1900,1,1),A369&gt;DATE(2100,12,31),A369&gt;CONFIG!$B$5,C369&lt;0,C369&gt;1000000,D369&lt;0,D369&gt;1000000,E369&lt;0,E369&gt;1000000,E369&gt;D369,ABS(F369)&gt;1000000000,ABS(G369)&gt;1000000000,ROUND(F369,2)&lt;&gt;F369,AND(G369&lt;&gt;"",ROUND(G369,2)&lt;&gt;G369)),"REVISAR VALOR","OK"))))),"REVISAR VALOR")</f>
        <v/>
      </c>
    </row>
    <row r="370" spans="1:9" x14ac:dyDescent="0.45">
      <c r="A370" s="4"/>
      <c r="B370" s="8"/>
      <c r="C370" s="5"/>
      <c r="D370" s="5"/>
      <c r="E370" s="5"/>
      <c r="F370" s="7"/>
      <c r="G370" s="7"/>
      <c r="H370" s="8"/>
      <c r="I370" s="12" t="str">
        <f>IFERROR(IF(COUNTA(A370:H370)=0,"",IF(OR(A370="",B370="",C370="",D370="",E370="",F370=""),"FALTA CAMPO",IF(COUNTIFS($A$6:$A$1005,A370,$B$6:$B$1005,B370)&gt;1,"DUPLICADO FECHA-SKU",IF(COUNTIF(CATALOGO!$A$6:$A$105,B370)&lt;&gt;1,"SKU NO VALIDO",IF(OR(A370&lt;DATE(1900,1,1),A370&gt;DATE(2100,12,31),A370&gt;CONFIG!$B$5,C370&lt;0,C370&gt;1000000,D370&lt;0,D370&gt;1000000,E370&lt;0,E370&gt;1000000,E370&gt;D370,ABS(F370)&gt;1000000000,ABS(G370)&gt;1000000000,ROUND(F370,2)&lt;&gt;F370,AND(G370&lt;&gt;"",ROUND(G370,2)&lt;&gt;G370)),"REVISAR VALOR","OK"))))),"REVISAR VALOR")</f>
        <v/>
      </c>
    </row>
    <row r="371" spans="1:9" x14ac:dyDescent="0.45">
      <c r="A371" s="4"/>
      <c r="B371" s="8"/>
      <c r="C371" s="5"/>
      <c r="D371" s="5"/>
      <c r="E371" s="5"/>
      <c r="F371" s="7"/>
      <c r="G371" s="7"/>
      <c r="H371" s="8"/>
      <c r="I371" s="12" t="str">
        <f>IFERROR(IF(COUNTA(A371:H371)=0,"",IF(OR(A371="",B371="",C371="",D371="",E371="",F371=""),"FALTA CAMPO",IF(COUNTIFS($A$6:$A$1005,A371,$B$6:$B$1005,B371)&gt;1,"DUPLICADO FECHA-SKU",IF(COUNTIF(CATALOGO!$A$6:$A$105,B371)&lt;&gt;1,"SKU NO VALIDO",IF(OR(A371&lt;DATE(1900,1,1),A371&gt;DATE(2100,12,31),A371&gt;CONFIG!$B$5,C371&lt;0,C371&gt;1000000,D371&lt;0,D371&gt;1000000,E371&lt;0,E371&gt;1000000,E371&gt;D371,ABS(F371)&gt;1000000000,ABS(G371)&gt;1000000000,ROUND(F371,2)&lt;&gt;F371,AND(G371&lt;&gt;"",ROUND(G371,2)&lt;&gt;G371)),"REVISAR VALOR","OK"))))),"REVISAR VALOR")</f>
        <v/>
      </c>
    </row>
    <row r="372" spans="1:9" x14ac:dyDescent="0.45">
      <c r="A372" s="4"/>
      <c r="B372" s="8"/>
      <c r="C372" s="5"/>
      <c r="D372" s="5"/>
      <c r="E372" s="5"/>
      <c r="F372" s="7"/>
      <c r="G372" s="7"/>
      <c r="H372" s="8"/>
      <c r="I372" s="12" t="str">
        <f>IFERROR(IF(COUNTA(A372:H372)=0,"",IF(OR(A372="",B372="",C372="",D372="",E372="",F372=""),"FALTA CAMPO",IF(COUNTIFS($A$6:$A$1005,A372,$B$6:$B$1005,B372)&gt;1,"DUPLICADO FECHA-SKU",IF(COUNTIF(CATALOGO!$A$6:$A$105,B372)&lt;&gt;1,"SKU NO VALIDO",IF(OR(A372&lt;DATE(1900,1,1),A372&gt;DATE(2100,12,31),A372&gt;CONFIG!$B$5,C372&lt;0,C372&gt;1000000,D372&lt;0,D372&gt;1000000,E372&lt;0,E372&gt;1000000,E372&gt;D372,ABS(F372)&gt;1000000000,ABS(G372)&gt;1000000000,ROUND(F372,2)&lt;&gt;F372,AND(G372&lt;&gt;"",ROUND(G372,2)&lt;&gt;G372)),"REVISAR VALOR","OK"))))),"REVISAR VALOR")</f>
        <v/>
      </c>
    </row>
    <row r="373" spans="1:9" x14ac:dyDescent="0.45">
      <c r="A373" s="4"/>
      <c r="B373" s="8"/>
      <c r="C373" s="5"/>
      <c r="D373" s="5"/>
      <c r="E373" s="5"/>
      <c r="F373" s="7"/>
      <c r="G373" s="7"/>
      <c r="H373" s="8"/>
      <c r="I373" s="12" t="str">
        <f>IFERROR(IF(COUNTA(A373:H373)=0,"",IF(OR(A373="",B373="",C373="",D373="",E373="",F373=""),"FALTA CAMPO",IF(COUNTIFS($A$6:$A$1005,A373,$B$6:$B$1005,B373)&gt;1,"DUPLICADO FECHA-SKU",IF(COUNTIF(CATALOGO!$A$6:$A$105,B373)&lt;&gt;1,"SKU NO VALIDO",IF(OR(A373&lt;DATE(1900,1,1),A373&gt;DATE(2100,12,31),A373&gt;CONFIG!$B$5,C373&lt;0,C373&gt;1000000,D373&lt;0,D373&gt;1000000,E373&lt;0,E373&gt;1000000,E373&gt;D373,ABS(F373)&gt;1000000000,ABS(G373)&gt;1000000000,ROUND(F373,2)&lt;&gt;F373,AND(G373&lt;&gt;"",ROUND(G373,2)&lt;&gt;G373)),"REVISAR VALOR","OK"))))),"REVISAR VALOR")</f>
        <v/>
      </c>
    </row>
    <row r="374" spans="1:9" x14ac:dyDescent="0.45">
      <c r="A374" s="4"/>
      <c r="B374" s="8"/>
      <c r="C374" s="5"/>
      <c r="D374" s="5"/>
      <c r="E374" s="5"/>
      <c r="F374" s="7"/>
      <c r="G374" s="7"/>
      <c r="H374" s="8"/>
      <c r="I374" s="12" t="str">
        <f>IFERROR(IF(COUNTA(A374:H374)=0,"",IF(OR(A374="",B374="",C374="",D374="",E374="",F374=""),"FALTA CAMPO",IF(COUNTIFS($A$6:$A$1005,A374,$B$6:$B$1005,B374)&gt;1,"DUPLICADO FECHA-SKU",IF(COUNTIF(CATALOGO!$A$6:$A$105,B374)&lt;&gt;1,"SKU NO VALIDO",IF(OR(A374&lt;DATE(1900,1,1),A374&gt;DATE(2100,12,31),A374&gt;CONFIG!$B$5,C374&lt;0,C374&gt;1000000,D374&lt;0,D374&gt;1000000,E374&lt;0,E374&gt;1000000,E374&gt;D374,ABS(F374)&gt;1000000000,ABS(G374)&gt;1000000000,ROUND(F374,2)&lt;&gt;F374,AND(G374&lt;&gt;"",ROUND(G374,2)&lt;&gt;G374)),"REVISAR VALOR","OK"))))),"REVISAR VALOR")</f>
        <v/>
      </c>
    </row>
    <row r="375" spans="1:9" x14ac:dyDescent="0.45">
      <c r="A375" s="4"/>
      <c r="B375" s="8"/>
      <c r="C375" s="5"/>
      <c r="D375" s="5"/>
      <c r="E375" s="5"/>
      <c r="F375" s="7"/>
      <c r="G375" s="7"/>
      <c r="H375" s="8"/>
      <c r="I375" s="12" t="str">
        <f>IFERROR(IF(COUNTA(A375:H375)=0,"",IF(OR(A375="",B375="",C375="",D375="",E375="",F375=""),"FALTA CAMPO",IF(COUNTIFS($A$6:$A$1005,A375,$B$6:$B$1005,B375)&gt;1,"DUPLICADO FECHA-SKU",IF(COUNTIF(CATALOGO!$A$6:$A$105,B375)&lt;&gt;1,"SKU NO VALIDO",IF(OR(A375&lt;DATE(1900,1,1),A375&gt;DATE(2100,12,31),A375&gt;CONFIG!$B$5,C375&lt;0,C375&gt;1000000,D375&lt;0,D375&gt;1000000,E375&lt;0,E375&gt;1000000,E375&gt;D375,ABS(F375)&gt;1000000000,ABS(G375)&gt;1000000000,ROUND(F375,2)&lt;&gt;F375,AND(G375&lt;&gt;"",ROUND(G375,2)&lt;&gt;G375)),"REVISAR VALOR","OK"))))),"REVISAR VALOR")</f>
        <v/>
      </c>
    </row>
    <row r="376" spans="1:9" x14ac:dyDescent="0.45">
      <c r="A376" s="4"/>
      <c r="B376" s="8"/>
      <c r="C376" s="5"/>
      <c r="D376" s="5"/>
      <c r="E376" s="5"/>
      <c r="F376" s="7"/>
      <c r="G376" s="7"/>
      <c r="H376" s="8"/>
      <c r="I376" s="12" t="str">
        <f>IFERROR(IF(COUNTA(A376:H376)=0,"",IF(OR(A376="",B376="",C376="",D376="",E376="",F376=""),"FALTA CAMPO",IF(COUNTIFS($A$6:$A$1005,A376,$B$6:$B$1005,B376)&gt;1,"DUPLICADO FECHA-SKU",IF(COUNTIF(CATALOGO!$A$6:$A$105,B376)&lt;&gt;1,"SKU NO VALIDO",IF(OR(A376&lt;DATE(1900,1,1),A376&gt;DATE(2100,12,31),A376&gt;CONFIG!$B$5,C376&lt;0,C376&gt;1000000,D376&lt;0,D376&gt;1000000,E376&lt;0,E376&gt;1000000,E376&gt;D376,ABS(F376)&gt;1000000000,ABS(G376)&gt;1000000000,ROUND(F376,2)&lt;&gt;F376,AND(G376&lt;&gt;"",ROUND(G376,2)&lt;&gt;G376)),"REVISAR VALOR","OK"))))),"REVISAR VALOR")</f>
        <v/>
      </c>
    </row>
    <row r="377" spans="1:9" x14ac:dyDescent="0.45">
      <c r="A377" s="4"/>
      <c r="B377" s="8"/>
      <c r="C377" s="5"/>
      <c r="D377" s="5"/>
      <c r="E377" s="5"/>
      <c r="F377" s="7"/>
      <c r="G377" s="7"/>
      <c r="H377" s="8"/>
      <c r="I377" s="12" t="str">
        <f>IFERROR(IF(COUNTA(A377:H377)=0,"",IF(OR(A377="",B377="",C377="",D377="",E377="",F377=""),"FALTA CAMPO",IF(COUNTIFS($A$6:$A$1005,A377,$B$6:$B$1005,B377)&gt;1,"DUPLICADO FECHA-SKU",IF(COUNTIF(CATALOGO!$A$6:$A$105,B377)&lt;&gt;1,"SKU NO VALIDO",IF(OR(A377&lt;DATE(1900,1,1),A377&gt;DATE(2100,12,31),A377&gt;CONFIG!$B$5,C377&lt;0,C377&gt;1000000,D377&lt;0,D377&gt;1000000,E377&lt;0,E377&gt;1000000,E377&gt;D377,ABS(F377)&gt;1000000000,ABS(G377)&gt;1000000000,ROUND(F377,2)&lt;&gt;F377,AND(G377&lt;&gt;"",ROUND(G377,2)&lt;&gt;G377)),"REVISAR VALOR","OK"))))),"REVISAR VALOR")</f>
        <v/>
      </c>
    </row>
    <row r="378" spans="1:9" x14ac:dyDescent="0.45">
      <c r="A378" s="4"/>
      <c r="B378" s="8"/>
      <c r="C378" s="5"/>
      <c r="D378" s="5"/>
      <c r="E378" s="5"/>
      <c r="F378" s="7"/>
      <c r="G378" s="7"/>
      <c r="H378" s="8"/>
      <c r="I378" s="12" t="str">
        <f>IFERROR(IF(COUNTA(A378:H378)=0,"",IF(OR(A378="",B378="",C378="",D378="",E378="",F378=""),"FALTA CAMPO",IF(COUNTIFS($A$6:$A$1005,A378,$B$6:$B$1005,B378)&gt;1,"DUPLICADO FECHA-SKU",IF(COUNTIF(CATALOGO!$A$6:$A$105,B378)&lt;&gt;1,"SKU NO VALIDO",IF(OR(A378&lt;DATE(1900,1,1),A378&gt;DATE(2100,12,31),A378&gt;CONFIG!$B$5,C378&lt;0,C378&gt;1000000,D378&lt;0,D378&gt;1000000,E378&lt;0,E378&gt;1000000,E378&gt;D378,ABS(F378)&gt;1000000000,ABS(G378)&gt;1000000000,ROUND(F378,2)&lt;&gt;F378,AND(G378&lt;&gt;"",ROUND(G378,2)&lt;&gt;G378)),"REVISAR VALOR","OK"))))),"REVISAR VALOR")</f>
        <v/>
      </c>
    </row>
    <row r="379" spans="1:9" x14ac:dyDescent="0.45">
      <c r="A379" s="4"/>
      <c r="B379" s="8"/>
      <c r="C379" s="5"/>
      <c r="D379" s="5"/>
      <c r="E379" s="5"/>
      <c r="F379" s="7"/>
      <c r="G379" s="7"/>
      <c r="H379" s="8"/>
      <c r="I379" s="12" t="str">
        <f>IFERROR(IF(COUNTA(A379:H379)=0,"",IF(OR(A379="",B379="",C379="",D379="",E379="",F379=""),"FALTA CAMPO",IF(COUNTIFS($A$6:$A$1005,A379,$B$6:$B$1005,B379)&gt;1,"DUPLICADO FECHA-SKU",IF(COUNTIF(CATALOGO!$A$6:$A$105,B379)&lt;&gt;1,"SKU NO VALIDO",IF(OR(A379&lt;DATE(1900,1,1),A379&gt;DATE(2100,12,31),A379&gt;CONFIG!$B$5,C379&lt;0,C379&gt;1000000,D379&lt;0,D379&gt;1000000,E379&lt;0,E379&gt;1000000,E379&gt;D379,ABS(F379)&gt;1000000000,ABS(G379)&gt;1000000000,ROUND(F379,2)&lt;&gt;F379,AND(G379&lt;&gt;"",ROUND(G379,2)&lt;&gt;G379)),"REVISAR VALOR","OK"))))),"REVISAR VALOR")</f>
        <v/>
      </c>
    </row>
    <row r="380" spans="1:9" x14ac:dyDescent="0.45">
      <c r="A380" s="4"/>
      <c r="B380" s="8"/>
      <c r="C380" s="5"/>
      <c r="D380" s="5"/>
      <c r="E380" s="5"/>
      <c r="F380" s="7"/>
      <c r="G380" s="7"/>
      <c r="H380" s="8"/>
      <c r="I380" s="12" t="str">
        <f>IFERROR(IF(COUNTA(A380:H380)=0,"",IF(OR(A380="",B380="",C380="",D380="",E380="",F380=""),"FALTA CAMPO",IF(COUNTIFS($A$6:$A$1005,A380,$B$6:$B$1005,B380)&gt;1,"DUPLICADO FECHA-SKU",IF(COUNTIF(CATALOGO!$A$6:$A$105,B380)&lt;&gt;1,"SKU NO VALIDO",IF(OR(A380&lt;DATE(1900,1,1),A380&gt;DATE(2100,12,31),A380&gt;CONFIG!$B$5,C380&lt;0,C380&gt;1000000,D380&lt;0,D380&gt;1000000,E380&lt;0,E380&gt;1000000,E380&gt;D380,ABS(F380)&gt;1000000000,ABS(G380)&gt;1000000000,ROUND(F380,2)&lt;&gt;F380,AND(G380&lt;&gt;"",ROUND(G380,2)&lt;&gt;G380)),"REVISAR VALOR","OK"))))),"REVISAR VALOR")</f>
        <v/>
      </c>
    </row>
    <row r="381" spans="1:9" x14ac:dyDescent="0.45">
      <c r="A381" s="4"/>
      <c r="B381" s="8"/>
      <c r="C381" s="5"/>
      <c r="D381" s="5"/>
      <c r="E381" s="5"/>
      <c r="F381" s="7"/>
      <c r="G381" s="7"/>
      <c r="H381" s="8"/>
      <c r="I381" s="12" t="str">
        <f>IFERROR(IF(COUNTA(A381:H381)=0,"",IF(OR(A381="",B381="",C381="",D381="",E381="",F381=""),"FALTA CAMPO",IF(COUNTIFS($A$6:$A$1005,A381,$B$6:$B$1005,B381)&gt;1,"DUPLICADO FECHA-SKU",IF(COUNTIF(CATALOGO!$A$6:$A$105,B381)&lt;&gt;1,"SKU NO VALIDO",IF(OR(A381&lt;DATE(1900,1,1),A381&gt;DATE(2100,12,31),A381&gt;CONFIG!$B$5,C381&lt;0,C381&gt;1000000,D381&lt;0,D381&gt;1000000,E381&lt;0,E381&gt;1000000,E381&gt;D381,ABS(F381)&gt;1000000000,ABS(G381)&gt;1000000000,ROUND(F381,2)&lt;&gt;F381,AND(G381&lt;&gt;"",ROUND(G381,2)&lt;&gt;G381)),"REVISAR VALOR","OK"))))),"REVISAR VALOR")</f>
        <v/>
      </c>
    </row>
    <row r="382" spans="1:9" x14ac:dyDescent="0.45">
      <c r="A382" s="4"/>
      <c r="B382" s="8"/>
      <c r="C382" s="5"/>
      <c r="D382" s="5"/>
      <c r="E382" s="5"/>
      <c r="F382" s="7"/>
      <c r="G382" s="7"/>
      <c r="H382" s="8"/>
      <c r="I382" s="12" t="str">
        <f>IFERROR(IF(COUNTA(A382:H382)=0,"",IF(OR(A382="",B382="",C382="",D382="",E382="",F382=""),"FALTA CAMPO",IF(COUNTIFS($A$6:$A$1005,A382,$B$6:$B$1005,B382)&gt;1,"DUPLICADO FECHA-SKU",IF(COUNTIF(CATALOGO!$A$6:$A$105,B382)&lt;&gt;1,"SKU NO VALIDO",IF(OR(A382&lt;DATE(1900,1,1),A382&gt;DATE(2100,12,31),A382&gt;CONFIG!$B$5,C382&lt;0,C382&gt;1000000,D382&lt;0,D382&gt;1000000,E382&lt;0,E382&gt;1000000,E382&gt;D382,ABS(F382)&gt;1000000000,ABS(G382)&gt;1000000000,ROUND(F382,2)&lt;&gt;F382,AND(G382&lt;&gt;"",ROUND(G382,2)&lt;&gt;G382)),"REVISAR VALOR","OK"))))),"REVISAR VALOR")</f>
        <v/>
      </c>
    </row>
    <row r="383" spans="1:9" x14ac:dyDescent="0.45">
      <c r="A383" s="4"/>
      <c r="B383" s="8"/>
      <c r="C383" s="5"/>
      <c r="D383" s="5"/>
      <c r="E383" s="5"/>
      <c r="F383" s="7"/>
      <c r="G383" s="7"/>
      <c r="H383" s="8"/>
      <c r="I383" s="12" t="str">
        <f>IFERROR(IF(COUNTA(A383:H383)=0,"",IF(OR(A383="",B383="",C383="",D383="",E383="",F383=""),"FALTA CAMPO",IF(COUNTIFS($A$6:$A$1005,A383,$B$6:$B$1005,B383)&gt;1,"DUPLICADO FECHA-SKU",IF(COUNTIF(CATALOGO!$A$6:$A$105,B383)&lt;&gt;1,"SKU NO VALIDO",IF(OR(A383&lt;DATE(1900,1,1),A383&gt;DATE(2100,12,31),A383&gt;CONFIG!$B$5,C383&lt;0,C383&gt;1000000,D383&lt;0,D383&gt;1000000,E383&lt;0,E383&gt;1000000,E383&gt;D383,ABS(F383)&gt;1000000000,ABS(G383)&gt;1000000000,ROUND(F383,2)&lt;&gt;F383,AND(G383&lt;&gt;"",ROUND(G383,2)&lt;&gt;G383)),"REVISAR VALOR","OK"))))),"REVISAR VALOR")</f>
        <v/>
      </c>
    </row>
    <row r="384" spans="1:9" x14ac:dyDescent="0.45">
      <c r="A384" s="4"/>
      <c r="B384" s="8"/>
      <c r="C384" s="5"/>
      <c r="D384" s="5"/>
      <c r="E384" s="5"/>
      <c r="F384" s="7"/>
      <c r="G384" s="7"/>
      <c r="H384" s="8"/>
      <c r="I384" s="12" t="str">
        <f>IFERROR(IF(COUNTA(A384:H384)=0,"",IF(OR(A384="",B384="",C384="",D384="",E384="",F384=""),"FALTA CAMPO",IF(COUNTIFS($A$6:$A$1005,A384,$B$6:$B$1005,B384)&gt;1,"DUPLICADO FECHA-SKU",IF(COUNTIF(CATALOGO!$A$6:$A$105,B384)&lt;&gt;1,"SKU NO VALIDO",IF(OR(A384&lt;DATE(1900,1,1),A384&gt;DATE(2100,12,31),A384&gt;CONFIG!$B$5,C384&lt;0,C384&gt;1000000,D384&lt;0,D384&gt;1000000,E384&lt;0,E384&gt;1000000,E384&gt;D384,ABS(F384)&gt;1000000000,ABS(G384)&gt;1000000000,ROUND(F384,2)&lt;&gt;F384,AND(G384&lt;&gt;"",ROUND(G384,2)&lt;&gt;G384)),"REVISAR VALOR","OK"))))),"REVISAR VALOR")</f>
        <v/>
      </c>
    </row>
    <row r="385" spans="1:9" x14ac:dyDescent="0.45">
      <c r="A385" s="4"/>
      <c r="B385" s="8"/>
      <c r="C385" s="5"/>
      <c r="D385" s="5"/>
      <c r="E385" s="5"/>
      <c r="F385" s="7"/>
      <c r="G385" s="7"/>
      <c r="H385" s="8"/>
      <c r="I385" s="12" t="str">
        <f>IFERROR(IF(COUNTA(A385:H385)=0,"",IF(OR(A385="",B385="",C385="",D385="",E385="",F385=""),"FALTA CAMPO",IF(COUNTIFS($A$6:$A$1005,A385,$B$6:$B$1005,B385)&gt;1,"DUPLICADO FECHA-SKU",IF(COUNTIF(CATALOGO!$A$6:$A$105,B385)&lt;&gt;1,"SKU NO VALIDO",IF(OR(A385&lt;DATE(1900,1,1),A385&gt;DATE(2100,12,31),A385&gt;CONFIG!$B$5,C385&lt;0,C385&gt;1000000,D385&lt;0,D385&gt;1000000,E385&lt;0,E385&gt;1000000,E385&gt;D385,ABS(F385)&gt;1000000000,ABS(G385)&gt;1000000000,ROUND(F385,2)&lt;&gt;F385,AND(G385&lt;&gt;"",ROUND(G385,2)&lt;&gt;G385)),"REVISAR VALOR","OK"))))),"REVISAR VALOR")</f>
        <v/>
      </c>
    </row>
    <row r="386" spans="1:9" x14ac:dyDescent="0.45">
      <c r="A386" s="4"/>
      <c r="B386" s="8"/>
      <c r="C386" s="5"/>
      <c r="D386" s="5"/>
      <c r="E386" s="5"/>
      <c r="F386" s="7"/>
      <c r="G386" s="7"/>
      <c r="H386" s="8"/>
      <c r="I386" s="12" t="str">
        <f>IFERROR(IF(COUNTA(A386:H386)=0,"",IF(OR(A386="",B386="",C386="",D386="",E386="",F386=""),"FALTA CAMPO",IF(COUNTIFS($A$6:$A$1005,A386,$B$6:$B$1005,B386)&gt;1,"DUPLICADO FECHA-SKU",IF(COUNTIF(CATALOGO!$A$6:$A$105,B386)&lt;&gt;1,"SKU NO VALIDO",IF(OR(A386&lt;DATE(1900,1,1),A386&gt;DATE(2100,12,31),A386&gt;CONFIG!$B$5,C386&lt;0,C386&gt;1000000,D386&lt;0,D386&gt;1000000,E386&lt;0,E386&gt;1000000,E386&gt;D386,ABS(F386)&gt;1000000000,ABS(G386)&gt;1000000000,ROUND(F386,2)&lt;&gt;F386,AND(G386&lt;&gt;"",ROUND(G386,2)&lt;&gt;G386)),"REVISAR VALOR","OK"))))),"REVISAR VALOR")</f>
        <v/>
      </c>
    </row>
    <row r="387" spans="1:9" x14ac:dyDescent="0.45">
      <c r="A387" s="4"/>
      <c r="B387" s="8"/>
      <c r="C387" s="5"/>
      <c r="D387" s="5"/>
      <c r="E387" s="5"/>
      <c r="F387" s="7"/>
      <c r="G387" s="7"/>
      <c r="H387" s="8"/>
      <c r="I387" s="12" t="str">
        <f>IFERROR(IF(COUNTA(A387:H387)=0,"",IF(OR(A387="",B387="",C387="",D387="",E387="",F387=""),"FALTA CAMPO",IF(COUNTIFS($A$6:$A$1005,A387,$B$6:$B$1005,B387)&gt;1,"DUPLICADO FECHA-SKU",IF(COUNTIF(CATALOGO!$A$6:$A$105,B387)&lt;&gt;1,"SKU NO VALIDO",IF(OR(A387&lt;DATE(1900,1,1),A387&gt;DATE(2100,12,31),A387&gt;CONFIG!$B$5,C387&lt;0,C387&gt;1000000,D387&lt;0,D387&gt;1000000,E387&lt;0,E387&gt;1000000,E387&gt;D387,ABS(F387)&gt;1000000000,ABS(G387)&gt;1000000000,ROUND(F387,2)&lt;&gt;F387,AND(G387&lt;&gt;"",ROUND(G387,2)&lt;&gt;G387)),"REVISAR VALOR","OK"))))),"REVISAR VALOR")</f>
        <v/>
      </c>
    </row>
    <row r="388" spans="1:9" x14ac:dyDescent="0.45">
      <c r="A388" s="4"/>
      <c r="B388" s="8"/>
      <c r="C388" s="5"/>
      <c r="D388" s="5"/>
      <c r="E388" s="5"/>
      <c r="F388" s="7"/>
      <c r="G388" s="7"/>
      <c r="H388" s="8"/>
      <c r="I388" s="12" t="str">
        <f>IFERROR(IF(COUNTA(A388:H388)=0,"",IF(OR(A388="",B388="",C388="",D388="",E388="",F388=""),"FALTA CAMPO",IF(COUNTIFS($A$6:$A$1005,A388,$B$6:$B$1005,B388)&gt;1,"DUPLICADO FECHA-SKU",IF(COUNTIF(CATALOGO!$A$6:$A$105,B388)&lt;&gt;1,"SKU NO VALIDO",IF(OR(A388&lt;DATE(1900,1,1),A388&gt;DATE(2100,12,31),A388&gt;CONFIG!$B$5,C388&lt;0,C388&gt;1000000,D388&lt;0,D388&gt;1000000,E388&lt;0,E388&gt;1000000,E388&gt;D388,ABS(F388)&gt;1000000000,ABS(G388)&gt;1000000000,ROUND(F388,2)&lt;&gt;F388,AND(G388&lt;&gt;"",ROUND(G388,2)&lt;&gt;G388)),"REVISAR VALOR","OK"))))),"REVISAR VALOR")</f>
        <v/>
      </c>
    </row>
    <row r="389" spans="1:9" x14ac:dyDescent="0.45">
      <c r="A389" s="4"/>
      <c r="B389" s="8"/>
      <c r="C389" s="5"/>
      <c r="D389" s="5"/>
      <c r="E389" s="5"/>
      <c r="F389" s="7"/>
      <c r="G389" s="7"/>
      <c r="H389" s="8"/>
      <c r="I389" s="12" t="str">
        <f>IFERROR(IF(COUNTA(A389:H389)=0,"",IF(OR(A389="",B389="",C389="",D389="",E389="",F389=""),"FALTA CAMPO",IF(COUNTIFS($A$6:$A$1005,A389,$B$6:$B$1005,B389)&gt;1,"DUPLICADO FECHA-SKU",IF(COUNTIF(CATALOGO!$A$6:$A$105,B389)&lt;&gt;1,"SKU NO VALIDO",IF(OR(A389&lt;DATE(1900,1,1),A389&gt;DATE(2100,12,31),A389&gt;CONFIG!$B$5,C389&lt;0,C389&gt;1000000,D389&lt;0,D389&gt;1000000,E389&lt;0,E389&gt;1000000,E389&gt;D389,ABS(F389)&gt;1000000000,ABS(G389)&gt;1000000000,ROUND(F389,2)&lt;&gt;F389,AND(G389&lt;&gt;"",ROUND(G389,2)&lt;&gt;G389)),"REVISAR VALOR","OK"))))),"REVISAR VALOR")</f>
        <v/>
      </c>
    </row>
    <row r="390" spans="1:9" x14ac:dyDescent="0.45">
      <c r="A390" s="4"/>
      <c r="B390" s="8"/>
      <c r="C390" s="5"/>
      <c r="D390" s="5"/>
      <c r="E390" s="5"/>
      <c r="F390" s="7"/>
      <c r="G390" s="7"/>
      <c r="H390" s="8"/>
      <c r="I390" s="12" t="str">
        <f>IFERROR(IF(COUNTA(A390:H390)=0,"",IF(OR(A390="",B390="",C390="",D390="",E390="",F390=""),"FALTA CAMPO",IF(COUNTIFS($A$6:$A$1005,A390,$B$6:$B$1005,B390)&gt;1,"DUPLICADO FECHA-SKU",IF(COUNTIF(CATALOGO!$A$6:$A$105,B390)&lt;&gt;1,"SKU NO VALIDO",IF(OR(A390&lt;DATE(1900,1,1),A390&gt;DATE(2100,12,31),A390&gt;CONFIG!$B$5,C390&lt;0,C390&gt;1000000,D390&lt;0,D390&gt;1000000,E390&lt;0,E390&gt;1000000,E390&gt;D390,ABS(F390)&gt;1000000000,ABS(G390)&gt;1000000000,ROUND(F390,2)&lt;&gt;F390,AND(G390&lt;&gt;"",ROUND(G390,2)&lt;&gt;G390)),"REVISAR VALOR","OK"))))),"REVISAR VALOR")</f>
        <v/>
      </c>
    </row>
    <row r="391" spans="1:9" x14ac:dyDescent="0.45">
      <c r="A391" s="4"/>
      <c r="B391" s="8"/>
      <c r="C391" s="5"/>
      <c r="D391" s="5"/>
      <c r="E391" s="5"/>
      <c r="F391" s="7"/>
      <c r="G391" s="7"/>
      <c r="H391" s="8"/>
      <c r="I391" s="12" t="str">
        <f>IFERROR(IF(COUNTA(A391:H391)=0,"",IF(OR(A391="",B391="",C391="",D391="",E391="",F391=""),"FALTA CAMPO",IF(COUNTIFS($A$6:$A$1005,A391,$B$6:$B$1005,B391)&gt;1,"DUPLICADO FECHA-SKU",IF(COUNTIF(CATALOGO!$A$6:$A$105,B391)&lt;&gt;1,"SKU NO VALIDO",IF(OR(A391&lt;DATE(1900,1,1),A391&gt;DATE(2100,12,31),A391&gt;CONFIG!$B$5,C391&lt;0,C391&gt;1000000,D391&lt;0,D391&gt;1000000,E391&lt;0,E391&gt;1000000,E391&gt;D391,ABS(F391)&gt;1000000000,ABS(G391)&gt;1000000000,ROUND(F391,2)&lt;&gt;F391,AND(G391&lt;&gt;"",ROUND(G391,2)&lt;&gt;G391)),"REVISAR VALOR","OK"))))),"REVISAR VALOR")</f>
        <v/>
      </c>
    </row>
    <row r="392" spans="1:9" x14ac:dyDescent="0.45">
      <c r="A392" s="4"/>
      <c r="B392" s="8"/>
      <c r="C392" s="5"/>
      <c r="D392" s="5"/>
      <c r="E392" s="5"/>
      <c r="F392" s="7"/>
      <c r="G392" s="7"/>
      <c r="H392" s="8"/>
      <c r="I392" s="12" t="str">
        <f>IFERROR(IF(COUNTA(A392:H392)=0,"",IF(OR(A392="",B392="",C392="",D392="",E392="",F392=""),"FALTA CAMPO",IF(COUNTIFS($A$6:$A$1005,A392,$B$6:$B$1005,B392)&gt;1,"DUPLICADO FECHA-SKU",IF(COUNTIF(CATALOGO!$A$6:$A$105,B392)&lt;&gt;1,"SKU NO VALIDO",IF(OR(A392&lt;DATE(1900,1,1),A392&gt;DATE(2100,12,31),A392&gt;CONFIG!$B$5,C392&lt;0,C392&gt;1000000,D392&lt;0,D392&gt;1000000,E392&lt;0,E392&gt;1000000,E392&gt;D392,ABS(F392)&gt;1000000000,ABS(G392)&gt;1000000000,ROUND(F392,2)&lt;&gt;F392,AND(G392&lt;&gt;"",ROUND(G392,2)&lt;&gt;G392)),"REVISAR VALOR","OK"))))),"REVISAR VALOR")</f>
        <v/>
      </c>
    </row>
    <row r="393" spans="1:9" x14ac:dyDescent="0.45">
      <c r="A393" s="4"/>
      <c r="B393" s="8"/>
      <c r="C393" s="5"/>
      <c r="D393" s="5"/>
      <c r="E393" s="5"/>
      <c r="F393" s="7"/>
      <c r="G393" s="7"/>
      <c r="H393" s="8"/>
      <c r="I393" s="12" t="str">
        <f>IFERROR(IF(COUNTA(A393:H393)=0,"",IF(OR(A393="",B393="",C393="",D393="",E393="",F393=""),"FALTA CAMPO",IF(COUNTIFS($A$6:$A$1005,A393,$B$6:$B$1005,B393)&gt;1,"DUPLICADO FECHA-SKU",IF(COUNTIF(CATALOGO!$A$6:$A$105,B393)&lt;&gt;1,"SKU NO VALIDO",IF(OR(A393&lt;DATE(1900,1,1),A393&gt;DATE(2100,12,31),A393&gt;CONFIG!$B$5,C393&lt;0,C393&gt;1000000,D393&lt;0,D393&gt;1000000,E393&lt;0,E393&gt;1000000,E393&gt;D393,ABS(F393)&gt;1000000000,ABS(G393)&gt;1000000000,ROUND(F393,2)&lt;&gt;F393,AND(G393&lt;&gt;"",ROUND(G393,2)&lt;&gt;G393)),"REVISAR VALOR","OK"))))),"REVISAR VALOR")</f>
        <v/>
      </c>
    </row>
    <row r="394" spans="1:9" x14ac:dyDescent="0.45">
      <c r="A394" s="4"/>
      <c r="B394" s="8"/>
      <c r="C394" s="5"/>
      <c r="D394" s="5"/>
      <c r="E394" s="5"/>
      <c r="F394" s="7"/>
      <c r="G394" s="7"/>
      <c r="H394" s="8"/>
      <c r="I394" s="12" t="str">
        <f>IFERROR(IF(COUNTA(A394:H394)=0,"",IF(OR(A394="",B394="",C394="",D394="",E394="",F394=""),"FALTA CAMPO",IF(COUNTIFS($A$6:$A$1005,A394,$B$6:$B$1005,B394)&gt;1,"DUPLICADO FECHA-SKU",IF(COUNTIF(CATALOGO!$A$6:$A$105,B394)&lt;&gt;1,"SKU NO VALIDO",IF(OR(A394&lt;DATE(1900,1,1),A394&gt;DATE(2100,12,31),A394&gt;CONFIG!$B$5,C394&lt;0,C394&gt;1000000,D394&lt;0,D394&gt;1000000,E394&lt;0,E394&gt;1000000,E394&gt;D394,ABS(F394)&gt;1000000000,ABS(G394)&gt;1000000000,ROUND(F394,2)&lt;&gt;F394,AND(G394&lt;&gt;"",ROUND(G394,2)&lt;&gt;G394)),"REVISAR VALOR","OK"))))),"REVISAR VALOR")</f>
        <v/>
      </c>
    </row>
    <row r="395" spans="1:9" x14ac:dyDescent="0.45">
      <c r="A395" s="4"/>
      <c r="B395" s="8"/>
      <c r="C395" s="5"/>
      <c r="D395" s="5"/>
      <c r="E395" s="5"/>
      <c r="F395" s="7"/>
      <c r="G395" s="7"/>
      <c r="H395" s="8"/>
      <c r="I395" s="12" t="str">
        <f>IFERROR(IF(COUNTA(A395:H395)=0,"",IF(OR(A395="",B395="",C395="",D395="",E395="",F395=""),"FALTA CAMPO",IF(COUNTIFS($A$6:$A$1005,A395,$B$6:$B$1005,B395)&gt;1,"DUPLICADO FECHA-SKU",IF(COUNTIF(CATALOGO!$A$6:$A$105,B395)&lt;&gt;1,"SKU NO VALIDO",IF(OR(A395&lt;DATE(1900,1,1),A395&gt;DATE(2100,12,31),A395&gt;CONFIG!$B$5,C395&lt;0,C395&gt;1000000,D395&lt;0,D395&gt;1000000,E395&lt;0,E395&gt;1000000,E395&gt;D395,ABS(F395)&gt;1000000000,ABS(G395)&gt;1000000000,ROUND(F395,2)&lt;&gt;F395,AND(G395&lt;&gt;"",ROUND(G395,2)&lt;&gt;G395)),"REVISAR VALOR","OK"))))),"REVISAR VALOR")</f>
        <v/>
      </c>
    </row>
    <row r="396" spans="1:9" x14ac:dyDescent="0.45">
      <c r="A396" s="4"/>
      <c r="B396" s="8"/>
      <c r="C396" s="5"/>
      <c r="D396" s="5"/>
      <c r="E396" s="5"/>
      <c r="F396" s="7"/>
      <c r="G396" s="7"/>
      <c r="H396" s="8"/>
      <c r="I396" s="12" t="str">
        <f>IFERROR(IF(COUNTA(A396:H396)=0,"",IF(OR(A396="",B396="",C396="",D396="",E396="",F396=""),"FALTA CAMPO",IF(COUNTIFS($A$6:$A$1005,A396,$B$6:$B$1005,B396)&gt;1,"DUPLICADO FECHA-SKU",IF(COUNTIF(CATALOGO!$A$6:$A$105,B396)&lt;&gt;1,"SKU NO VALIDO",IF(OR(A396&lt;DATE(1900,1,1),A396&gt;DATE(2100,12,31),A396&gt;CONFIG!$B$5,C396&lt;0,C396&gt;1000000,D396&lt;0,D396&gt;1000000,E396&lt;0,E396&gt;1000000,E396&gt;D396,ABS(F396)&gt;1000000000,ABS(G396)&gt;1000000000,ROUND(F396,2)&lt;&gt;F396,AND(G396&lt;&gt;"",ROUND(G396,2)&lt;&gt;G396)),"REVISAR VALOR","OK"))))),"REVISAR VALOR")</f>
        <v/>
      </c>
    </row>
    <row r="397" spans="1:9" x14ac:dyDescent="0.45">
      <c r="A397" s="4"/>
      <c r="B397" s="8"/>
      <c r="C397" s="5"/>
      <c r="D397" s="5"/>
      <c r="E397" s="5"/>
      <c r="F397" s="7"/>
      <c r="G397" s="7"/>
      <c r="H397" s="8"/>
      <c r="I397" s="12" t="str">
        <f>IFERROR(IF(COUNTA(A397:H397)=0,"",IF(OR(A397="",B397="",C397="",D397="",E397="",F397=""),"FALTA CAMPO",IF(COUNTIFS($A$6:$A$1005,A397,$B$6:$B$1005,B397)&gt;1,"DUPLICADO FECHA-SKU",IF(COUNTIF(CATALOGO!$A$6:$A$105,B397)&lt;&gt;1,"SKU NO VALIDO",IF(OR(A397&lt;DATE(1900,1,1),A397&gt;DATE(2100,12,31),A397&gt;CONFIG!$B$5,C397&lt;0,C397&gt;1000000,D397&lt;0,D397&gt;1000000,E397&lt;0,E397&gt;1000000,E397&gt;D397,ABS(F397)&gt;1000000000,ABS(G397)&gt;1000000000,ROUND(F397,2)&lt;&gt;F397,AND(G397&lt;&gt;"",ROUND(G397,2)&lt;&gt;G397)),"REVISAR VALOR","OK"))))),"REVISAR VALOR")</f>
        <v/>
      </c>
    </row>
    <row r="398" spans="1:9" x14ac:dyDescent="0.45">
      <c r="A398" s="4"/>
      <c r="B398" s="8"/>
      <c r="C398" s="5"/>
      <c r="D398" s="5"/>
      <c r="E398" s="5"/>
      <c r="F398" s="7"/>
      <c r="G398" s="7"/>
      <c r="H398" s="8"/>
      <c r="I398" s="12" t="str">
        <f>IFERROR(IF(COUNTA(A398:H398)=0,"",IF(OR(A398="",B398="",C398="",D398="",E398="",F398=""),"FALTA CAMPO",IF(COUNTIFS($A$6:$A$1005,A398,$B$6:$B$1005,B398)&gt;1,"DUPLICADO FECHA-SKU",IF(COUNTIF(CATALOGO!$A$6:$A$105,B398)&lt;&gt;1,"SKU NO VALIDO",IF(OR(A398&lt;DATE(1900,1,1),A398&gt;DATE(2100,12,31),A398&gt;CONFIG!$B$5,C398&lt;0,C398&gt;1000000,D398&lt;0,D398&gt;1000000,E398&lt;0,E398&gt;1000000,E398&gt;D398,ABS(F398)&gt;1000000000,ABS(G398)&gt;1000000000,ROUND(F398,2)&lt;&gt;F398,AND(G398&lt;&gt;"",ROUND(G398,2)&lt;&gt;G398)),"REVISAR VALOR","OK"))))),"REVISAR VALOR")</f>
        <v/>
      </c>
    </row>
    <row r="399" spans="1:9" x14ac:dyDescent="0.45">
      <c r="A399" s="4"/>
      <c r="B399" s="8"/>
      <c r="C399" s="5"/>
      <c r="D399" s="5"/>
      <c r="E399" s="5"/>
      <c r="F399" s="7"/>
      <c r="G399" s="7"/>
      <c r="H399" s="8"/>
      <c r="I399" s="12" t="str">
        <f>IFERROR(IF(COUNTA(A399:H399)=0,"",IF(OR(A399="",B399="",C399="",D399="",E399="",F399=""),"FALTA CAMPO",IF(COUNTIFS($A$6:$A$1005,A399,$B$6:$B$1005,B399)&gt;1,"DUPLICADO FECHA-SKU",IF(COUNTIF(CATALOGO!$A$6:$A$105,B399)&lt;&gt;1,"SKU NO VALIDO",IF(OR(A399&lt;DATE(1900,1,1),A399&gt;DATE(2100,12,31),A399&gt;CONFIG!$B$5,C399&lt;0,C399&gt;1000000,D399&lt;0,D399&gt;1000000,E399&lt;0,E399&gt;1000000,E399&gt;D399,ABS(F399)&gt;1000000000,ABS(G399)&gt;1000000000,ROUND(F399,2)&lt;&gt;F399,AND(G399&lt;&gt;"",ROUND(G399,2)&lt;&gt;G399)),"REVISAR VALOR","OK"))))),"REVISAR VALOR")</f>
        <v/>
      </c>
    </row>
    <row r="400" spans="1:9" x14ac:dyDescent="0.45">
      <c r="A400" s="4"/>
      <c r="B400" s="8"/>
      <c r="C400" s="5"/>
      <c r="D400" s="5"/>
      <c r="E400" s="5"/>
      <c r="F400" s="7"/>
      <c r="G400" s="7"/>
      <c r="H400" s="8"/>
      <c r="I400" s="12" t="str">
        <f>IFERROR(IF(COUNTA(A400:H400)=0,"",IF(OR(A400="",B400="",C400="",D400="",E400="",F400=""),"FALTA CAMPO",IF(COUNTIFS($A$6:$A$1005,A400,$B$6:$B$1005,B400)&gt;1,"DUPLICADO FECHA-SKU",IF(COUNTIF(CATALOGO!$A$6:$A$105,B400)&lt;&gt;1,"SKU NO VALIDO",IF(OR(A400&lt;DATE(1900,1,1),A400&gt;DATE(2100,12,31),A400&gt;CONFIG!$B$5,C400&lt;0,C400&gt;1000000,D400&lt;0,D400&gt;1000000,E400&lt;0,E400&gt;1000000,E400&gt;D400,ABS(F400)&gt;1000000000,ABS(G400)&gt;1000000000,ROUND(F400,2)&lt;&gt;F400,AND(G400&lt;&gt;"",ROUND(G400,2)&lt;&gt;G400)),"REVISAR VALOR","OK"))))),"REVISAR VALOR")</f>
        <v/>
      </c>
    </row>
    <row r="401" spans="1:9" x14ac:dyDescent="0.45">
      <c r="A401" s="4"/>
      <c r="B401" s="8"/>
      <c r="C401" s="5"/>
      <c r="D401" s="5"/>
      <c r="E401" s="5"/>
      <c r="F401" s="7"/>
      <c r="G401" s="7"/>
      <c r="H401" s="8"/>
      <c r="I401" s="12" t="str">
        <f>IFERROR(IF(COUNTA(A401:H401)=0,"",IF(OR(A401="",B401="",C401="",D401="",E401="",F401=""),"FALTA CAMPO",IF(COUNTIFS($A$6:$A$1005,A401,$B$6:$B$1005,B401)&gt;1,"DUPLICADO FECHA-SKU",IF(COUNTIF(CATALOGO!$A$6:$A$105,B401)&lt;&gt;1,"SKU NO VALIDO",IF(OR(A401&lt;DATE(1900,1,1),A401&gt;DATE(2100,12,31),A401&gt;CONFIG!$B$5,C401&lt;0,C401&gt;1000000,D401&lt;0,D401&gt;1000000,E401&lt;0,E401&gt;1000000,E401&gt;D401,ABS(F401)&gt;1000000000,ABS(G401)&gt;1000000000,ROUND(F401,2)&lt;&gt;F401,AND(G401&lt;&gt;"",ROUND(G401,2)&lt;&gt;G401)),"REVISAR VALOR","OK"))))),"REVISAR VALOR")</f>
        <v/>
      </c>
    </row>
    <row r="402" spans="1:9" x14ac:dyDescent="0.45">
      <c r="A402" s="4"/>
      <c r="B402" s="8"/>
      <c r="C402" s="5"/>
      <c r="D402" s="5"/>
      <c r="E402" s="5"/>
      <c r="F402" s="7"/>
      <c r="G402" s="7"/>
      <c r="H402" s="8"/>
      <c r="I402" s="12" t="str">
        <f>IFERROR(IF(COUNTA(A402:H402)=0,"",IF(OR(A402="",B402="",C402="",D402="",E402="",F402=""),"FALTA CAMPO",IF(COUNTIFS($A$6:$A$1005,A402,$B$6:$B$1005,B402)&gt;1,"DUPLICADO FECHA-SKU",IF(COUNTIF(CATALOGO!$A$6:$A$105,B402)&lt;&gt;1,"SKU NO VALIDO",IF(OR(A402&lt;DATE(1900,1,1),A402&gt;DATE(2100,12,31),A402&gt;CONFIG!$B$5,C402&lt;0,C402&gt;1000000,D402&lt;0,D402&gt;1000000,E402&lt;0,E402&gt;1000000,E402&gt;D402,ABS(F402)&gt;1000000000,ABS(G402)&gt;1000000000,ROUND(F402,2)&lt;&gt;F402,AND(G402&lt;&gt;"",ROUND(G402,2)&lt;&gt;G402)),"REVISAR VALOR","OK"))))),"REVISAR VALOR")</f>
        <v/>
      </c>
    </row>
    <row r="403" spans="1:9" x14ac:dyDescent="0.45">
      <c r="A403" s="4"/>
      <c r="B403" s="8"/>
      <c r="C403" s="5"/>
      <c r="D403" s="5"/>
      <c r="E403" s="5"/>
      <c r="F403" s="7"/>
      <c r="G403" s="7"/>
      <c r="H403" s="8"/>
      <c r="I403" s="12" t="str">
        <f>IFERROR(IF(COUNTA(A403:H403)=0,"",IF(OR(A403="",B403="",C403="",D403="",E403="",F403=""),"FALTA CAMPO",IF(COUNTIFS($A$6:$A$1005,A403,$B$6:$B$1005,B403)&gt;1,"DUPLICADO FECHA-SKU",IF(COUNTIF(CATALOGO!$A$6:$A$105,B403)&lt;&gt;1,"SKU NO VALIDO",IF(OR(A403&lt;DATE(1900,1,1),A403&gt;DATE(2100,12,31),A403&gt;CONFIG!$B$5,C403&lt;0,C403&gt;1000000,D403&lt;0,D403&gt;1000000,E403&lt;0,E403&gt;1000000,E403&gt;D403,ABS(F403)&gt;1000000000,ABS(G403)&gt;1000000000,ROUND(F403,2)&lt;&gt;F403,AND(G403&lt;&gt;"",ROUND(G403,2)&lt;&gt;G403)),"REVISAR VALOR","OK"))))),"REVISAR VALOR")</f>
        <v/>
      </c>
    </row>
    <row r="404" spans="1:9" x14ac:dyDescent="0.45">
      <c r="A404" s="4"/>
      <c r="B404" s="8"/>
      <c r="C404" s="5"/>
      <c r="D404" s="5"/>
      <c r="E404" s="5"/>
      <c r="F404" s="7"/>
      <c r="G404" s="7"/>
      <c r="H404" s="8"/>
      <c r="I404" s="12" t="str">
        <f>IFERROR(IF(COUNTA(A404:H404)=0,"",IF(OR(A404="",B404="",C404="",D404="",E404="",F404=""),"FALTA CAMPO",IF(COUNTIFS($A$6:$A$1005,A404,$B$6:$B$1005,B404)&gt;1,"DUPLICADO FECHA-SKU",IF(COUNTIF(CATALOGO!$A$6:$A$105,B404)&lt;&gt;1,"SKU NO VALIDO",IF(OR(A404&lt;DATE(1900,1,1),A404&gt;DATE(2100,12,31),A404&gt;CONFIG!$B$5,C404&lt;0,C404&gt;1000000,D404&lt;0,D404&gt;1000000,E404&lt;0,E404&gt;1000000,E404&gt;D404,ABS(F404)&gt;1000000000,ABS(G404)&gt;1000000000,ROUND(F404,2)&lt;&gt;F404,AND(G404&lt;&gt;"",ROUND(G404,2)&lt;&gt;G404)),"REVISAR VALOR","OK"))))),"REVISAR VALOR")</f>
        <v/>
      </c>
    </row>
    <row r="405" spans="1:9" x14ac:dyDescent="0.45">
      <c r="A405" s="4"/>
      <c r="B405" s="8"/>
      <c r="C405" s="5"/>
      <c r="D405" s="5"/>
      <c r="E405" s="5"/>
      <c r="F405" s="7"/>
      <c r="G405" s="7"/>
      <c r="H405" s="8"/>
      <c r="I405" s="12" t="str">
        <f>IFERROR(IF(COUNTA(A405:H405)=0,"",IF(OR(A405="",B405="",C405="",D405="",E405="",F405=""),"FALTA CAMPO",IF(COUNTIFS($A$6:$A$1005,A405,$B$6:$B$1005,B405)&gt;1,"DUPLICADO FECHA-SKU",IF(COUNTIF(CATALOGO!$A$6:$A$105,B405)&lt;&gt;1,"SKU NO VALIDO",IF(OR(A405&lt;DATE(1900,1,1),A405&gt;DATE(2100,12,31),A405&gt;CONFIG!$B$5,C405&lt;0,C405&gt;1000000,D405&lt;0,D405&gt;1000000,E405&lt;0,E405&gt;1000000,E405&gt;D405,ABS(F405)&gt;1000000000,ABS(G405)&gt;1000000000,ROUND(F405,2)&lt;&gt;F405,AND(G405&lt;&gt;"",ROUND(G405,2)&lt;&gt;G405)),"REVISAR VALOR","OK"))))),"REVISAR VALOR")</f>
        <v/>
      </c>
    </row>
    <row r="406" spans="1:9" x14ac:dyDescent="0.45">
      <c r="A406" s="4"/>
      <c r="B406" s="8"/>
      <c r="C406" s="5"/>
      <c r="D406" s="5"/>
      <c r="E406" s="5"/>
      <c r="F406" s="7"/>
      <c r="G406" s="7"/>
      <c r="H406" s="8"/>
      <c r="I406" s="12" t="str">
        <f>IFERROR(IF(COUNTA(A406:H406)=0,"",IF(OR(A406="",B406="",C406="",D406="",E406="",F406=""),"FALTA CAMPO",IF(COUNTIFS($A$6:$A$1005,A406,$B$6:$B$1005,B406)&gt;1,"DUPLICADO FECHA-SKU",IF(COUNTIF(CATALOGO!$A$6:$A$105,B406)&lt;&gt;1,"SKU NO VALIDO",IF(OR(A406&lt;DATE(1900,1,1),A406&gt;DATE(2100,12,31),A406&gt;CONFIG!$B$5,C406&lt;0,C406&gt;1000000,D406&lt;0,D406&gt;1000000,E406&lt;0,E406&gt;1000000,E406&gt;D406,ABS(F406)&gt;1000000000,ABS(G406)&gt;1000000000,ROUND(F406,2)&lt;&gt;F406,AND(G406&lt;&gt;"",ROUND(G406,2)&lt;&gt;G406)),"REVISAR VALOR","OK"))))),"REVISAR VALOR")</f>
        <v/>
      </c>
    </row>
    <row r="407" spans="1:9" x14ac:dyDescent="0.45">
      <c r="A407" s="4"/>
      <c r="B407" s="8"/>
      <c r="C407" s="5"/>
      <c r="D407" s="5"/>
      <c r="E407" s="5"/>
      <c r="F407" s="7"/>
      <c r="G407" s="7"/>
      <c r="H407" s="8"/>
      <c r="I407" s="12" t="str">
        <f>IFERROR(IF(COUNTA(A407:H407)=0,"",IF(OR(A407="",B407="",C407="",D407="",E407="",F407=""),"FALTA CAMPO",IF(COUNTIFS($A$6:$A$1005,A407,$B$6:$B$1005,B407)&gt;1,"DUPLICADO FECHA-SKU",IF(COUNTIF(CATALOGO!$A$6:$A$105,B407)&lt;&gt;1,"SKU NO VALIDO",IF(OR(A407&lt;DATE(1900,1,1),A407&gt;DATE(2100,12,31),A407&gt;CONFIG!$B$5,C407&lt;0,C407&gt;1000000,D407&lt;0,D407&gt;1000000,E407&lt;0,E407&gt;1000000,E407&gt;D407,ABS(F407)&gt;1000000000,ABS(G407)&gt;1000000000,ROUND(F407,2)&lt;&gt;F407,AND(G407&lt;&gt;"",ROUND(G407,2)&lt;&gt;G407)),"REVISAR VALOR","OK"))))),"REVISAR VALOR")</f>
        <v/>
      </c>
    </row>
    <row r="408" spans="1:9" x14ac:dyDescent="0.45">
      <c r="A408" s="4"/>
      <c r="B408" s="8"/>
      <c r="C408" s="5"/>
      <c r="D408" s="5"/>
      <c r="E408" s="5"/>
      <c r="F408" s="7"/>
      <c r="G408" s="7"/>
      <c r="H408" s="8"/>
      <c r="I408" s="12" t="str">
        <f>IFERROR(IF(COUNTA(A408:H408)=0,"",IF(OR(A408="",B408="",C408="",D408="",E408="",F408=""),"FALTA CAMPO",IF(COUNTIFS($A$6:$A$1005,A408,$B$6:$B$1005,B408)&gt;1,"DUPLICADO FECHA-SKU",IF(COUNTIF(CATALOGO!$A$6:$A$105,B408)&lt;&gt;1,"SKU NO VALIDO",IF(OR(A408&lt;DATE(1900,1,1),A408&gt;DATE(2100,12,31),A408&gt;CONFIG!$B$5,C408&lt;0,C408&gt;1000000,D408&lt;0,D408&gt;1000000,E408&lt;0,E408&gt;1000000,E408&gt;D408,ABS(F408)&gt;1000000000,ABS(G408)&gt;1000000000,ROUND(F408,2)&lt;&gt;F408,AND(G408&lt;&gt;"",ROUND(G408,2)&lt;&gt;G408)),"REVISAR VALOR","OK"))))),"REVISAR VALOR")</f>
        <v/>
      </c>
    </row>
    <row r="409" spans="1:9" x14ac:dyDescent="0.45">
      <c r="A409" s="4"/>
      <c r="B409" s="8"/>
      <c r="C409" s="5"/>
      <c r="D409" s="5"/>
      <c r="E409" s="5"/>
      <c r="F409" s="7"/>
      <c r="G409" s="7"/>
      <c r="H409" s="8"/>
      <c r="I409" s="12" t="str">
        <f>IFERROR(IF(COUNTA(A409:H409)=0,"",IF(OR(A409="",B409="",C409="",D409="",E409="",F409=""),"FALTA CAMPO",IF(COUNTIFS($A$6:$A$1005,A409,$B$6:$B$1005,B409)&gt;1,"DUPLICADO FECHA-SKU",IF(COUNTIF(CATALOGO!$A$6:$A$105,B409)&lt;&gt;1,"SKU NO VALIDO",IF(OR(A409&lt;DATE(1900,1,1),A409&gt;DATE(2100,12,31),A409&gt;CONFIG!$B$5,C409&lt;0,C409&gt;1000000,D409&lt;0,D409&gt;1000000,E409&lt;0,E409&gt;1000000,E409&gt;D409,ABS(F409)&gt;1000000000,ABS(G409)&gt;1000000000,ROUND(F409,2)&lt;&gt;F409,AND(G409&lt;&gt;"",ROUND(G409,2)&lt;&gt;G409)),"REVISAR VALOR","OK"))))),"REVISAR VALOR")</f>
        <v/>
      </c>
    </row>
    <row r="410" spans="1:9" x14ac:dyDescent="0.45">
      <c r="A410" s="4"/>
      <c r="B410" s="8"/>
      <c r="C410" s="5"/>
      <c r="D410" s="5"/>
      <c r="E410" s="5"/>
      <c r="F410" s="7"/>
      <c r="G410" s="7"/>
      <c r="H410" s="8"/>
      <c r="I410" s="12" t="str">
        <f>IFERROR(IF(COUNTA(A410:H410)=0,"",IF(OR(A410="",B410="",C410="",D410="",E410="",F410=""),"FALTA CAMPO",IF(COUNTIFS($A$6:$A$1005,A410,$B$6:$B$1005,B410)&gt;1,"DUPLICADO FECHA-SKU",IF(COUNTIF(CATALOGO!$A$6:$A$105,B410)&lt;&gt;1,"SKU NO VALIDO",IF(OR(A410&lt;DATE(1900,1,1),A410&gt;DATE(2100,12,31),A410&gt;CONFIG!$B$5,C410&lt;0,C410&gt;1000000,D410&lt;0,D410&gt;1000000,E410&lt;0,E410&gt;1000000,E410&gt;D410,ABS(F410)&gt;1000000000,ABS(G410)&gt;1000000000,ROUND(F410,2)&lt;&gt;F410,AND(G410&lt;&gt;"",ROUND(G410,2)&lt;&gt;G410)),"REVISAR VALOR","OK"))))),"REVISAR VALOR")</f>
        <v/>
      </c>
    </row>
    <row r="411" spans="1:9" x14ac:dyDescent="0.45">
      <c r="A411" s="4"/>
      <c r="B411" s="8"/>
      <c r="C411" s="5"/>
      <c r="D411" s="5"/>
      <c r="E411" s="5"/>
      <c r="F411" s="7"/>
      <c r="G411" s="7"/>
      <c r="H411" s="8"/>
      <c r="I411" s="12" t="str">
        <f>IFERROR(IF(COUNTA(A411:H411)=0,"",IF(OR(A411="",B411="",C411="",D411="",E411="",F411=""),"FALTA CAMPO",IF(COUNTIFS($A$6:$A$1005,A411,$B$6:$B$1005,B411)&gt;1,"DUPLICADO FECHA-SKU",IF(COUNTIF(CATALOGO!$A$6:$A$105,B411)&lt;&gt;1,"SKU NO VALIDO",IF(OR(A411&lt;DATE(1900,1,1),A411&gt;DATE(2100,12,31),A411&gt;CONFIG!$B$5,C411&lt;0,C411&gt;1000000,D411&lt;0,D411&gt;1000000,E411&lt;0,E411&gt;1000000,E411&gt;D411,ABS(F411)&gt;1000000000,ABS(G411)&gt;1000000000,ROUND(F411,2)&lt;&gt;F411,AND(G411&lt;&gt;"",ROUND(G411,2)&lt;&gt;G411)),"REVISAR VALOR","OK"))))),"REVISAR VALOR")</f>
        <v/>
      </c>
    </row>
    <row r="412" spans="1:9" x14ac:dyDescent="0.45">
      <c r="A412" s="4"/>
      <c r="B412" s="8"/>
      <c r="C412" s="5"/>
      <c r="D412" s="5"/>
      <c r="E412" s="5"/>
      <c r="F412" s="7"/>
      <c r="G412" s="7"/>
      <c r="H412" s="8"/>
      <c r="I412" s="12" t="str">
        <f>IFERROR(IF(COUNTA(A412:H412)=0,"",IF(OR(A412="",B412="",C412="",D412="",E412="",F412=""),"FALTA CAMPO",IF(COUNTIFS($A$6:$A$1005,A412,$B$6:$B$1005,B412)&gt;1,"DUPLICADO FECHA-SKU",IF(COUNTIF(CATALOGO!$A$6:$A$105,B412)&lt;&gt;1,"SKU NO VALIDO",IF(OR(A412&lt;DATE(1900,1,1),A412&gt;DATE(2100,12,31),A412&gt;CONFIG!$B$5,C412&lt;0,C412&gt;1000000,D412&lt;0,D412&gt;1000000,E412&lt;0,E412&gt;1000000,E412&gt;D412,ABS(F412)&gt;1000000000,ABS(G412)&gt;1000000000,ROUND(F412,2)&lt;&gt;F412,AND(G412&lt;&gt;"",ROUND(G412,2)&lt;&gt;G412)),"REVISAR VALOR","OK"))))),"REVISAR VALOR")</f>
        <v/>
      </c>
    </row>
    <row r="413" spans="1:9" x14ac:dyDescent="0.45">
      <c r="A413" s="4"/>
      <c r="B413" s="8"/>
      <c r="C413" s="5"/>
      <c r="D413" s="5"/>
      <c r="E413" s="5"/>
      <c r="F413" s="7"/>
      <c r="G413" s="7"/>
      <c r="H413" s="8"/>
      <c r="I413" s="12" t="str">
        <f>IFERROR(IF(COUNTA(A413:H413)=0,"",IF(OR(A413="",B413="",C413="",D413="",E413="",F413=""),"FALTA CAMPO",IF(COUNTIFS($A$6:$A$1005,A413,$B$6:$B$1005,B413)&gt;1,"DUPLICADO FECHA-SKU",IF(COUNTIF(CATALOGO!$A$6:$A$105,B413)&lt;&gt;1,"SKU NO VALIDO",IF(OR(A413&lt;DATE(1900,1,1),A413&gt;DATE(2100,12,31),A413&gt;CONFIG!$B$5,C413&lt;0,C413&gt;1000000,D413&lt;0,D413&gt;1000000,E413&lt;0,E413&gt;1000000,E413&gt;D413,ABS(F413)&gt;1000000000,ABS(G413)&gt;1000000000,ROUND(F413,2)&lt;&gt;F413,AND(G413&lt;&gt;"",ROUND(G413,2)&lt;&gt;G413)),"REVISAR VALOR","OK"))))),"REVISAR VALOR")</f>
        <v/>
      </c>
    </row>
    <row r="414" spans="1:9" x14ac:dyDescent="0.45">
      <c r="A414" s="4"/>
      <c r="B414" s="8"/>
      <c r="C414" s="5"/>
      <c r="D414" s="5"/>
      <c r="E414" s="5"/>
      <c r="F414" s="7"/>
      <c r="G414" s="7"/>
      <c r="H414" s="8"/>
      <c r="I414" s="12" t="str">
        <f>IFERROR(IF(COUNTA(A414:H414)=0,"",IF(OR(A414="",B414="",C414="",D414="",E414="",F414=""),"FALTA CAMPO",IF(COUNTIFS($A$6:$A$1005,A414,$B$6:$B$1005,B414)&gt;1,"DUPLICADO FECHA-SKU",IF(COUNTIF(CATALOGO!$A$6:$A$105,B414)&lt;&gt;1,"SKU NO VALIDO",IF(OR(A414&lt;DATE(1900,1,1),A414&gt;DATE(2100,12,31),A414&gt;CONFIG!$B$5,C414&lt;0,C414&gt;1000000,D414&lt;0,D414&gt;1000000,E414&lt;0,E414&gt;1000000,E414&gt;D414,ABS(F414)&gt;1000000000,ABS(G414)&gt;1000000000,ROUND(F414,2)&lt;&gt;F414,AND(G414&lt;&gt;"",ROUND(G414,2)&lt;&gt;G414)),"REVISAR VALOR","OK"))))),"REVISAR VALOR")</f>
        <v/>
      </c>
    </row>
    <row r="415" spans="1:9" x14ac:dyDescent="0.45">
      <c r="A415" s="4"/>
      <c r="B415" s="8"/>
      <c r="C415" s="5"/>
      <c r="D415" s="5"/>
      <c r="E415" s="5"/>
      <c r="F415" s="7"/>
      <c r="G415" s="7"/>
      <c r="H415" s="8"/>
      <c r="I415" s="12" t="str">
        <f>IFERROR(IF(COUNTA(A415:H415)=0,"",IF(OR(A415="",B415="",C415="",D415="",E415="",F415=""),"FALTA CAMPO",IF(COUNTIFS($A$6:$A$1005,A415,$B$6:$B$1005,B415)&gt;1,"DUPLICADO FECHA-SKU",IF(COUNTIF(CATALOGO!$A$6:$A$105,B415)&lt;&gt;1,"SKU NO VALIDO",IF(OR(A415&lt;DATE(1900,1,1),A415&gt;DATE(2100,12,31),A415&gt;CONFIG!$B$5,C415&lt;0,C415&gt;1000000,D415&lt;0,D415&gt;1000000,E415&lt;0,E415&gt;1000000,E415&gt;D415,ABS(F415)&gt;1000000000,ABS(G415)&gt;1000000000,ROUND(F415,2)&lt;&gt;F415,AND(G415&lt;&gt;"",ROUND(G415,2)&lt;&gt;G415)),"REVISAR VALOR","OK"))))),"REVISAR VALOR")</f>
        <v/>
      </c>
    </row>
    <row r="416" spans="1:9" x14ac:dyDescent="0.45">
      <c r="A416" s="4"/>
      <c r="B416" s="8"/>
      <c r="C416" s="5"/>
      <c r="D416" s="5"/>
      <c r="E416" s="5"/>
      <c r="F416" s="7"/>
      <c r="G416" s="7"/>
      <c r="H416" s="8"/>
      <c r="I416" s="12" t="str">
        <f>IFERROR(IF(COUNTA(A416:H416)=0,"",IF(OR(A416="",B416="",C416="",D416="",E416="",F416=""),"FALTA CAMPO",IF(COUNTIFS($A$6:$A$1005,A416,$B$6:$B$1005,B416)&gt;1,"DUPLICADO FECHA-SKU",IF(COUNTIF(CATALOGO!$A$6:$A$105,B416)&lt;&gt;1,"SKU NO VALIDO",IF(OR(A416&lt;DATE(1900,1,1),A416&gt;DATE(2100,12,31),A416&gt;CONFIG!$B$5,C416&lt;0,C416&gt;1000000,D416&lt;0,D416&gt;1000000,E416&lt;0,E416&gt;1000000,E416&gt;D416,ABS(F416)&gt;1000000000,ABS(G416)&gt;1000000000,ROUND(F416,2)&lt;&gt;F416,AND(G416&lt;&gt;"",ROUND(G416,2)&lt;&gt;G416)),"REVISAR VALOR","OK"))))),"REVISAR VALOR")</f>
        <v/>
      </c>
    </row>
    <row r="417" spans="1:9" x14ac:dyDescent="0.45">
      <c r="A417" s="4"/>
      <c r="B417" s="8"/>
      <c r="C417" s="5"/>
      <c r="D417" s="5"/>
      <c r="E417" s="5"/>
      <c r="F417" s="7"/>
      <c r="G417" s="7"/>
      <c r="H417" s="8"/>
      <c r="I417" s="12" t="str">
        <f>IFERROR(IF(COUNTA(A417:H417)=0,"",IF(OR(A417="",B417="",C417="",D417="",E417="",F417=""),"FALTA CAMPO",IF(COUNTIFS($A$6:$A$1005,A417,$B$6:$B$1005,B417)&gt;1,"DUPLICADO FECHA-SKU",IF(COUNTIF(CATALOGO!$A$6:$A$105,B417)&lt;&gt;1,"SKU NO VALIDO",IF(OR(A417&lt;DATE(1900,1,1),A417&gt;DATE(2100,12,31),A417&gt;CONFIG!$B$5,C417&lt;0,C417&gt;1000000,D417&lt;0,D417&gt;1000000,E417&lt;0,E417&gt;1000000,E417&gt;D417,ABS(F417)&gt;1000000000,ABS(G417)&gt;1000000000,ROUND(F417,2)&lt;&gt;F417,AND(G417&lt;&gt;"",ROUND(G417,2)&lt;&gt;G417)),"REVISAR VALOR","OK"))))),"REVISAR VALOR")</f>
        <v/>
      </c>
    </row>
    <row r="418" spans="1:9" x14ac:dyDescent="0.45">
      <c r="A418" s="4"/>
      <c r="B418" s="8"/>
      <c r="C418" s="5"/>
      <c r="D418" s="5"/>
      <c r="E418" s="5"/>
      <c r="F418" s="7"/>
      <c r="G418" s="7"/>
      <c r="H418" s="8"/>
      <c r="I418" s="12" t="str">
        <f>IFERROR(IF(COUNTA(A418:H418)=0,"",IF(OR(A418="",B418="",C418="",D418="",E418="",F418=""),"FALTA CAMPO",IF(COUNTIFS($A$6:$A$1005,A418,$B$6:$B$1005,B418)&gt;1,"DUPLICADO FECHA-SKU",IF(COUNTIF(CATALOGO!$A$6:$A$105,B418)&lt;&gt;1,"SKU NO VALIDO",IF(OR(A418&lt;DATE(1900,1,1),A418&gt;DATE(2100,12,31),A418&gt;CONFIG!$B$5,C418&lt;0,C418&gt;1000000,D418&lt;0,D418&gt;1000000,E418&lt;0,E418&gt;1000000,E418&gt;D418,ABS(F418)&gt;1000000000,ABS(G418)&gt;1000000000,ROUND(F418,2)&lt;&gt;F418,AND(G418&lt;&gt;"",ROUND(G418,2)&lt;&gt;G418)),"REVISAR VALOR","OK"))))),"REVISAR VALOR")</f>
        <v/>
      </c>
    </row>
    <row r="419" spans="1:9" x14ac:dyDescent="0.45">
      <c r="A419" s="4"/>
      <c r="B419" s="8"/>
      <c r="C419" s="5"/>
      <c r="D419" s="5"/>
      <c r="E419" s="5"/>
      <c r="F419" s="7"/>
      <c r="G419" s="7"/>
      <c r="H419" s="8"/>
      <c r="I419" s="12" t="str">
        <f>IFERROR(IF(COUNTA(A419:H419)=0,"",IF(OR(A419="",B419="",C419="",D419="",E419="",F419=""),"FALTA CAMPO",IF(COUNTIFS($A$6:$A$1005,A419,$B$6:$B$1005,B419)&gt;1,"DUPLICADO FECHA-SKU",IF(COUNTIF(CATALOGO!$A$6:$A$105,B419)&lt;&gt;1,"SKU NO VALIDO",IF(OR(A419&lt;DATE(1900,1,1),A419&gt;DATE(2100,12,31),A419&gt;CONFIG!$B$5,C419&lt;0,C419&gt;1000000,D419&lt;0,D419&gt;1000000,E419&lt;0,E419&gt;1000000,E419&gt;D419,ABS(F419)&gt;1000000000,ABS(G419)&gt;1000000000,ROUND(F419,2)&lt;&gt;F419,AND(G419&lt;&gt;"",ROUND(G419,2)&lt;&gt;G419)),"REVISAR VALOR","OK"))))),"REVISAR VALOR")</f>
        <v/>
      </c>
    </row>
    <row r="420" spans="1:9" x14ac:dyDescent="0.45">
      <c r="A420" s="4"/>
      <c r="B420" s="8"/>
      <c r="C420" s="5"/>
      <c r="D420" s="5"/>
      <c r="E420" s="5"/>
      <c r="F420" s="7"/>
      <c r="G420" s="7"/>
      <c r="H420" s="8"/>
      <c r="I420" s="12" t="str">
        <f>IFERROR(IF(COUNTA(A420:H420)=0,"",IF(OR(A420="",B420="",C420="",D420="",E420="",F420=""),"FALTA CAMPO",IF(COUNTIFS($A$6:$A$1005,A420,$B$6:$B$1005,B420)&gt;1,"DUPLICADO FECHA-SKU",IF(COUNTIF(CATALOGO!$A$6:$A$105,B420)&lt;&gt;1,"SKU NO VALIDO",IF(OR(A420&lt;DATE(1900,1,1),A420&gt;DATE(2100,12,31),A420&gt;CONFIG!$B$5,C420&lt;0,C420&gt;1000000,D420&lt;0,D420&gt;1000000,E420&lt;0,E420&gt;1000000,E420&gt;D420,ABS(F420)&gt;1000000000,ABS(G420)&gt;1000000000,ROUND(F420,2)&lt;&gt;F420,AND(G420&lt;&gt;"",ROUND(G420,2)&lt;&gt;G420)),"REVISAR VALOR","OK"))))),"REVISAR VALOR")</f>
        <v/>
      </c>
    </row>
    <row r="421" spans="1:9" x14ac:dyDescent="0.45">
      <c r="A421" s="4"/>
      <c r="B421" s="8"/>
      <c r="C421" s="5"/>
      <c r="D421" s="5"/>
      <c r="E421" s="5"/>
      <c r="F421" s="7"/>
      <c r="G421" s="7"/>
      <c r="H421" s="8"/>
      <c r="I421" s="12" t="str">
        <f>IFERROR(IF(COUNTA(A421:H421)=0,"",IF(OR(A421="",B421="",C421="",D421="",E421="",F421=""),"FALTA CAMPO",IF(COUNTIFS($A$6:$A$1005,A421,$B$6:$B$1005,B421)&gt;1,"DUPLICADO FECHA-SKU",IF(COUNTIF(CATALOGO!$A$6:$A$105,B421)&lt;&gt;1,"SKU NO VALIDO",IF(OR(A421&lt;DATE(1900,1,1),A421&gt;DATE(2100,12,31),A421&gt;CONFIG!$B$5,C421&lt;0,C421&gt;1000000,D421&lt;0,D421&gt;1000000,E421&lt;0,E421&gt;1000000,E421&gt;D421,ABS(F421)&gt;1000000000,ABS(G421)&gt;1000000000,ROUND(F421,2)&lt;&gt;F421,AND(G421&lt;&gt;"",ROUND(G421,2)&lt;&gt;G421)),"REVISAR VALOR","OK"))))),"REVISAR VALOR")</f>
        <v/>
      </c>
    </row>
    <row r="422" spans="1:9" x14ac:dyDescent="0.45">
      <c r="A422" s="4"/>
      <c r="B422" s="8"/>
      <c r="C422" s="5"/>
      <c r="D422" s="5"/>
      <c r="E422" s="5"/>
      <c r="F422" s="7"/>
      <c r="G422" s="7"/>
      <c r="H422" s="8"/>
      <c r="I422" s="12" t="str">
        <f>IFERROR(IF(COUNTA(A422:H422)=0,"",IF(OR(A422="",B422="",C422="",D422="",E422="",F422=""),"FALTA CAMPO",IF(COUNTIFS($A$6:$A$1005,A422,$B$6:$B$1005,B422)&gt;1,"DUPLICADO FECHA-SKU",IF(COUNTIF(CATALOGO!$A$6:$A$105,B422)&lt;&gt;1,"SKU NO VALIDO",IF(OR(A422&lt;DATE(1900,1,1),A422&gt;DATE(2100,12,31),A422&gt;CONFIG!$B$5,C422&lt;0,C422&gt;1000000,D422&lt;0,D422&gt;1000000,E422&lt;0,E422&gt;1000000,E422&gt;D422,ABS(F422)&gt;1000000000,ABS(G422)&gt;1000000000,ROUND(F422,2)&lt;&gt;F422,AND(G422&lt;&gt;"",ROUND(G422,2)&lt;&gt;G422)),"REVISAR VALOR","OK"))))),"REVISAR VALOR")</f>
        <v/>
      </c>
    </row>
    <row r="423" spans="1:9" x14ac:dyDescent="0.45">
      <c r="A423" s="4"/>
      <c r="B423" s="8"/>
      <c r="C423" s="5"/>
      <c r="D423" s="5"/>
      <c r="E423" s="5"/>
      <c r="F423" s="7"/>
      <c r="G423" s="7"/>
      <c r="H423" s="8"/>
      <c r="I423" s="12" t="str">
        <f>IFERROR(IF(COUNTA(A423:H423)=0,"",IF(OR(A423="",B423="",C423="",D423="",E423="",F423=""),"FALTA CAMPO",IF(COUNTIFS($A$6:$A$1005,A423,$B$6:$B$1005,B423)&gt;1,"DUPLICADO FECHA-SKU",IF(COUNTIF(CATALOGO!$A$6:$A$105,B423)&lt;&gt;1,"SKU NO VALIDO",IF(OR(A423&lt;DATE(1900,1,1),A423&gt;DATE(2100,12,31),A423&gt;CONFIG!$B$5,C423&lt;0,C423&gt;1000000,D423&lt;0,D423&gt;1000000,E423&lt;0,E423&gt;1000000,E423&gt;D423,ABS(F423)&gt;1000000000,ABS(G423)&gt;1000000000,ROUND(F423,2)&lt;&gt;F423,AND(G423&lt;&gt;"",ROUND(G423,2)&lt;&gt;G423)),"REVISAR VALOR","OK"))))),"REVISAR VALOR")</f>
        <v/>
      </c>
    </row>
    <row r="424" spans="1:9" x14ac:dyDescent="0.45">
      <c r="A424" s="4"/>
      <c r="B424" s="8"/>
      <c r="C424" s="5"/>
      <c r="D424" s="5"/>
      <c r="E424" s="5"/>
      <c r="F424" s="7"/>
      <c r="G424" s="7"/>
      <c r="H424" s="8"/>
      <c r="I424" s="12" t="str">
        <f>IFERROR(IF(COUNTA(A424:H424)=0,"",IF(OR(A424="",B424="",C424="",D424="",E424="",F424=""),"FALTA CAMPO",IF(COUNTIFS($A$6:$A$1005,A424,$B$6:$B$1005,B424)&gt;1,"DUPLICADO FECHA-SKU",IF(COUNTIF(CATALOGO!$A$6:$A$105,B424)&lt;&gt;1,"SKU NO VALIDO",IF(OR(A424&lt;DATE(1900,1,1),A424&gt;DATE(2100,12,31),A424&gt;CONFIG!$B$5,C424&lt;0,C424&gt;1000000,D424&lt;0,D424&gt;1000000,E424&lt;0,E424&gt;1000000,E424&gt;D424,ABS(F424)&gt;1000000000,ABS(G424)&gt;1000000000,ROUND(F424,2)&lt;&gt;F424,AND(G424&lt;&gt;"",ROUND(G424,2)&lt;&gt;G424)),"REVISAR VALOR","OK"))))),"REVISAR VALOR")</f>
        <v/>
      </c>
    </row>
    <row r="425" spans="1:9" x14ac:dyDescent="0.45">
      <c r="A425" s="4"/>
      <c r="B425" s="8"/>
      <c r="C425" s="5"/>
      <c r="D425" s="5"/>
      <c r="E425" s="5"/>
      <c r="F425" s="7"/>
      <c r="G425" s="7"/>
      <c r="H425" s="8"/>
      <c r="I425" s="12" t="str">
        <f>IFERROR(IF(COUNTA(A425:H425)=0,"",IF(OR(A425="",B425="",C425="",D425="",E425="",F425=""),"FALTA CAMPO",IF(COUNTIFS($A$6:$A$1005,A425,$B$6:$B$1005,B425)&gt;1,"DUPLICADO FECHA-SKU",IF(COUNTIF(CATALOGO!$A$6:$A$105,B425)&lt;&gt;1,"SKU NO VALIDO",IF(OR(A425&lt;DATE(1900,1,1),A425&gt;DATE(2100,12,31),A425&gt;CONFIG!$B$5,C425&lt;0,C425&gt;1000000,D425&lt;0,D425&gt;1000000,E425&lt;0,E425&gt;1000000,E425&gt;D425,ABS(F425)&gt;1000000000,ABS(G425)&gt;1000000000,ROUND(F425,2)&lt;&gt;F425,AND(G425&lt;&gt;"",ROUND(G425,2)&lt;&gt;G425)),"REVISAR VALOR","OK"))))),"REVISAR VALOR")</f>
        <v/>
      </c>
    </row>
    <row r="426" spans="1:9" x14ac:dyDescent="0.45">
      <c r="A426" s="4"/>
      <c r="B426" s="8"/>
      <c r="C426" s="5"/>
      <c r="D426" s="5"/>
      <c r="E426" s="5"/>
      <c r="F426" s="7"/>
      <c r="G426" s="7"/>
      <c r="H426" s="8"/>
      <c r="I426" s="12" t="str">
        <f>IFERROR(IF(COUNTA(A426:H426)=0,"",IF(OR(A426="",B426="",C426="",D426="",E426="",F426=""),"FALTA CAMPO",IF(COUNTIFS($A$6:$A$1005,A426,$B$6:$B$1005,B426)&gt;1,"DUPLICADO FECHA-SKU",IF(COUNTIF(CATALOGO!$A$6:$A$105,B426)&lt;&gt;1,"SKU NO VALIDO",IF(OR(A426&lt;DATE(1900,1,1),A426&gt;DATE(2100,12,31),A426&gt;CONFIG!$B$5,C426&lt;0,C426&gt;1000000,D426&lt;0,D426&gt;1000000,E426&lt;0,E426&gt;1000000,E426&gt;D426,ABS(F426)&gt;1000000000,ABS(G426)&gt;1000000000,ROUND(F426,2)&lt;&gt;F426,AND(G426&lt;&gt;"",ROUND(G426,2)&lt;&gt;G426)),"REVISAR VALOR","OK"))))),"REVISAR VALOR")</f>
        <v/>
      </c>
    </row>
    <row r="427" spans="1:9" x14ac:dyDescent="0.45">
      <c r="A427" s="4"/>
      <c r="B427" s="8"/>
      <c r="C427" s="5"/>
      <c r="D427" s="5"/>
      <c r="E427" s="5"/>
      <c r="F427" s="7"/>
      <c r="G427" s="7"/>
      <c r="H427" s="8"/>
      <c r="I427" s="12" t="str">
        <f>IFERROR(IF(COUNTA(A427:H427)=0,"",IF(OR(A427="",B427="",C427="",D427="",E427="",F427=""),"FALTA CAMPO",IF(COUNTIFS($A$6:$A$1005,A427,$B$6:$B$1005,B427)&gt;1,"DUPLICADO FECHA-SKU",IF(COUNTIF(CATALOGO!$A$6:$A$105,B427)&lt;&gt;1,"SKU NO VALIDO",IF(OR(A427&lt;DATE(1900,1,1),A427&gt;DATE(2100,12,31),A427&gt;CONFIG!$B$5,C427&lt;0,C427&gt;1000000,D427&lt;0,D427&gt;1000000,E427&lt;0,E427&gt;1000000,E427&gt;D427,ABS(F427)&gt;1000000000,ABS(G427)&gt;1000000000,ROUND(F427,2)&lt;&gt;F427,AND(G427&lt;&gt;"",ROUND(G427,2)&lt;&gt;G427)),"REVISAR VALOR","OK"))))),"REVISAR VALOR")</f>
        <v/>
      </c>
    </row>
    <row r="428" spans="1:9" x14ac:dyDescent="0.45">
      <c r="A428" s="4"/>
      <c r="B428" s="8"/>
      <c r="C428" s="5"/>
      <c r="D428" s="5"/>
      <c r="E428" s="5"/>
      <c r="F428" s="7"/>
      <c r="G428" s="7"/>
      <c r="H428" s="8"/>
      <c r="I428" s="12" t="str">
        <f>IFERROR(IF(COUNTA(A428:H428)=0,"",IF(OR(A428="",B428="",C428="",D428="",E428="",F428=""),"FALTA CAMPO",IF(COUNTIFS($A$6:$A$1005,A428,$B$6:$B$1005,B428)&gt;1,"DUPLICADO FECHA-SKU",IF(COUNTIF(CATALOGO!$A$6:$A$105,B428)&lt;&gt;1,"SKU NO VALIDO",IF(OR(A428&lt;DATE(1900,1,1),A428&gt;DATE(2100,12,31),A428&gt;CONFIG!$B$5,C428&lt;0,C428&gt;1000000,D428&lt;0,D428&gt;1000000,E428&lt;0,E428&gt;1000000,E428&gt;D428,ABS(F428)&gt;1000000000,ABS(G428)&gt;1000000000,ROUND(F428,2)&lt;&gt;F428,AND(G428&lt;&gt;"",ROUND(G428,2)&lt;&gt;G428)),"REVISAR VALOR","OK"))))),"REVISAR VALOR")</f>
        <v/>
      </c>
    </row>
    <row r="429" spans="1:9" x14ac:dyDescent="0.45">
      <c r="A429" s="4"/>
      <c r="B429" s="8"/>
      <c r="C429" s="5"/>
      <c r="D429" s="5"/>
      <c r="E429" s="5"/>
      <c r="F429" s="7"/>
      <c r="G429" s="7"/>
      <c r="H429" s="8"/>
      <c r="I429" s="12" t="str">
        <f>IFERROR(IF(COUNTA(A429:H429)=0,"",IF(OR(A429="",B429="",C429="",D429="",E429="",F429=""),"FALTA CAMPO",IF(COUNTIFS($A$6:$A$1005,A429,$B$6:$B$1005,B429)&gt;1,"DUPLICADO FECHA-SKU",IF(COUNTIF(CATALOGO!$A$6:$A$105,B429)&lt;&gt;1,"SKU NO VALIDO",IF(OR(A429&lt;DATE(1900,1,1),A429&gt;DATE(2100,12,31),A429&gt;CONFIG!$B$5,C429&lt;0,C429&gt;1000000,D429&lt;0,D429&gt;1000000,E429&lt;0,E429&gt;1000000,E429&gt;D429,ABS(F429)&gt;1000000000,ABS(G429)&gt;1000000000,ROUND(F429,2)&lt;&gt;F429,AND(G429&lt;&gt;"",ROUND(G429,2)&lt;&gt;G429)),"REVISAR VALOR","OK"))))),"REVISAR VALOR")</f>
        <v/>
      </c>
    </row>
    <row r="430" spans="1:9" x14ac:dyDescent="0.45">
      <c r="A430" s="4"/>
      <c r="B430" s="8"/>
      <c r="C430" s="5"/>
      <c r="D430" s="5"/>
      <c r="E430" s="5"/>
      <c r="F430" s="7"/>
      <c r="G430" s="7"/>
      <c r="H430" s="8"/>
      <c r="I430" s="12" t="str">
        <f>IFERROR(IF(COUNTA(A430:H430)=0,"",IF(OR(A430="",B430="",C430="",D430="",E430="",F430=""),"FALTA CAMPO",IF(COUNTIFS($A$6:$A$1005,A430,$B$6:$B$1005,B430)&gt;1,"DUPLICADO FECHA-SKU",IF(COUNTIF(CATALOGO!$A$6:$A$105,B430)&lt;&gt;1,"SKU NO VALIDO",IF(OR(A430&lt;DATE(1900,1,1),A430&gt;DATE(2100,12,31),A430&gt;CONFIG!$B$5,C430&lt;0,C430&gt;1000000,D430&lt;0,D430&gt;1000000,E430&lt;0,E430&gt;1000000,E430&gt;D430,ABS(F430)&gt;1000000000,ABS(G430)&gt;1000000000,ROUND(F430,2)&lt;&gt;F430,AND(G430&lt;&gt;"",ROUND(G430,2)&lt;&gt;G430)),"REVISAR VALOR","OK"))))),"REVISAR VALOR")</f>
        <v/>
      </c>
    </row>
    <row r="431" spans="1:9" x14ac:dyDescent="0.45">
      <c r="A431" s="4"/>
      <c r="B431" s="8"/>
      <c r="C431" s="5"/>
      <c r="D431" s="5"/>
      <c r="E431" s="5"/>
      <c r="F431" s="7"/>
      <c r="G431" s="7"/>
      <c r="H431" s="8"/>
      <c r="I431" s="12" t="str">
        <f>IFERROR(IF(COUNTA(A431:H431)=0,"",IF(OR(A431="",B431="",C431="",D431="",E431="",F431=""),"FALTA CAMPO",IF(COUNTIFS($A$6:$A$1005,A431,$B$6:$B$1005,B431)&gt;1,"DUPLICADO FECHA-SKU",IF(COUNTIF(CATALOGO!$A$6:$A$105,B431)&lt;&gt;1,"SKU NO VALIDO",IF(OR(A431&lt;DATE(1900,1,1),A431&gt;DATE(2100,12,31),A431&gt;CONFIG!$B$5,C431&lt;0,C431&gt;1000000,D431&lt;0,D431&gt;1000000,E431&lt;0,E431&gt;1000000,E431&gt;D431,ABS(F431)&gt;1000000000,ABS(G431)&gt;1000000000,ROUND(F431,2)&lt;&gt;F431,AND(G431&lt;&gt;"",ROUND(G431,2)&lt;&gt;G431)),"REVISAR VALOR","OK"))))),"REVISAR VALOR")</f>
        <v/>
      </c>
    </row>
    <row r="432" spans="1:9" x14ac:dyDescent="0.45">
      <c r="A432" s="4"/>
      <c r="B432" s="8"/>
      <c r="C432" s="5"/>
      <c r="D432" s="5"/>
      <c r="E432" s="5"/>
      <c r="F432" s="7"/>
      <c r="G432" s="7"/>
      <c r="H432" s="8"/>
      <c r="I432" s="12" t="str">
        <f>IFERROR(IF(COUNTA(A432:H432)=0,"",IF(OR(A432="",B432="",C432="",D432="",E432="",F432=""),"FALTA CAMPO",IF(COUNTIFS($A$6:$A$1005,A432,$B$6:$B$1005,B432)&gt;1,"DUPLICADO FECHA-SKU",IF(COUNTIF(CATALOGO!$A$6:$A$105,B432)&lt;&gt;1,"SKU NO VALIDO",IF(OR(A432&lt;DATE(1900,1,1),A432&gt;DATE(2100,12,31),A432&gt;CONFIG!$B$5,C432&lt;0,C432&gt;1000000,D432&lt;0,D432&gt;1000000,E432&lt;0,E432&gt;1000000,E432&gt;D432,ABS(F432)&gt;1000000000,ABS(G432)&gt;1000000000,ROUND(F432,2)&lt;&gt;F432,AND(G432&lt;&gt;"",ROUND(G432,2)&lt;&gt;G432)),"REVISAR VALOR","OK"))))),"REVISAR VALOR")</f>
        <v/>
      </c>
    </row>
    <row r="433" spans="1:9" x14ac:dyDescent="0.45">
      <c r="A433" s="4"/>
      <c r="B433" s="8"/>
      <c r="C433" s="5"/>
      <c r="D433" s="5"/>
      <c r="E433" s="5"/>
      <c r="F433" s="7"/>
      <c r="G433" s="7"/>
      <c r="H433" s="8"/>
      <c r="I433" s="12" t="str">
        <f>IFERROR(IF(COUNTA(A433:H433)=0,"",IF(OR(A433="",B433="",C433="",D433="",E433="",F433=""),"FALTA CAMPO",IF(COUNTIFS($A$6:$A$1005,A433,$B$6:$B$1005,B433)&gt;1,"DUPLICADO FECHA-SKU",IF(COUNTIF(CATALOGO!$A$6:$A$105,B433)&lt;&gt;1,"SKU NO VALIDO",IF(OR(A433&lt;DATE(1900,1,1),A433&gt;DATE(2100,12,31),A433&gt;CONFIG!$B$5,C433&lt;0,C433&gt;1000000,D433&lt;0,D433&gt;1000000,E433&lt;0,E433&gt;1000000,E433&gt;D433,ABS(F433)&gt;1000000000,ABS(G433)&gt;1000000000,ROUND(F433,2)&lt;&gt;F433,AND(G433&lt;&gt;"",ROUND(G433,2)&lt;&gt;G433)),"REVISAR VALOR","OK"))))),"REVISAR VALOR")</f>
        <v/>
      </c>
    </row>
    <row r="434" spans="1:9" x14ac:dyDescent="0.45">
      <c r="A434" s="4"/>
      <c r="B434" s="8"/>
      <c r="C434" s="5"/>
      <c r="D434" s="5"/>
      <c r="E434" s="5"/>
      <c r="F434" s="7"/>
      <c r="G434" s="7"/>
      <c r="H434" s="8"/>
      <c r="I434" s="12" t="str">
        <f>IFERROR(IF(COUNTA(A434:H434)=0,"",IF(OR(A434="",B434="",C434="",D434="",E434="",F434=""),"FALTA CAMPO",IF(COUNTIFS($A$6:$A$1005,A434,$B$6:$B$1005,B434)&gt;1,"DUPLICADO FECHA-SKU",IF(COUNTIF(CATALOGO!$A$6:$A$105,B434)&lt;&gt;1,"SKU NO VALIDO",IF(OR(A434&lt;DATE(1900,1,1),A434&gt;DATE(2100,12,31),A434&gt;CONFIG!$B$5,C434&lt;0,C434&gt;1000000,D434&lt;0,D434&gt;1000000,E434&lt;0,E434&gt;1000000,E434&gt;D434,ABS(F434)&gt;1000000000,ABS(G434)&gt;1000000000,ROUND(F434,2)&lt;&gt;F434,AND(G434&lt;&gt;"",ROUND(G434,2)&lt;&gt;G434)),"REVISAR VALOR","OK"))))),"REVISAR VALOR")</f>
        <v/>
      </c>
    </row>
    <row r="435" spans="1:9" x14ac:dyDescent="0.45">
      <c r="A435" s="4"/>
      <c r="B435" s="8"/>
      <c r="C435" s="5"/>
      <c r="D435" s="5"/>
      <c r="E435" s="5"/>
      <c r="F435" s="7"/>
      <c r="G435" s="7"/>
      <c r="H435" s="8"/>
      <c r="I435" s="12" t="str">
        <f>IFERROR(IF(COUNTA(A435:H435)=0,"",IF(OR(A435="",B435="",C435="",D435="",E435="",F435=""),"FALTA CAMPO",IF(COUNTIFS($A$6:$A$1005,A435,$B$6:$B$1005,B435)&gt;1,"DUPLICADO FECHA-SKU",IF(COUNTIF(CATALOGO!$A$6:$A$105,B435)&lt;&gt;1,"SKU NO VALIDO",IF(OR(A435&lt;DATE(1900,1,1),A435&gt;DATE(2100,12,31),A435&gt;CONFIG!$B$5,C435&lt;0,C435&gt;1000000,D435&lt;0,D435&gt;1000000,E435&lt;0,E435&gt;1000000,E435&gt;D435,ABS(F435)&gt;1000000000,ABS(G435)&gt;1000000000,ROUND(F435,2)&lt;&gt;F435,AND(G435&lt;&gt;"",ROUND(G435,2)&lt;&gt;G435)),"REVISAR VALOR","OK"))))),"REVISAR VALOR")</f>
        <v/>
      </c>
    </row>
    <row r="436" spans="1:9" x14ac:dyDescent="0.45">
      <c r="A436" s="4"/>
      <c r="B436" s="8"/>
      <c r="C436" s="5"/>
      <c r="D436" s="5"/>
      <c r="E436" s="5"/>
      <c r="F436" s="7"/>
      <c r="G436" s="7"/>
      <c r="H436" s="8"/>
      <c r="I436" s="12" t="str">
        <f>IFERROR(IF(COUNTA(A436:H436)=0,"",IF(OR(A436="",B436="",C436="",D436="",E436="",F436=""),"FALTA CAMPO",IF(COUNTIFS($A$6:$A$1005,A436,$B$6:$B$1005,B436)&gt;1,"DUPLICADO FECHA-SKU",IF(COUNTIF(CATALOGO!$A$6:$A$105,B436)&lt;&gt;1,"SKU NO VALIDO",IF(OR(A436&lt;DATE(1900,1,1),A436&gt;DATE(2100,12,31),A436&gt;CONFIG!$B$5,C436&lt;0,C436&gt;1000000,D436&lt;0,D436&gt;1000000,E436&lt;0,E436&gt;1000000,E436&gt;D436,ABS(F436)&gt;1000000000,ABS(G436)&gt;1000000000,ROUND(F436,2)&lt;&gt;F436,AND(G436&lt;&gt;"",ROUND(G436,2)&lt;&gt;G436)),"REVISAR VALOR","OK"))))),"REVISAR VALOR")</f>
        <v/>
      </c>
    </row>
    <row r="437" spans="1:9" x14ac:dyDescent="0.45">
      <c r="A437" s="4"/>
      <c r="B437" s="8"/>
      <c r="C437" s="5"/>
      <c r="D437" s="5"/>
      <c r="E437" s="5"/>
      <c r="F437" s="7"/>
      <c r="G437" s="7"/>
      <c r="H437" s="8"/>
      <c r="I437" s="12" t="str">
        <f>IFERROR(IF(COUNTA(A437:H437)=0,"",IF(OR(A437="",B437="",C437="",D437="",E437="",F437=""),"FALTA CAMPO",IF(COUNTIFS($A$6:$A$1005,A437,$B$6:$B$1005,B437)&gt;1,"DUPLICADO FECHA-SKU",IF(COUNTIF(CATALOGO!$A$6:$A$105,B437)&lt;&gt;1,"SKU NO VALIDO",IF(OR(A437&lt;DATE(1900,1,1),A437&gt;DATE(2100,12,31),A437&gt;CONFIG!$B$5,C437&lt;0,C437&gt;1000000,D437&lt;0,D437&gt;1000000,E437&lt;0,E437&gt;1000000,E437&gt;D437,ABS(F437)&gt;1000000000,ABS(G437)&gt;1000000000,ROUND(F437,2)&lt;&gt;F437,AND(G437&lt;&gt;"",ROUND(G437,2)&lt;&gt;G437)),"REVISAR VALOR","OK"))))),"REVISAR VALOR")</f>
        <v/>
      </c>
    </row>
    <row r="438" spans="1:9" x14ac:dyDescent="0.45">
      <c r="A438" s="4"/>
      <c r="B438" s="8"/>
      <c r="C438" s="5"/>
      <c r="D438" s="5"/>
      <c r="E438" s="5"/>
      <c r="F438" s="7"/>
      <c r="G438" s="7"/>
      <c r="H438" s="8"/>
      <c r="I438" s="12" t="str">
        <f>IFERROR(IF(COUNTA(A438:H438)=0,"",IF(OR(A438="",B438="",C438="",D438="",E438="",F438=""),"FALTA CAMPO",IF(COUNTIFS($A$6:$A$1005,A438,$B$6:$B$1005,B438)&gt;1,"DUPLICADO FECHA-SKU",IF(COUNTIF(CATALOGO!$A$6:$A$105,B438)&lt;&gt;1,"SKU NO VALIDO",IF(OR(A438&lt;DATE(1900,1,1),A438&gt;DATE(2100,12,31),A438&gt;CONFIG!$B$5,C438&lt;0,C438&gt;1000000,D438&lt;0,D438&gt;1000000,E438&lt;0,E438&gt;1000000,E438&gt;D438,ABS(F438)&gt;1000000000,ABS(G438)&gt;1000000000,ROUND(F438,2)&lt;&gt;F438,AND(G438&lt;&gt;"",ROUND(G438,2)&lt;&gt;G438)),"REVISAR VALOR","OK"))))),"REVISAR VALOR")</f>
        <v/>
      </c>
    </row>
    <row r="439" spans="1:9" x14ac:dyDescent="0.45">
      <c r="A439" s="4"/>
      <c r="B439" s="8"/>
      <c r="C439" s="5"/>
      <c r="D439" s="5"/>
      <c r="E439" s="5"/>
      <c r="F439" s="7"/>
      <c r="G439" s="7"/>
      <c r="H439" s="8"/>
      <c r="I439" s="12" t="str">
        <f>IFERROR(IF(COUNTA(A439:H439)=0,"",IF(OR(A439="",B439="",C439="",D439="",E439="",F439=""),"FALTA CAMPO",IF(COUNTIFS($A$6:$A$1005,A439,$B$6:$B$1005,B439)&gt;1,"DUPLICADO FECHA-SKU",IF(COUNTIF(CATALOGO!$A$6:$A$105,B439)&lt;&gt;1,"SKU NO VALIDO",IF(OR(A439&lt;DATE(1900,1,1),A439&gt;DATE(2100,12,31),A439&gt;CONFIG!$B$5,C439&lt;0,C439&gt;1000000,D439&lt;0,D439&gt;1000000,E439&lt;0,E439&gt;1000000,E439&gt;D439,ABS(F439)&gt;1000000000,ABS(G439)&gt;1000000000,ROUND(F439,2)&lt;&gt;F439,AND(G439&lt;&gt;"",ROUND(G439,2)&lt;&gt;G439)),"REVISAR VALOR","OK"))))),"REVISAR VALOR")</f>
        <v/>
      </c>
    </row>
    <row r="440" spans="1:9" x14ac:dyDescent="0.45">
      <c r="A440" s="4"/>
      <c r="B440" s="8"/>
      <c r="C440" s="5"/>
      <c r="D440" s="5"/>
      <c r="E440" s="5"/>
      <c r="F440" s="7"/>
      <c r="G440" s="7"/>
      <c r="H440" s="8"/>
      <c r="I440" s="12" t="str">
        <f>IFERROR(IF(COUNTA(A440:H440)=0,"",IF(OR(A440="",B440="",C440="",D440="",E440="",F440=""),"FALTA CAMPO",IF(COUNTIFS($A$6:$A$1005,A440,$B$6:$B$1005,B440)&gt;1,"DUPLICADO FECHA-SKU",IF(COUNTIF(CATALOGO!$A$6:$A$105,B440)&lt;&gt;1,"SKU NO VALIDO",IF(OR(A440&lt;DATE(1900,1,1),A440&gt;DATE(2100,12,31),A440&gt;CONFIG!$B$5,C440&lt;0,C440&gt;1000000,D440&lt;0,D440&gt;1000000,E440&lt;0,E440&gt;1000000,E440&gt;D440,ABS(F440)&gt;1000000000,ABS(G440)&gt;1000000000,ROUND(F440,2)&lt;&gt;F440,AND(G440&lt;&gt;"",ROUND(G440,2)&lt;&gt;G440)),"REVISAR VALOR","OK"))))),"REVISAR VALOR")</f>
        <v/>
      </c>
    </row>
    <row r="441" spans="1:9" x14ac:dyDescent="0.45">
      <c r="A441" s="4"/>
      <c r="B441" s="8"/>
      <c r="C441" s="5"/>
      <c r="D441" s="5"/>
      <c r="E441" s="5"/>
      <c r="F441" s="7"/>
      <c r="G441" s="7"/>
      <c r="H441" s="8"/>
      <c r="I441" s="12" t="str">
        <f>IFERROR(IF(COUNTA(A441:H441)=0,"",IF(OR(A441="",B441="",C441="",D441="",E441="",F441=""),"FALTA CAMPO",IF(COUNTIFS($A$6:$A$1005,A441,$B$6:$B$1005,B441)&gt;1,"DUPLICADO FECHA-SKU",IF(COUNTIF(CATALOGO!$A$6:$A$105,B441)&lt;&gt;1,"SKU NO VALIDO",IF(OR(A441&lt;DATE(1900,1,1),A441&gt;DATE(2100,12,31),A441&gt;CONFIG!$B$5,C441&lt;0,C441&gt;1000000,D441&lt;0,D441&gt;1000000,E441&lt;0,E441&gt;1000000,E441&gt;D441,ABS(F441)&gt;1000000000,ABS(G441)&gt;1000000000,ROUND(F441,2)&lt;&gt;F441,AND(G441&lt;&gt;"",ROUND(G441,2)&lt;&gt;G441)),"REVISAR VALOR","OK"))))),"REVISAR VALOR")</f>
        <v/>
      </c>
    </row>
    <row r="442" spans="1:9" x14ac:dyDescent="0.45">
      <c r="A442" s="4"/>
      <c r="B442" s="8"/>
      <c r="C442" s="5"/>
      <c r="D442" s="5"/>
      <c r="E442" s="5"/>
      <c r="F442" s="7"/>
      <c r="G442" s="7"/>
      <c r="H442" s="8"/>
      <c r="I442" s="12" t="str">
        <f>IFERROR(IF(COUNTA(A442:H442)=0,"",IF(OR(A442="",B442="",C442="",D442="",E442="",F442=""),"FALTA CAMPO",IF(COUNTIFS($A$6:$A$1005,A442,$B$6:$B$1005,B442)&gt;1,"DUPLICADO FECHA-SKU",IF(COUNTIF(CATALOGO!$A$6:$A$105,B442)&lt;&gt;1,"SKU NO VALIDO",IF(OR(A442&lt;DATE(1900,1,1),A442&gt;DATE(2100,12,31),A442&gt;CONFIG!$B$5,C442&lt;0,C442&gt;1000000,D442&lt;0,D442&gt;1000000,E442&lt;0,E442&gt;1000000,E442&gt;D442,ABS(F442)&gt;1000000000,ABS(G442)&gt;1000000000,ROUND(F442,2)&lt;&gt;F442,AND(G442&lt;&gt;"",ROUND(G442,2)&lt;&gt;G442)),"REVISAR VALOR","OK"))))),"REVISAR VALOR")</f>
        <v/>
      </c>
    </row>
    <row r="443" spans="1:9" x14ac:dyDescent="0.45">
      <c r="A443" s="4"/>
      <c r="B443" s="8"/>
      <c r="C443" s="5"/>
      <c r="D443" s="5"/>
      <c r="E443" s="5"/>
      <c r="F443" s="7"/>
      <c r="G443" s="7"/>
      <c r="H443" s="8"/>
      <c r="I443" s="12" t="str">
        <f>IFERROR(IF(COUNTA(A443:H443)=0,"",IF(OR(A443="",B443="",C443="",D443="",E443="",F443=""),"FALTA CAMPO",IF(COUNTIFS($A$6:$A$1005,A443,$B$6:$B$1005,B443)&gt;1,"DUPLICADO FECHA-SKU",IF(COUNTIF(CATALOGO!$A$6:$A$105,B443)&lt;&gt;1,"SKU NO VALIDO",IF(OR(A443&lt;DATE(1900,1,1),A443&gt;DATE(2100,12,31),A443&gt;CONFIG!$B$5,C443&lt;0,C443&gt;1000000,D443&lt;0,D443&gt;1000000,E443&lt;0,E443&gt;1000000,E443&gt;D443,ABS(F443)&gt;1000000000,ABS(G443)&gt;1000000000,ROUND(F443,2)&lt;&gt;F443,AND(G443&lt;&gt;"",ROUND(G443,2)&lt;&gt;G443)),"REVISAR VALOR","OK"))))),"REVISAR VALOR")</f>
        <v/>
      </c>
    </row>
    <row r="444" spans="1:9" x14ac:dyDescent="0.45">
      <c r="A444" s="4"/>
      <c r="B444" s="8"/>
      <c r="C444" s="5"/>
      <c r="D444" s="5"/>
      <c r="E444" s="5"/>
      <c r="F444" s="7"/>
      <c r="G444" s="7"/>
      <c r="H444" s="8"/>
      <c r="I444" s="12" t="str">
        <f>IFERROR(IF(COUNTA(A444:H444)=0,"",IF(OR(A444="",B444="",C444="",D444="",E444="",F444=""),"FALTA CAMPO",IF(COUNTIFS($A$6:$A$1005,A444,$B$6:$B$1005,B444)&gt;1,"DUPLICADO FECHA-SKU",IF(COUNTIF(CATALOGO!$A$6:$A$105,B444)&lt;&gt;1,"SKU NO VALIDO",IF(OR(A444&lt;DATE(1900,1,1),A444&gt;DATE(2100,12,31),A444&gt;CONFIG!$B$5,C444&lt;0,C444&gt;1000000,D444&lt;0,D444&gt;1000000,E444&lt;0,E444&gt;1000000,E444&gt;D444,ABS(F444)&gt;1000000000,ABS(G444)&gt;1000000000,ROUND(F444,2)&lt;&gt;F444,AND(G444&lt;&gt;"",ROUND(G444,2)&lt;&gt;G444)),"REVISAR VALOR","OK"))))),"REVISAR VALOR")</f>
        <v/>
      </c>
    </row>
    <row r="445" spans="1:9" x14ac:dyDescent="0.45">
      <c r="A445" s="4"/>
      <c r="B445" s="8"/>
      <c r="C445" s="5"/>
      <c r="D445" s="5"/>
      <c r="E445" s="5"/>
      <c r="F445" s="7"/>
      <c r="G445" s="7"/>
      <c r="H445" s="8"/>
      <c r="I445" s="12" t="str">
        <f>IFERROR(IF(COUNTA(A445:H445)=0,"",IF(OR(A445="",B445="",C445="",D445="",E445="",F445=""),"FALTA CAMPO",IF(COUNTIFS($A$6:$A$1005,A445,$B$6:$B$1005,B445)&gt;1,"DUPLICADO FECHA-SKU",IF(COUNTIF(CATALOGO!$A$6:$A$105,B445)&lt;&gt;1,"SKU NO VALIDO",IF(OR(A445&lt;DATE(1900,1,1),A445&gt;DATE(2100,12,31),A445&gt;CONFIG!$B$5,C445&lt;0,C445&gt;1000000,D445&lt;0,D445&gt;1000000,E445&lt;0,E445&gt;1000000,E445&gt;D445,ABS(F445)&gt;1000000000,ABS(G445)&gt;1000000000,ROUND(F445,2)&lt;&gt;F445,AND(G445&lt;&gt;"",ROUND(G445,2)&lt;&gt;G445)),"REVISAR VALOR","OK"))))),"REVISAR VALOR")</f>
        <v/>
      </c>
    </row>
    <row r="446" spans="1:9" x14ac:dyDescent="0.45">
      <c r="A446" s="4"/>
      <c r="B446" s="8"/>
      <c r="C446" s="5"/>
      <c r="D446" s="5"/>
      <c r="E446" s="5"/>
      <c r="F446" s="7"/>
      <c r="G446" s="7"/>
      <c r="H446" s="8"/>
      <c r="I446" s="12" t="str">
        <f>IFERROR(IF(COUNTA(A446:H446)=0,"",IF(OR(A446="",B446="",C446="",D446="",E446="",F446=""),"FALTA CAMPO",IF(COUNTIFS($A$6:$A$1005,A446,$B$6:$B$1005,B446)&gt;1,"DUPLICADO FECHA-SKU",IF(COUNTIF(CATALOGO!$A$6:$A$105,B446)&lt;&gt;1,"SKU NO VALIDO",IF(OR(A446&lt;DATE(1900,1,1),A446&gt;DATE(2100,12,31),A446&gt;CONFIG!$B$5,C446&lt;0,C446&gt;1000000,D446&lt;0,D446&gt;1000000,E446&lt;0,E446&gt;1000000,E446&gt;D446,ABS(F446)&gt;1000000000,ABS(G446)&gt;1000000000,ROUND(F446,2)&lt;&gt;F446,AND(G446&lt;&gt;"",ROUND(G446,2)&lt;&gt;G446)),"REVISAR VALOR","OK"))))),"REVISAR VALOR")</f>
        <v/>
      </c>
    </row>
    <row r="447" spans="1:9" x14ac:dyDescent="0.45">
      <c r="A447" s="4"/>
      <c r="B447" s="8"/>
      <c r="C447" s="5"/>
      <c r="D447" s="5"/>
      <c r="E447" s="5"/>
      <c r="F447" s="7"/>
      <c r="G447" s="7"/>
      <c r="H447" s="8"/>
      <c r="I447" s="12" t="str">
        <f>IFERROR(IF(COUNTA(A447:H447)=0,"",IF(OR(A447="",B447="",C447="",D447="",E447="",F447=""),"FALTA CAMPO",IF(COUNTIFS($A$6:$A$1005,A447,$B$6:$B$1005,B447)&gt;1,"DUPLICADO FECHA-SKU",IF(COUNTIF(CATALOGO!$A$6:$A$105,B447)&lt;&gt;1,"SKU NO VALIDO",IF(OR(A447&lt;DATE(1900,1,1),A447&gt;DATE(2100,12,31),A447&gt;CONFIG!$B$5,C447&lt;0,C447&gt;1000000,D447&lt;0,D447&gt;1000000,E447&lt;0,E447&gt;1000000,E447&gt;D447,ABS(F447)&gt;1000000000,ABS(G447)&gt;1000000000,ROUND(F447,2)&lt;&gt;F447,AND(G447&lt;&gt;"",ROUND(G447,2)&lt;&gt;G447)),"REVISAR VALOR","OK"))))),"REVISAR VALOR")</f>
        <v/>
      </c>
    </row>
    <row r="448" spans="1:9" x14ac:dyDescent="0.45">
      <c r="A448" s="4"/>
      <c r="B448" s="8"/>
      <c r="C448" s="5"/>
      <c r="D448" s="5"/>
      <c r="E448" s="5"/>
      <c r="F448" s="7"/>
      <c r="G448" s="7"/>
      <c r="H448" s="8"/>
      <c r="I448" s="12" t="str">
        <f>IFERROR(IF(COUNTA(A448:H448)=0,"",IF(OR(A448="",B448="",C448="",D448="",E448="",F448=""),"FALTA CAMPO",IF(COUNTIFS($A$6:$A$1005,A448,$B$6:$B$1005,B448)&gt;1,"DUPLICADO FECHA-SKU",IF(COUNTIF(CATALOGO!$A$6:$A$105,B448)&lt;&gt;1,"SKU NO VALIDO",IF(OR(A448&lt;DATE(1900,1,1),A448&gt;DATE(2100,12,31),A448&gt;CONFIG!$B$5,C448&lt;0,C448&gt;1000000,D448&lt;0,D448&gt;1000000,E448&lt;0,E448&gt;1000000,E448&gt;D448,ABS(F448)&gt;1000000000,ABS(G448)&gt;1000000000,ROUND(F448,2)&lt;&gt;F448,AND(G448&lt;&gt;"",ROUND(G448,2)&lt;&gt;G448)),"REVISAR VALOR","OK"))))),"REVISAR VALOR")</f>
        <v/>
      </c>
    </row>
    <row r="449" spans="1:9" x14ac:dyDescent="0.45">
      <c r="A449" s="4"/>
      <c r="B449" s="8"/>
      <c r="C449" s="5"/>
      <c r="D449" s="5"/>
      <c r="E449" s="5"/>
      <c r="F449" s="7"/>
      <c r="G449" s="7"/>
      <c r="H449" s="8"/>
      <c r="I449" s="12" t="str">
        <f>IFERROR(IF(COUNTA(A449:H449)=0,"",IF(OR(A449="",B449="",C449="",D449="",E449="",F449=""),"FALTA CAMPO",IF(COUNTIFS($A$6:$A$1005,A449,$B$6:$B$1005,B449)&gt;1,"DUPLICADO FECHA-SKU",IF(COUNTIF(CATALOGO!$A$6:$A$105,B449)&lt;&gt;1,"SKU NO VALIDO",IF(OR(A449&lt;DATE(1900,1,1),A449&gt;DATE(2100,12,31),A449&gt;CONFIG!$B$5,C449&lt;0,C449&gt;1000000,D449&lt;0,D449&gt;1000000,E449&lt;0,E449&gt;1000000,E449&gt;D449,ABS(F449)&gt;1000000000,ABS(G449)&gt;1000000000,ROUND(F449,2)&lt;&gt;F449,AND(G449&lt;&gt;"",ROUND(G449,2)&lt;&gt;G449)),"REVISAR VALOR","OK"))))),"REVISAR VALOR")</f>
        <v/>
      </c>
    </row>
    <row r="450" spans="1:9" x14ac:dyDescent="0.45">
      <c r="A450" s="4"/>
      <c r="B450" s="8"/>
      <c r="C450" s="5"/>
      <c r="D450" s="5"/>
      <c r="E450" s="5"/>
      <c r="F450" s="7"/>
      <c r="G450" s="7"/>
      <c r="H450" s="8"/>
      <c r="I450" s="12" t="str">
        <f>IFERROR(IF(COUNTA(A450:H450)=0,"",IF(OR(A450="",B450="",C450="",D450="",E450="",F450=""),"FALTA CAMPO",IF(COUNTIFS($A$6:$A$1005,A450,$B$6:$B$1005,B450)&gt;1,"DUPLICADO FECHA-SKU",IF(COUNTIF(CATALOGO!$A$6:$A$105,B450)&lt;&gt;1,"SKU NO VALIDO",IF(OR(A450&lt;DATE(1900,1,1),A450&gt;DATE(2100,12,31),A450&gt;CONFIG!$B$5,C450&lt;0,C450&gt;1000000,D450&lt;0,D450&gt;1000000,E450&lt;0,E450&gt;1000000,E450&gt;D450,ABS(F450)&gt;1000000000,ABS(G450)&gt;1000000000,ROUND(F450,2)&lt;&gt;F450,AND(G450&lt;&gt;"",ROUND(G450,2)&lt;&gt;G450)),"REVISAR VALOR","OK"))))),"REVISAR VALOR")</f>
        <v/>
      </c>
    </row>
    <row r="451" spans="1:9" x14ac:dyDescent="0.45">
      <c r="A451" s="4"/>
      <c r="B451" s="8"/>
      <c r="C451" s="5"/>
      <c r="D451" s="5"/>
      <c r="E451" s="5"/>
      <c r="F451" s="7"/>
      <c r="G451" s="7"/>
      <c r="H451" s="8"/>
      <c r="I451" s="12" t="str">
        <f>IFERROR(IF(COUNTA(A451:H451)=0,"",IF(OR(A451="",B451="",C451="",D451="",E451="",F451=""),"FALTA CAMPO",IF(COUNTIFS($A$6:$A$1005,A451,$B$6:$B$1005,B451)&gt;1,"DUPLICADO FECHA-SKU",IF(COUNTIF(CATALOGO!$A$6:$A$105,B451)&lt;&gt;1,"SKU NO VALIDO",IF(OR(A451&lt;DATE(1900,1,1),A451&gt;DATE(2100,12,31),A451&gt;CONFIG!$B$5,C451&lt;0,C451&gt;1000000,D451&lt;0,D451&gt;1000000,E451&lt;0,E451&gt;1000000,E451&gt;D451,ABS(F451)&gt;1000000000,ABS(G451)&gt;1000000000,ROUND(F451,2)&lt;&gt;F451,AND(G451&lt;&gt;"",ROUND(G451,2)&lt;&gt;G451)),"REVISAR VALOR","OK"))))),"REVISAR VALOR")</f>
        <v/>
      </c>
    </row>
    <row r="452" spans="1:9" x14ac:dyDescent="0.45">
      <c r="A452" s="4"/>
      <c r="B452" s="8"/>
      <c r="C452" s="5"/>
      <c r="D452" s="5"/>
      <c r="E452" s="5"/>
      <c r="F452" s="7"/>
      <c r="G452" s="7"/>
      <c r="H452" s="8"/>
      <c r="I452" s="12" t="str">
        <f>IFERROR(IF(COUNTA(A452:H452)=0,"",IF(OR(A452="",B452="",C452="",D452="",E452="",F452=""),"FALTA CAMPO",IF(COUNTIFS($A$6:$A$1005,A452,$B$6:$B$1005,B452)&gt;1,"DUPLICADO FECHA-SKU",IF(COUNTIF(CATALOGO!$A$6:$A$105,B452)&lt;&gt;1,"SKU NO VALIDO",IF(OR(A452&lt;DATE(1900,1,1),A452&gt;DATE(2100,12,31),A452&gt;CONFIG!$B$5,C452&lt;0,C452&gt;1000000,D452&lt;0,D452&gt;1000000,E452&lt;0,E452&gt;1000000,E452&gt;D452,ABS(F452)&gt;1000000000,ABS(G452)&gt;1000000000,ROUND(F452,2)&lt;&gt;F452,AND(G452&lt;&gt;"",ROUND(G452,2)&lt;&gt;G452)),"REVISAR VALOR","OK"))))),"REVISAR VALOR")</f>
        <v/>
      </c>
    </row>
    <row r="453" spans="1:9" x14ac:dyDescent="0.45">
      <c r="A453" s="4"/>
      <c r="B453" s="8"/>
      <c r="C453" s="5"/>
      <c r="D453" s="5"/>
      <c r="E453" s="5"/>
      <c r="F453" s="7"/>
      <c r="G453" s="7"/>
      <c r="H453" s="8"/>
      <c r="I453" s="12" t="str">
        <f>IFERROR(IF(COUNTA(A453:H453)=0,"",IF(OR(A453="",B453="",C453="",D453="",E453="",F453=""),"FALTA CAMPO",IF(COUNTIFS($A$6:$A$1005,A453,$B$6:$B$1005,B453)&gt;1,"DUPLICADO FECHA-SKU",IF(COUNTIF(CATALOGO!$A$6:$A$105,B453)&lt;&gt;1,"SKU NO VALIDO",IF(OR(A453&lt;DATE(1900,1,1),A453&gt;DATE(2100,12,31),A453&gt;CONFIG!$B$5,C453&lt;0,C453&gt;1000000,D453&lt;0,D453&gt;1000000,E453&lt;0,E453&gt;1000000,E453&gt;D453,ABS(F453)&gt;1000000000,ABS(G453)&gt;1000000000,ROUND(F453,2)&lt;&gt;F453,AND(G453&lt;&gt;"",ROUND(G453,2)&lt;&gt;G453)),"REVISAR VALOR","OK"))))),"REVISAR VALOR")</f>
        <v/>
      </c>
    </row>
    <row r="454" spans="1:9" x14ac:dyDescent="0.45">
      <c r="A454" s="4"/>
      <c r="B454" s="8"/>
      <c r="C454" s="5"/>
      <c r="D454" s="5"/>
      <c r="E454" s="5"/>
      <c r="F454" s="7"/>
      <c r="G454" s="7"/>
      <c r="H454" s="8"/>
      <c r="I454" s="12" t="str">
        <f>IFERROR(IF(COUNTA(A454:H454)=0,"",IF(OR(A454="",B454="",C454="",D454="",E454="",F454=""),"FALTA CAMPO",IF(COUNTIFS($A$6:$A$1005,A454,$B$6:$B$1005,B454)&gt;1,"DUPLICADO FECHA-SKU",IF(COUNTIF(CATALOGO!$A$6:$A$105,B454)&lt;&gt;1,"SKU NO VALIDO",IF(OR(A454&lt;DATE(1900,1,1),A454&gt;DATE(2100,12,31),A454&gt;CONFIG!$B$5,C454&lt;0,C454&gt;1000000,D454&lt;0,D454&gt;1000000,E454&lt;0,E454&gt;1000000,E454&gt;D454,ABS(F454)&gt;1000000000,ABS(G454)&gt;1000000000,ROUND(F454,2)&lt;&gt;F454,AND(G454&lt;&gt;"",ROUND(G454,2)&lt;&gt;G454)),"REVISAR VALOR","OK"))))),"REVISAR VALOR")</f>
        <v/>
      </c>
    </row>
    <row r="455" spans="1:9" x14ac:dyDescent="0.45">
      <c r="A455" s="4"/>
      <c r="B455" s="8"/>
      <c r="C455" s="5"/>
      <c r="D455" s="5"/>
      <c r="E455" s="5"/>
      <c r="F455" s="7"/>
      <c r="G455" s="7"/>
      <c r="H455" s="8"/>
      <c r="I455" s="12" t="str">
        <f>IFERROR(IF(COUNTA(A455:H455)=0,"",IF(OR(A455="",B455="",C455="",D455="",E455="",F455=""),"FALTA CAMPO",IF(COUNTIFS($A$6:$A$1005,A455,$B$6:$B$1005,B455)&gt;1,"DUPLICADO FECHA-SKU",IF(COUNTIF(CATALOGO!$A$6:$A$105,B455)&lt;&gt;1,"SKU NO VALIDO",IF(OR(A455&lt;DATE(1900,1,1),A455&gt;DATE(2100,12,31),A455&gt;CONFIG!$B$5,C455&lt;0,C455&gt;1000000,D455&lt;0,D455&gt;1000000,E455&lt;0,E455&gt;1000000,E455&gt;D455,ABS(F455)&gt;1000000000,ABS(G455)&gt;1000000000,ROUND(F455,2)&lt;&gt;F455,AND(G455&lt;&gt;"",ROUND(G455,2)&lt;&gt;G455)),"REVISAR VALOR","OK"))))),"REVISAR VALOR")</f>
        <v/>
      </c>
    </row>
    <row r="456" spans="1:9" x14ac:dyDescent="0.45">
      <c r="A456" s="4"/>
      <c r="B456" s="8"/>
      <c r="C456" s="5"/>
      <c r="D456" s="5"/>
      <c r="E456" s="5"/>
      <c r="F456" s="7"/>
      <c r="G456" s="7"/>
      <c r="H456" s="8"/>
      <c r="I456" s="12" t="str">
        <f>IFERROR(IF(COUNTA(A456:H456)=0,"",IF(OR(A456="",B456="",C456="",D456="",E456="",F456=""),"FALTA CAMPO",IF(COUNTIFS($A$6:$A$1005,A456,$B$6:$B$1005,B456)&gt;1,"DUPLICADO FECHA-SKU",IF(COUNTIF(CATALOGO!$A$6:$A$105,B456)&lt;&gt;1,"SKU NO VALIDO",IF(OR(A456&lt;DATE(1900,1,1),A456&gt;DATE(2100,12,31),A456&gt;CONFIG!$B$5,C456&lt;0,C456&gt;1000000,D456&lt;0,D456&gt;1000000,E456&lt;0,E456&gt;1000000,E456&gt;D456,ABS(F456)&gt;1000000000,ABS(G456)&gt;1000000000,ROUND(F456,2)&lt;&gt;F456,AND(G456&lt;&gt;"",ROUND(G456,2)&lt;&gt;G456)),"REVISAR VALOR","OK"))))),"REVISAR VALOR")</f>
        <v/>
      </c>
    </row>
    <row r="457" spans="1:9" x14ac:dyDescent="0.45">
      <c r="A457" s="4"/>
      <c r="B457" s="8"/>
      <c r="C457" s="5"/>
      <c r="D457" s="5"/>
      <c r="E457" s="5"/>
      <c r="F457" s="7"/>
      <c r="G457" s="7"/>
      <c r="H457" s="8"/>
      <c r="I457" s="12" t="str">
        <f>IFERROR(IF(COUNTA(A457:H457)=0,"",IF(OR(A457="",B457="",C457="",D457="",E457="",F457=""),"FALTA CAMPO",IF(COUNTIFS($A$6:$A$1005,A457,$B$6:$B$1005,B457)&gt;1,"DUPLICADO FECHA-SKU",IF(COUNTIF(CATALOGO!$A$6:$A$105,B457)&lt;&gt;1,"SKU NO VALIDO",IF(OR(A457&lt;DATE(1900,1,1),A457&gt;DATE(2100,12,31),A457&gt;CONFIG!$B$5,C457&lt;0,C457&gt;1000000,D457&lt;0,D457&gt;1000000,E457&lt;0,E457&gt;1000000,E457&gt;D457,ABS(F457)&gt;1000000000,ABS(G457)&gt;1000000000,ROUND(F457,2)&lt;&gt;F457,AND(G457&lt;&gt;"",ROUND(G457,2)&lt;&gt;G457)),"REVISAR VALOR","OK"))))),"REVISAR VALOR")</f>
        <v/>
      </c>
    </row>
    <row r="458" spans="1:9" x14ac:dyDescent="0.45">
      <c r="A458" s="4"/>
      <c r="B458" s="8"/>
      <c r="C458" s="5"/>
      <c r="D458" s="5"/>
      <c r="E458" s="5"/>
      <c r="F458" s="7"/>
      <c r="G458" s="7"/>
      <c r="H458" s="8"/>
      <c r="I458" s="12" t="str">
        <f>IFERROR(IF(COUNTA(A458:H458)=0,"",IF(OR(A458="",B458="",C458="",D458="",E458="",F458=""),"FALTA CAMPO",IF(COUNTIFS($A$6:$A$1005,A458,$B$6:$B$1005,B458)&gt;1,"DUPLICADO FECHA-SKU",IF(COUNTIF(CATALOGO!$A$6:$A$105,B458)&lt;&gt;1,"SKU NO VALIDO",IF(OR(A458&lt;DATE(1900,1,1),A458&gt;DATE(2100,12,31),A458&gt;CONFIG!$B$5,C458&lt;0,C458&gt;1000000,D458&lt;0,D458&gt;1000000,E458&lt;0,E458&gt;1000000,E458&gt;D458,ABS(F458)&gt;1000000000,ABS(G458)&gt;1000000000,ROUND(F458,2)&lt;&gt;F458,AND(G458&lt;&gt;"",ROUND(G458,2)&lt;&gt;G458)),"REVISAR VALOR","OK"))))),"REVISAR VALOR")</f>
        <v/>
      </c>
    </row>
    <row r="459" spans="1:9" x14ac:dyDescent="0.45">
      <c r="A459" s="4"/>
      <c r="B459" s="8"/>
      <c r="C459" s="5"/>
      <c r="D459" s="5"/>
      <c r="E459" s="5"/>
      <c r="F459" s="7"/>
      <c r="G459" s="7"/>
      <c r="H459" s="8"/>
      <c r="I459" s="12" t="str">
        <f>IFERROR(IF(COUNTA(A459:H459)=0,"",IF(OR(A459="",B459="",C459="",D459="",E459="",F459=""),"FALTA CAMPO",IF(COUNTIFS($A$6:$A$1005,A459,$B$6:$B$1005,B459)&gt;1,"DUPLICADO FECHA-SKU",IF(COUNTIF(CATALOGO!$A$6:$A$105,B459)&lt;&gt;1,"SKU NO VALIDO",IF(OR(A459&lt;DATE(1900,1,1),A459&gt;DATE(2100,12,31),A459&gt;CONFIG!$B$5,C459&lt;0,C459&gt;1000000,D459&lt;0,D459&gt;1000000,E459&lt;0,E459&gt;1000000,E459&gt;D459,ABS(F459)&gt;1000000000,ABS(G459)&gt;1000000000,ROUND(F459,2)&lt;&gt;F459,AND(G459&lt;&gt;"",ROUND(G459,2)&lt;&gt;G459)),"REVISAR VALOR","OK"))))),"REVISAR VALOR")</f>
        <v/>
      </c>
    </row>
    <row r="460" spans="1:9" x14ac:dyDescent="0.45">
      <c r="A460" s="4"/>
      <c r="B460" s="8"/>
      <c r="C460" s="5"/>
      <c r="D460" s="5"/>
      <c r="E460" s="5"/>
      <c r="F460" s="7"/>
      <c r="G460" s="7"/>
      <c r="H460" s="8"/>
      <c r="I460" s="12" t="str">
        <f>IFERROR(IF(COUNTA(A460:H460)=0,"",IF(OR(A460="",B460="",C460="",D460="",E460="",F460=""),"FALTA CAMPO",IF(COUNTIFS($A$6:$A$1005,A460,$B$6:$B$1005,B460)&gt;1,"DUPLICADO FECHA-SKU",IF(COUNTIF(CATALOGO!$A$6:$A$105,B460)&lt;&gt;1,"SKU NO VALIDO",IF(OR(A460&lt;DATE(1900,1,1),A460&gt;DATE(2100,12,31),A460&gt;CONFIG!$B$5,C460&lt;0,C460&gt;1000000,D460&lt;0,D460&gt;1000000,E460&lt;0,E460&gt;1000000,E460&gt;D460,ABS(F460)&gt;1000000000,ABS(G460)&gt;1000000000,ROUND(F460,2)&lt;&gt;F460,AND(G460&lt;&gt;"",ROUND(G460,2)&lt;&gt;G460)),"REVISAR VALOR","OK"))))),"REVISAR VALOR")</f>
        <v/>
      </c>
    </row>
    <row r="461" spans="1:9" x14ac:dyDescent="0.45">
      <c r="A461" s="4"/>
      <c r="B461" s="8"/>
      <c r="C461" s="5"/>
      <c r="D461" s="5"/>
      <c r="E461" s="5"/>
      <c r="F461" s="7"/>
      <c r="G461" s="7"/>
      <c r="H461" s="8"/>
      <c r="I461" s="12" t="str">
        <f>IFERROR(IF(COUNTA(A461:H461)=0,"",IF(OR(A461="",B461="",C461="",D461="",E461="",F461=""),"FALTA CAMPO",IF(COUNTIFS($A$6:$A$1005,A461,$B$6:$B$1005,B461)&gt;1,"DUPLICADO FECHA-SKU",IF(COUNTIF(CATALOGO!$A$6:$A$105,B461)&lt;&gt;1,"SKU NO VALIDO",IF(OR(A461&lt;DATE(1900,1,1),A461&gt;DATE(2100,12,31),A461&gt;CONFIG!$B$5,C461&lt;0,C461&gt;1000000,D461&lt;0,D461&gt;1000000,E461&lt;0,E461&gt;1000000,E461&gt;D461,ABS(F461)&gt;1000000000,ABS(G461)&gt;1000000000,ROUND(F461,2)&lt;&gt;F461,AND(G461&lt;&gt;"",ROUND(G461,2)&lt;&gt;G461)),"REVISAR VALOR","OK"))))),"REVISAR VALOR")</f>
        <v/>
      </c>
    </row>
    <row r="462" spans="1:9" x14ac:dyDescent="0.45">
      <c r="A462" s="4"/>
      <c r="B462" s="8"/>
      <c r="C462" s="5"/>
      <c r="D462" s="5"/>
      <c r="E462" s="5"/>
      <c r="F462" s="7"/>
      <c r="G462" s="7"/>
      <c r="H462" s="8"/>
      <c r="I462" s="12" t="str">
        <f>IFERROR(IF(COUNTA(A462:H462)=0,"",IF(OR(A462="",B462="",C462="",D462="",E462="",F462=""),"FALTA CAMPO",IF(COUNTIFS($A$6:$A$1005,A462,$B$6:$B$1005,B462)&gt;1,"DUPLICADO FECHA-SKU",IF(COUNTIF(CATALOGO!$A$6:$A$105,B462)&lt;&gt;1,"SKU NO VALIDO",IF(OR(A462&lt;DATE(1900,1,1),A462&gt;DATE(2100,12,31),A462&gt;CONFIG!$B$5,C462&lt;0,C462&gt;1000000,D462&lt;0,D462&gt;1000000,E462&lt;0,E462&gt;1000000,E462&gt;D462,ABS(F462)&gt;1000000000,ABS(G462)&gt;1000000000,ROUND(F462,2)&lt;&gt;F462,AND(G462&lt;&gt;"",ROUND(G462,2)&lt;&gt;G462)),"REVISAR VALOR","OK"))))),"REVISAR VALOR")</f>
        <v/>
      </c>
    </row>
    <row r="463" spans="1:9" x14ac:dyDescent="0.45">
      <c r="A463" s="4"/>
      <c r="B463" s="8"/>
      <c r="C463" s="5"/>
      <c r="D463" s="5"/>
      <c r="E463" s="5"/>
      <c r="F463" s="7"/>
      <c r="G463" s="7"/>
      <c r="H463" s="8"/>
      <c r="I463" s="12" t="str">
        <f>IFERROR(IF(COUNTA(A463:H463)=0,"",IF(OR(A463="",B463="",C463="",D463="",E463="",F463=""),"FALTA CAMPO",IF(COUNTIFS($A$6:$A$1005,A463,$B$6:$B$1005,B463)&gt;1,"DUPLICADO FECHA-SKU",IF(COUNTIF(CATALOGO!$A$6:$A$105,B463)&lt;&gt;1,"SKU NO VALIDO",IF(OR(A463&lt;DATE(1900,1,1),A463&gt;DATE(2100,12,31),A463&gt;CONFIG!$B$5,C463&lt;0,C463&gt;1000000,D463&lt;0,D463&gt;1000000,E463&lt;0,E463&gt;1000000,E463&gt;D463,ABS(F463)&gt;1000000000,ABS(G463)&gt;1000000000,ROUND(F463,2)&lt;&gt;F463,AND(G463&lt;&gt;"",ROUND(G463,2)&lt;&gt;G463)),"REVISAR VALOR","OK"))))),"REVISAR VALOR")</f>
        <v/>
      </c>
    </row>
    <row r="464" spans="1:9" x14ac:dyDescent="0.45">
      <c r="A464" s="4"/>
      <c r="B464" s="8"/>
      <c r="C464" s="5"/>
      <c r="D464" s="5"/>
      <c r="E464" s="5"/>
      <c r="F464" s="7"/>
      <c r="G464" s="7"/>
      <c r="H464" s="8"/>
      <c r="I464" s="12" t="str">
        <f>IFERROR(IF(COUNTA(A464:H464)=0,"",IF(OR(A464="",B464="",C464="",D464="",E464="",F464=""),"FALTA CAMPO",IF(COUNTIFS($A$6:$A$1005,A464,$B$6:$B$1005,B464)&gt;1,"DUPLICADO FECHA-SKU",IF(COUNTIF(CATALOGO!$A$6:$A$105,B464)&lt;&gt;1,"SKU NO VALIDO",IF(OR(A464&lt;DATE(1900,1,1),A464&gt;DATE(2100,12,31),A464&gt;CONFIG!$B$5,C464&lt;0,C464&gt;1000000,D464&lt;0,D464&gt;1000000,E464&lt;0,E464&gt;1000000,E464&gt;D464,ABS(F464)&gt;1000000000,ABS(G464)&gt;1000000000,ROUND(F464,2)&lt;&gt;F464,AND(G464&lt;&gt;"",ROUND(G464,2)&lt;&gt;G464)),"REVISAR VALOR","OK"))))),"REVISAR VALOR")</f>
        <v/>
      </c>
    </row>
    <row r="465" spans="1:9" x14ac:dyDescent="0.45">
      <c r="A465" s="4"/>
      <c r="B465" s="8"/>
      <c r="C465" s="5"/>
      <c r="D465" s="5"/>
      <c r="E465" s="5"/>
      <c r="F465" s="7"/>
      <c r="G465" s="7"/>
      <c r="H465" s="8"/>
      <c r="I465" s="12" t="str">
        <f>IFERROR(IF(COUNTA(A465:H465)=0,"",IF(OR(A465="",B465="",C465="",D465="",E465="",F465=""),"FALTA CAMPO",IF(COUNTIFS($A$6:$A$1005,A465,$B$6:$B$1005,B465)&gt;1,"DUPLICADO FECHA-SKU",IF(COUNTIF(CATALOGO!$A$6:$A$105,B465)&lt;&gt;1,"SKU NO VALIDO",IF(OR(A465&lt;DATE(1900,1,1),A465&gt;DATE(2100,12,31),A465&gt;CONFIG!$B$5,C465&lt;0,C465&gt;1000000,D465&lt;0,D465&gt;1000000,E465&lt;0,E465&gt;1000000,E465&gt;D465,ABS(F465)&gt;1000000000,ABS(G465)&gt;1000000000,ROUND(F465,2)&lt;&gt;F465,AND(G465&lt;&gt;"",ROUND(G465,2)&lt;&gt;G465)),"REVISAR VALOR","OK"))))),"REVISAR VALOR")</f>
        <v/>
      </c>
    </row>
    <row r="466" spans="1:9" x14ac:dyDescent="0.45">
      <c r="A466" s="4"/>
      <c r="B466" s="8"/>
      <c r="C466" s="5"/>
      <c r="D466" s="5"/>
      <c r="E466" s="5"/>
      <c r="F466" s="7"/>
      <c r="G466" s="7"/>
      <c r="H466" s="8"/>
      <c r="I466" s="12" t="str">
        <f>IFERROR(IF(COUNTA(A466:H466)=0,"",IF(OR(A466="",B466="",C466="",D466="",E466="",F466=""),"FALTA CAMPO",IF(COUNTIFS($A$6:$A$1005,A466,$B$6:$B$1005,B466)&gt;1,"DUPLICADO FECHA-SKU",IF(COUNTIF(CATALOGO!$A$6:$A$105,B466)&lt;&gt;1,"SKU NO VALIDO",IF(OR(A466&lt;DATE(1900,1,1),A466&gt;DATE(2100,12,31),A466&gt;CONFIG!$B$5,C466&lt;0,C466&gt;1000000,D466&lt;0,D466&gt;1000000,E466&lt;0,E466&gt;1000000,E466&gt;D466,ABS(F466)&gt;1000000000,ABS(G466)&gt;1000000000,ROUND(F466,2)&lt;&gt;F466,AND(G466&lt;&gt;"",ROUND(G466,2)&lt;&gt;G466)),"REVISAR VALOR","OK"))))),"REVISAR VALOR")</f>
        <v/>
      </c>
    </row>
    <row r="467" spans="1:9" x14ac:dyDescent="0.45">
      <c r="A467" s="4"/>
      <c r="B467" s="8"/>
      <c r="C467" s="5"/>
      <c r="D467" s="5"/>
      <c r="E467" s="5"/>
      <c r="F467" s="7"/>
      <c r="G467" s="7"/>
      <c r="H467" s="8"/>
      <c r="I467" s="12" t="str">
        <f>IFERROR(IF(COUNTA(A467:H467)=0,"",IF(OR(A467="",B467="",C467="",D467="",E467="",F467=""),"FALTA CAMPO",IF(COUNTIFS($A$6:$A$1005,A467,$B$6:$B$1005,B467)&gt;1,"DUPLICADO FECHA-SKU",IF(COUNTIF(CATALOGO!$A$6:$A$105,B467)&lt;&gt;1,"SKU NO VALIDO",IF(OR(A467&lt;DATE(1900,1,1),A467&gt;DATE(2100,12,31),A467&gt;CONFIG!$B$5,C467&lt;0,C467&gt;1000000,D467&lt;0,D467&gt;1000000,E467&lt;0,E467&gt;1000000,E467&gt;D467,ABS(F467)&gt;1000000000,ABS(G467)&gt;1000000000,ROUND(F467,2)&lt;&gt;F467,AND(G467&lt;&gt;"",ROUND(G467,2)&lt;&gt;G467)),"REVISAR VALOR","OK"))))),"REVISAR VALOR")</f>
        <v/>
      </c>
    </row>
    <row r="468" spans="1:9" x14ac:dyDescent="0.45">
      <c r="A468" s="4"/>
      <c r="B468" s="8"/>
      <c r="C468" s="5"/>
      <c r="D468" s="5"/>
      <c r="E468" s="5"/>
      <c r="F468" s="7"/>
      <c r="G468" s="7"/>
      <c r="H468" s="8"/>
      <c r="I468" s="12" t="str">
        <f>IFERROR(IF(COUNTA(A468:H468)=0,"",IF(OR(A468="",B468="",C468="",D468="",E468="",F468=""),"FALTA CAMPO",IF(COUNTIFS($A$6:$A$1005,A468,$B$6:$B$1005,B468)&gt;1,"DUPLICADO FECHA-SKU",IF(COUNTIF(CATALOGO!$A$6:$A$105,B468)&lt;&gt;1,"SKU NO VALIDO",IF(OR(A468&lt;DATE(1900,1,1),A468&gt;DATE(2100,12,31),A468&gt;CONFIG!$B$5,C468&lt;0,C468&gt;1000000,D468&lt;0,D468&gt;1000000,E468&lt;0,E468&gt;1000000,E468&gt;D468,ABS(F468)&gt;1000000000,ABS(G468)&gt;1000000000,ROUND(F468,2)&lt;&gt;F468,AND(G468&lt;&gt;"",ROUND(G468,2)&lt;&gt;G468)),"REVISAR VALOR","OK"))))),"REVISAR VALOR")</f>
        <v/>
      </c>
    </row>
    <row r="469" spans="1:9" x14ac:dyDescent="0.45">
      <c r="A469" s="4"/>
      <c r="B469" s="8"/>
      <c r="C469" s="5"/>
      <c r="D469" s="5"/>
      <c r="E469" s="5"/>
      <c r="F469" s="7"/>
      <c r="G469" s="7"/>
      <c r="H469" s="8"/>
      <c r="I469" s="12" t="str">
        <f>IFERROR(IF(COUNTA(A469:H469)=0,"",IF(OR(A469="",B469="",C469="",D469="",E469="",F469=""),"FALTA CAMPO",IF(COUNTIFS($A$6:$A$1005,A469,$B$6:$B$1005,B469)&gt;1,"DUPLICADO FECHA-SKU",IF(COUNTIF(CATALOGO!$A$6:$A$105,B469)&lt;&gt;1,"SKU NO VALIDO",IF(OR(A469&lt;DATE(1900,1,1),A469&gt;DATE(2100,12,31),A469&gt;CONFIG!$B$5,C469&lt;0,C469&gt;1000000,D469&lt;0,D469&gt;1000000,E469&lt;0,E469&gt;1000000,E469&gt;D469,ABS(F469)&gt;1000000000,ABS(G469)&gt;1000000000,ROUND(F469,2)&lt;&gt;F469,AND(G469&lt;&gt;"",ROUND(G469,2)&lt;&gt;G469)),"REVISAR VALOR","OK"))))),"REVISAR VALOR")</f>
        <v/>
      </c>
    </row>
    <row r="470" spans="1:9" x14ac:dyDescent="0.45">
      <c r="A470" s="4"/>
      <c r="B470" s="8"/>
      <c r="C470" s="5"/>
      <c r="D470" s="5"/>
      <c r="E470" s="5"/>
      <c r="F470" s="7"/>
      <c r="G470" s="7"/>
      <c r="H470" s="8"/>
      <c r="I470" s="12" t="str">
        <f>IFERROR(IF(COUNTA(A470:H470)=0,"",IF(OR(A470="",B470="",C470="",D470="",E470="",F470=""),"FALTA CAMPO",IF(COUNTIFS($A$6:$A$1005,A470,$B$6:$B$1005,B470)&gt;1,"DUPLICADO FECHA-SKU",IF(COUNTIF(CATALOGO!$A$6:$A$105,B470)&lt;&gt;1,"SKU NO VALIDO",IF(OR(A470&lt;DATE(1900,1,1),A470&gt;DATE(2100,12,31),A470&gt;CONFIG!$B$5,C470&lt;0,C470&gt;1000000,D470&lt;0,D470&gt;1000000,E470&lt;0,E470&gt;1000000,E470&gt;D470,ABS(F470)&gt;1000000000,ABS(G470)&gt;1000000000,ROUND(F470,2)&lt;&gt;F470,AND(G470&lt;&gt;"",ROUND(G470,2)&lt;&gt;G470)),"REVISAR VALOR","OK"))))),"REVISAR VALOR")</f>
        <v/>
      </c>
    </row>
    <row r="471" spans="1:9" x14ac:dyDescent="0.45">
      <c r="A471" s="4"/>
      <c r="B471" s="8"/>
      <c r="C471" s="5"/>
      <c r="D471" s="5"/>
      <c r="E471" s="5"/>
      <c r="F471" s="7"/>
      <c r="G471" s="7"/>
      <c r="H471" s="8"/>
      <c r="I471" s="12" t="str">
        <f>IFERROR(IF(COUNTA(A471:H471)=0,"",IF(OR(A471="",B471="",C471="",D471="",E471="",F471=""),"FALTA CAMPO",IF(COUNTIFS($A$6:$A$1005,A471,$B$6:$B$1005,B471)&gt;1,"DUPLICADO FECHA-SKU",IF(COUNTIF(CATALOGO!$A$6:$A$105,B471)&lt;&gt;1,"SKU NO VALIDO",IF(OR(A471&lt;DATE(1900,1,1),A471&gt;DATE(2100,12,31),A471&gt;CONFIG!$B$5,C471&lt;0,C471&gt;1000000,D471&lt;0,D471&gt;1000000,E471&lt;0,E471&gt;1000000,E471&gt;D471,ABS(F471)&gt;1000000000,ABS(G471)&gt;1000000000,ROUND(F471,2)&lt;&gt;F471,AND(G471&lt;&gt;"",ROUND(G471,2)&lt;&gt;G471)),"REVISAR VALOR","OK"))))),"REVISAR VALOR")</f>
        <v/>
      </c>
    </row>
    <row r="472" spans="1:9" x14ac:dyDescent="0.45">
      <c r="A472" s="4"/>
      <c r="B472" s="8"/>
      <c r="C472" s="5"/>
      <c r="D472" s="5"/>
      <c r="E472" s="5"/>
      <c r="F472" s="7"/>
      <c r="G472" s="7"/>
      <c r="H472" s="8"/>
      <c r="I472" s="12" t="str">
        <f>IFERROR(IF(COUNTA(A472:H472)=0,"",IF(OR(A472="",B472="",C472="",D472="",E472="",F472=""),"FALTA CAMPO",IF(COUNTIFS($A$6:$A$1005,A472,$B$6:$B$1005,B472)&gt;1,"DUPLICADO FECHA-SKU",IF(COUNTIF(CATALOGO!$A$6:$A$105,B472)&lt;&gt;1,"SKU NO VALIDO",IF(OR(A472&lt;DATE(1900,1,1),A472&gt;DATE(2100,12,31),A472&gt;CONFIG!$B$5,C472&lt;0,C472&gt;1000000,D472&lt;0,D472&gt;1000000,E472&lt;0,E472&gt;1000000,E472&gt;D472,ABS(F472)&gt;1000000000,ABS(G472)&gt;1000000000,ROUND(F472,2)&lt;&gt;F472,AND(G472&lt;&gt;"",ROUND(G472,2)&lt;&gt;G472)),"REVISAR VALOR","OK"))))),"REVISAR VALOR")</f>
        <v/>
      </c>
    </row>
    <row r="473" spans="1:9" x14ac:dyDescent="0.45">
      <c r="A473" s="4"/>
      <c r="B473" s="8"/>
      <c r="C473" s="5"/>
      <c r="D473" s="5"/>
      <c r="E473" s="5"/>
      <c r="F473" s="7"/>
      <c r="G473" s="7"/>
      <c r="H473" s="8"/>
      <c r="I473" s="12" t="str">
        <f>IFERROR(IF(COUNTA(A473:H473)=0,"",IF(OR(A473="",B473="",C473="",D473="",E473="",F473=""),"FALTA CAMPO",IF(COUNTIFS($A$6:$A$1005,A473,$B$6:$B$1005,B473)&gt;1,"DUPLICADO FECHA-SKU",IF(COUNTIF(CATALOGO!$A$6:$A$105,B473)&lt;&gt;1,"SKU NO VALIDO",IF(OR(A473&lt;DATE(1900,1,1),A473&gt;DATE(2100,12,31),A473&gt;CONFIG!$B$5,C473&lt;0,C473&gt;1000000,D473&lt;0,D473&gt;1000000,E473&lt;0,E473&gt;1000000,E473&gt;D473,ABS(F473)&gt;1000000000,ABS(G473)&gt;1000000000,ROUND(F473,2)&lt;&gt;F473,AND(G473&lt;&gt;"",ROUND(G473,2)&lt;&gt;G473)),"REVISAR VALOR","OK"))))),"REVISAR VALOR")</f>
        <v/>
      </c>
    </row>
    <row r="474" spans="1:9" x14ac:dyDescent="0.45">
      <c r="A474" s="4"/>
      <c r="B474" s="8"/>
      <c r="C474" s="5"/>
      <c r="D474" s="5"/>
      <c r="E474" s="5"/>
      <c r="F474" s="7"/>
      <c r="G474" s="7"/>
      <c r="H474" s="8"/>
      <c r="I474" s="12" t="str">
        <f>IFERROR(IF(COUNTA(A474:H474)=0,"",IF(OR(A474="",B474="",C474="",D474="",E474="",F474=""),"FALTA CAMPO",IF(COUNTIFS($A$6:$A$1005,A474,$B$6:$B$1005,B474)&gt;1,"DUPLICADO FECHA-SKU",IF(COUNTIF(CATALOGO!$A$6:$A$105,B474)&lt;&gt;1,"SKU NO VALIDO",IF(OR(A474&lt;DATE(1900,1,1),A474&gt;DATE(2100,12,31),A474&gt;CONFIG!$B$5,C474&lt;0,C474&gt;1000000,D474&lt;0,D474&gt;1000000,E474&lt;0,E474&gt;1000000,E474&gt;D474,ABS(F474)&gt;1000000000,ABS(G474)&gt;1000000000,ROUND(F474,2)&lt;&gt;F474,AND(G474&lt;&gt;"",ROUND(G474,2)&lt;&gt;G474)),"REVISAR VALOR","OK"))))),"REVISAR VALOR")</f>
        <v/>
      </c>
    </row>
    <row r="475" spans="1:9" x14ac:dyDescent="0.45">
      <c r="A475" s="4"/>
      <c r="B475" s="8"/>
      <c r="C475" s="5"/>
      <c r="D475" s="5"/>
      <c r="E475" s="5"/>
      <c r="F475" s="7"/>
      <c r="G475" s="7"/>
      <c r="H475" s="8"/>
      <c r="I475" s="12" t="str">
        <f>IFERROR(IF(COUNTA(A475:H475)=0,"",IF(OR(A475="",B475="",C475="",D475="",E475="",F475=""),"FALTA CAMPO",IF(COUNTIFS($A$6:$A$1005,A475,$B$6:$B$1005,B475)&gt;1,"DUPLICADO FECHA-SKU",IF(COUNTIF(CATALOGO!$A$6:$A$105,B475)&lt;&gt;1,"SKU NO VALIDO",IF(OR(A475&lt;DATE(1900,1,1),A475&gt;DATE(2100,12,31),A475&gt;CONFIG!$B$5,C475&lt;0,C475&gt;1000000,D475&lt;0,D475&gt;1000000,E475&lt;0,E475&gt;1000000,E475&gt;D475,ABS(F475)&gt;1000000000,ABS(G475)&gt;1000000000,ROUND(F475,2)&lt;&gt;F475,AND(G475&lt;&gt;"",ROUND(G475,2)&lt;&gt;G475)),"REVISAR VALOR","OK"))))),"REVISAR VALOR")</f>
        <v/>
      </c>
    </row>
    <row r="476" spans="1:9" x14ac:dyDescent="0.45">
      <c r="A476" s="4"/>
      <c r="B476" s="8"/>
      <c r="C476" s="5"/>
      <c r="D476" s="5"/>
      <c r="E476" s="5"/>
      <c r="F476" s="7"/>
      <c r="G476" s="7"/>
      <c r="H476" s="8"/>
      <c r="I476" s="12" t="str">
        <f>IFERROR(IF(COUNTA(A476:H476)=0,"",IF(OR(A476="",B476="",C476="",D476="",E476="",F476=""),"FALTA CAMPO",IF(COUNTIFS($A$6:$A$1005,A476,$B$6:$B$1005,B476)&gt;1,"DUPLICADO FECHA-SKU",IF(COUNTIF(CATALOGO!$A$6:$A$105,B476)&lt;&gt;1,"SKU NO VALIDO",IF(OR(A476&lt;DATE(1900,1,1),A476&gt;DATE(2100,12,31),A476&gt;CONFIG!$B$5,C476&lt;0,C476&gt;1000000,D476&lt;0,D476&gt;1000000,E476&lt;0,E476&gt;1000000,E476&gt;D476,ABS(F476)&gt;1000000000,ABS(G476)&gt;1000000000,ROUND(F476,2)&lt;&gt;F476,AND(G476&lt;&gt;"",ROUND(G476,2)&lt;&gt;G476)),"REVISAR VALOR","OK"))))),"REVISAR VALOR")</f>
        <v/>
      </c>
    </row>
    <row r="477" spans="1:9" x14ac:dyDescent="0.45">
      <c r="A477" s="4"/>
      <c r="B477" s="8"/>
      <c r="C477" s="5"/>
      <c r="D477" s="5"/>
      <c r="E477" s="5"/>
      <c r="F477" s="7"/>
      <c r="G477" s="7"/>
      <c r="H477" s="8"/>
      <c r="I477" s="12" t="str">
        <f>IFERROR(IF(COUNTA(A477:H477)=0,"",IF(OR(A477="",B477="",C477="",D477="",E477="",F477=""),"FALTA CAMPO",IF(COUNTIFS($A$6:$A$1005,A477,$B$6:$B$1005,B477)&gt;1,"DUPLICADO FECHA-SKU",IF(COUNTIF(CATALOGO!$A$6:$A$105,B477)&lt;&gt;1,"SKU NO VALIDO",IF(OR(A477&lt;DATE(1900,1,1),A477&gt;DATE(2100,12,31),A477&gt;CONFIG!$B$5,C477&lt;0,C477&gt;1000000,D477&lt;0,D477&gt;1000000,E477&lt;0,E477&gt;1000000,E477&gt;D477,ABS(F477)&gt;1000000000,ABS(G477)&gt;1000000000,ROUND(F477,2)&lt;&gt;F477,AND(G477&lt;&gt;"",ROUND(G477,2)&lt;&gt;G477)),"REVISAR VALOR","OK"))))),"REVISAR VALOR")</f>
        <v/>
      </c>
    </row>
    <row r="478" spans="1:9" x14ac:dyDescent="0.45">
      <c r="A478" s="4"/>
      <c r="B478" s="8"/>
      <c r="C478" s="5"/>
      <c r="D478" s="5"/>
      <c r="E478" s="5"/>
      <c r="F478" s="7"/>
      <c r="G478" s="7"/>
      <c r="H478" s="8"/>
      <c r="I478" s="12" t="str">
        <f>IFERROR(IF(COUNTA(A478:H478)=0,"",IF(OR(A478="",B478="",C478="",D478="",E478="",F478=""),"FALTA CAMPO",IF(COUNTIFS($A$6:$A$1005,A478,$B$6:$B$1005,B478)&gt;1,"DUPLICADO FECHA-SKU",IF(COUNTIF(CATALOGO!$A$6:$A$105,B478)&lt;&gt;1,"SKU NO VALIDO",IF(OR(A478&lt;DATE(1900,1,1),A478&gt;DATE(2100,12,31),A478&gt;CONFIG!$B$5,C478&lt;0,C478&gt;1000000,D478&lt;0,D478&gt;1000000,E478&lt;0,E478&gt;1000000,E478&gt;D478,ABS(F478)&gt;1000000000,ABS(G478)&gt;1000000000,ROUND(F478,2)&lt;&gt;F478,AND(G478&lt;&gt;"",ROUND(G478,2)&lt;&gt;G478)),"REVISAR VALOR","OK"))))),"REVISAR VALOR")</f>
        <v/>
      </c>
    </row>
    <row r="479" spans="1:9" x14ac:dyDescent="0.45">
      <c r="A479" s="4"/>
      <c r="B479" s="8"/>
      <c r="C479" s="5"/>
      <c r="D479" s="5"/>
      <c r="E479" s="5"/>
      <c r="F479" s="7"/>
      <c r="G479" s="7"/>
      <c r="H479" s="8"/>
      <c r="I479" s="12" t="str">
        <f>IFERROR(IF(COUNTA(A479:H479)=0,"",IF(OR(A479="",B479="",C479="",D479="",E479="",F479=""),"FALTA CAMPO",IF(COUNTIFS($A$6:$A$1005,A479,$B$6:$B$1005,B479)&gt;1,"DUPLICADO FECHA-SKU",IF(COUNTIF(CATALOGO!$A$6:$A$105,B479)&lt;&gt;1,"SKU NO VALIDO",IF(OR(A479&lt;DATE(1900,1,1),A479&gt;DATE(2100,12,31),A479&gt;CONFIG!$B$5,C479&lt;0,C479&gt;1000000,D479&lt;0,D479&gt;1000000,E479&lt;0,E479&gt;1000000,E479&gt;D479,ABS(F479)&gt;1000000000,ABS(G479)&gt;1000000000,ROUND(F479,2)&lt;&gt;F479,AND(G479&lt;&gt;"",ROUND(G479,2)&lt;&gt;G479)),"REVISAR VALOR","OK"))))),"REVISAR VALOR")</f>
        <v/>
      </c>
    </row>
    <row r="480" spans="1:9" x14ac:dyDescent="0.45">
      <c r="A480" s="4"/>
      <c r="B480" s="8"/>
      <c r="C480" s="5"/>
      <c r="D480" s="5"/>
      <c r="E480" s="5"/>
      <c r="F480" s="7"/>
      <c r="G480" s="7"/>
      <c r="H480" s="8"/>
      <c r="I480" s="12" t="str">
        <f>IFERROR(IF(COUNTA(A480:H480)=0,"",IF(OR(A480="",B480="",C480="",D480="",E480="",F480=""),"FALTA CAMPO",IF(COUNTIFS($A$6:$A$1005,A480,$B$6:$B$1005,B480)&gt;1,"DUPLICADO FECHA-SKU",IF(COUNTIF(CATALOGO!$A$6:$A$105,B480)&lt;&gt;1,"SKU NO VALIDO",IF(OR(A480&lt;DATE(1900,1,1),A480&gt;DATE(2100,12,31),A480&gt;CONFIG!$B$5,C480&lt;0,C480&gt;1000000,D480&lt;0,D480&gt;1000000,E480&lt;0,E480&gt;1000000,E480&gt;D480,ABS(F480)&gt;1000000000,ABS(G480)&gt;1000000000,ROUND(F480,2)&lt;&gt;F480,AND(G480&lt;&gt;"",ROUND(G480,2)&lt;&gt;G480)),"REVISAR VALOR","OK"))))),"REVISAR VALOR")</f>
        <v/>
      </c>
    </row>
    <row r="481" spans="1:9" x14ac:dyDescent="0.45">
      <c r="A481" s="4"/>
      <c r="B481" s="8"/>
      <c r="C481" s="5"/>
      <c r="D481" s="5"/>
      <c r="E481" s="5"/>
      <c r="F481" s="7"/>
      <c r="G481" s="7"/>
      <c r="H481" s="8"/>
      <c r="I481" s="12" t="str">
        <f>IFERROR(IF(COUNTA(A481:H481)=0,"",IF(OR(A481="",B481="",C481="",D481="",E481="",F481=""),"FALTA CAMPO",IF(COUNTIFS($A$6:$A$1005,A481,$B$6:$B$1005,B481)&gt;1,"DUPLICADO FECHA-SKU",IF(COUNTIF(CATALOGO!$A$6:$A$105,B481)&lt;&gt;1,"SKU NO VALIDO",IF(OR(A481&lt;DATE(1900,1,1),A481&gt;DATE(2100,12,31),A481&gt;CONFIG!$B$5,C481&lt;0,C481&gt;1000000,D481&lt;0,D481&gt;1000000,E481&lt;0,E481&gt;1000000,E481&gt;D481,ABS(F481)&gt;1000000000,ABS(G481)&gt;1000000000,ROUND(F481,2)&lt;&gt;F481,AND(G481&lt;&gt;"",ROUND(G481,2)&lt;&gt;G481)),"REVISAR VALOR","OK"))))),"REVISAR VALOR")</f>
        <v/>
      </c>
    </row>
    <row r="482" spans="1:9" x14ac:dyDescent="0.45">
      <c r="A482" s="4"/>
      <c r="B482" s="8"/>
      <c r="C482" s="5"/>
      <c r="D482" s="5"/>
      <c r="E482" s="5"/>
      <c r="F482" s="7"/>
      <c r="G482" s="7"/>
      <c r="H482" s="8"/>
      <c r="I482" s="12" t="str">
        <f>IFERROR(IF(COUNTA(A482:H482)=0,"",IF(OR(A482="",B482="",C482="",D482="",E482="",F482=""),"FALTA CAMPO",IF(COUNTIFS($A$6:$A$1005,A482,$B$6:$B$1005,B482)&gt;1,"DUPLICADO FECHA-SKU",IF(COUNTIF(CATALOGO!$A$6:$A$105,B482)&lt;&gt;1,"SKU NO VALIDO",IF(OR(A482&lt;DATE(1900,1,1),A482&gt;DATE(2100,12,31),A482&gt;CONFIG!$B$5,C482&lt;0,C482&gt;1000000,D482&lt;0,D482&gt;1000000,E482&lt;0,E482&gt;1000000,E482&gt;D482,ABS(F482)&gt;1000000000,ABS(G482)&gt;1000000000,ROUND(F482,2)&lt;&gt;F482,AND(G482&lt;&gt;"",ROUND(G482,2)&lt;&gt;G482)),"REVISAR VALOR","OK"))))),"REVISAR VALOR")</f>
        <v/>
      </c>
    </row>
    <row r="483" spans="1:9" x14ac:dyDescent="0.45">
      <c r="A483" s="4"/>
      <c r="B483" s="8"/>
      <c r="C483" s="5"/>
      <c r="D483" s="5"/>
      <c r="E483" s="5"/>
      <c r="F483" s="7"/>
      <c r="G483" s="7"/>
      <c r="H483" s="8"/>
      <c r="I483" s="12" t="str">
        <f>IFERROR(IF(COUNTA(A483:H483)=0,"",IF(OR(A483="",B483="",C483="",D483="",E483="",F483=""),"FALTA CAMPO",IF(COUNTIFS($A$6:$A$1005,A483,$B$6:$B$1005,B483)&gt;1,"DUPLICADO FECHA-SKU",IF(COUNTIF(CATALOGO!$A$6:$A$105,B483)&lt;&gt;1,"SKU NO VALIDO",IF(OR(A483&lt;DATE(1900,1,1),A483&gt;DATE(2100,12,31),A483&gt;CONFIG!$B$5,C483&lt;0,C483&gt;1000000,D483&lt;0,D483&gt;1000000,E483&lt;0,E483&gt;1000000,E483&gt;D483,ABS(F483)&gt;1000000000,ABS(G483)&gt;1000000000,ROUND(F483,2)&lt;&gt;F483,AND(G483&lt;&gt;"",ROUND(G483,2)&lt;&gt;G483)),"REVISAR VALOR","OK"))))),"REVISAR VALOR")</f>
        <v/>
      </c>
    </row>
    <row r="484" spans="1:9" x14ac:dyDescent="0.45">
      <c r="A484" s="4"/>
      <c r="B484" s="8"/>
      <c r="C484" s="5"/>
      <c r="D484" s="5"/>
      <c r="E484" s="5"/>
      <c r="F484" s="7"/>
      <c r="G484" s="7"/>
      <c r="H484" s="8"/>
      <c r="I484" s="12" t="str">
        <f>IFERROR(IF(COUNTA(A484:H484)=0,"",IF(OR(A484="",B484="",C484="",D484="",E484="",F484=""),"FALTA CAMPO",IF(COUNTIFS($A$6:$A$1005,A484,$B$6:$B$1005,B484)&gt;1,"DUPLICADO FECHA-SKU",IF(COUNTIF(CATALOGO!$A$6:$A$105,B484)&lt;&gt;1,"SKU NO VALIDO",IF(OR(A484&lt;DATE(1900,1,1),A484&gt;DATE(2100,12,31),A484&gt;CONFIG!$B$5,C484&lt;0,C484&gt;1000000,D484&lt;0,D484&gt;1000000,E484&lt;0,E484&gt;1000000,E484&gt;D484,ABS(F484)&gt;1000000000,ABS(G484)&gt;1000000000,ROUND(F484,2)&lt;&gt;F484,AND(G484&lt;&gt;"",ROUND(G484,2)&lt;&gt;G484)),"REVISAR VALOR","OK"))))),"REVISAR VALOR")</f>
        <v/>
      </c>
    </row>
    <row r="485" spans="1:9" x14ac:dyDescent="0.45">
      <c r="A485" s="4"/>
      <c r="B485" s="8"/>
      <c r="C485" s="5"/>
      <c r="D485" s="5"/>
      <c r="E485" s="5"/>
      <c r="F485" s="7"/>
      <c r="G485" s="7"/>
      <c r="H485" s="8"/>
      <c r="I485" s="12" t="str">
        <f>IFERROR(IF(COUNTA(A485:H485)=0,"",IF(OR(A485="",B485="",C485="",D485="",E485="",F485=""),"FALTA CAMPO",IF(COUNTIFS($A$6:$A$1005,A485,$B$6:$B$1005,B485)&gt;1,"DUPLICADO FECHA-SKU",IF(COUNTIF(CATALOGO!$A$6:$A$105,B485)&lt;&gt;1,"SKU NO VALIDO",IF(OR(A485&lt;DATE(1900,1,1),A485&gt;DATE(2100,12,31),A485&gt;CONFIG!$B$5,C485&lt;0,C485&gt;1000000,D485&lt;0,D485&gt;1000000,E485&lt;0,E485&gt;1000000,E485&gt;D485,ABS(F485)&gt;1000000000,ABS(G485)&gt;1000000000,ROUND(F485,2)&lt;&gt;F485,AND(G485&lt;&gt;"",ROUND(G485,2)&lt;&gt;G485)),"REVISAR VALOR","OK"))))),"REVISAR VALOR")</f>
        <v/>
      </c>
    </row>
    <row r="486" spans="1:9" x14ac:dyDescent="0.45">
      <c r="A486" s="4"/>
      <c r="B486" s="8"/>
      <c r="C486" s="5"/>
      <c r="D486" s="5"/>
      <c r="E486" s="5"/>
      <c r="F486" s="7"/>
      <c r="G486" s="7"/>
      <c r="H486" s="8"/>
      <c r="I486" s="12" t="str">
        <f>IFERROR(IF(COUNTA(A486:H486)=0,"",IF(OR(A486="",B486="",C486="",D486="",E486="",F486=""),"FALTA CAMPO",IF(COUNTIFS($A$6:$A$1005,A486,$B$6:$B$1005,B486)&gt;1,"DUPLICADO FECHA-SKU",IF(COUNTIF(CATALOGO!$A$6:$A$105,B486)&lt;&gt;1,"SKU NO VALIDO",IF(OR(A486&lt;DATE(1900,1,1),A486&gt;DATE(2100,12,31),A486&gt;CONFIG!$B$5,C486&lt;0,C486&gt;1000000,D486&lt;0,D486&gt;1000000,E486&lt;0,E486&gt;1000000,E486&gt;D486,ABS(F486)&gt;1000000000,ABS(G486)&gt;1000000000,ROUND(F486,2)&lt;&gt;F486,AND(G486&lt;&gt;"",ROUND(G486,2)&lt;&gt;G486)),"REVISAR VALOR","OK"))))),"REVISAR VALOR")</f>
        <v/>
      </c>
    </row>
    <row r="487" spans="1:9" x14ac:dyDescent="0.45">
      <c r="A487" s="4"/>
      <c r="B487" s="8"/>
      <c r="C487" s="5"/>
      <c r="D487" s="5"/>
      <c r="E487" s="5"/>
      <c r="F487" s="7"/>
      <c r="G487" s="7"/>
      <c r="H487" s="8"/>
      <c r="I487" s="12" t="str">
        <f>IFERROR(IF(COUNTA(A487:H487)=0,"",IF(OR(A487="",B487="",C487="",D487="",E487="",F487=""),"FALTA CAMPO",IF(COUNTIFS($A$6:$A$1005,A487,$B$6:$B$1005,B487)&gt;1,"DUPLICADO FECHA-SKU",IF(COUNTIF(CATALOGO!$A$6:$A$105,B487)&lt;&gt;1,"SKU NO VALIDO",IF(OR(A487&lt;DATE(1900,1,1),A487&gt;DATE(2100,12,31),A487&gt;CONFIG!$B$5,C487&lt;0,C487&gt;1000000,D487&lt;0,D487&gt;1000000,E487&lt;0,E487&gt;1000000,E487&gt;D487,ABS(F487)&gt;1000000000,ABS(G487)&gt;1000000000,ROUND(F487,2)&lt;&gt;F487,AND(G487&lt;&gt;"",ROUND(G487,2)&lt;&gt;G487)),"REVISAR VALOR","OK"))))),"REVISAR VALOR")</f>
        <v/>
      </c>
    </row>
    <row r="488" spans="1:9" x14ac:dyDescent="0.45">
      <c r="A488" s="4"/>
      <c r="B488" s="8"/>
      <c r="C488" s="5"/>
      <c r="D488" s="5"/>
      <c r="E488" s="5"/>
      <c r="F488" s="7"/>
      <c r="G488" s="7"/>
      <c r="H488" s="8"/>
      <c r="I488" s="12" t="str">
        <f>IFERROR(IF(COUNTA(A488:H488)=0,"",IF(OR(A488="",B488="",C488="",D488="",E488="",F488=""),"FALTA CAMPO",IF(COUNTIFS($A$6:$A$1005,A488,$B$6:$B$1005,B488)&gt;1,"DUPLICADO FECHA-SKU",IF(COUNTIF(CATALOGO!$A$6:$A$105,B488)&lt;&gt;1,"SKU NO VALIDO",IF(OR(A488&lt;DATE(1900,1,1),A488&gt;DATE(2100,12,31),A488&gt;CONFIG!$B$5,C488&lt;0,C488&gt;1000000,D488&lt;0,D488&gt;1000000,E488&lt;0,E488&gt;1000000,E488&gt;D488,ABS(F488)&gt;1000000000,ABS(G488)&gt;1000000000,ROUND(F488,2)&lt;&gt;F488,AND(G488&lt;&gt;"",ROUND(G488,2)&lt;&gt;G488)),"REVISAR VALOR","OK"))))),"REVISAR VALOR")</f>
        <v/>
      </c>
    </row>
    <row r="489" spans="1:9" x14ac:dyDescent="0.45">
      <c r="A489" s="4"/>
      <c r="B489" s="8"/>
      <c r="C489" s="5"/>
      <c r="D489" s="5"/>
      <c r="E489" s="5"/>
      <c r="F489" s="7"/>
      <c r="G489" s="7"/>
      <c r="H489" s="8"/>
      <c r="I489" s="12" t="str">
        <f>IFERROR(IF(COUNTA(A489:H489)=0,"",IF(OR(A489="",B489="",C489="",D489="",E489="",F489=""),"FALTA CAMPO",IF(COUNTIFS($A$6:$A$1005,A489,$B$6:$B$1005,B489)&gt;1,"DUPLICADO FECHA-SKU",IF(COUNTIF(CATALOGO!$A$6:$A$105,B489)&lt;&gt;1,"SKU NO VALIDO",IF(OR(A489&lt;DATE(1900,1,1),A489&gt;DATE(2100,12,31),A489&gt;CONFIG!$B$5,C489&lt;0,C489&gt;1000000,D489&lt;0,D489&gt;1000000,E489&lt;0,E489&gt;1000000,E489&gt;D489,ABS(F489)&gt;1000000000,ABS(G489)&gt;1000000000,ROUND(F489,2)&lt;&gt;F489,AND(G489&lt;&gt;"",ROUND(G489,2)&lt;&gt;G489)),"REVISAR VALOR","OK"))))),"REVISAR VALOR")</f>
        <v/>
      </c>
    </row>
    <row r="490" spans="1:9" x14ac:dyDescent="0.45">
      <c r="A490" s="4"/>
      <c r="B490" s="8"/>
      <c r="C490" s="5"/>
      <c r="D490" s="5"/>
      <c r="E490" s="5"/>
      <c r="F490" s="7"/>
      <c r="G490" s="7"/>
      <c r="H490" s="8"/>
      <c r="I490" s="12" t="str">
        <f>IFERROR(IF(COUNTA(A490:H490)=0,"",IF(OR(A490="",B490="",C490="",D490="",E490="",F490=""),"FALTA CAMPO",IF(COUNTIFS($A$6:$A$1005,A490,$B$6:$B$1005,B490)&gt;1,"DUPLICADO FECHA-SKU",IF(COUNTIF(CATALOGO!$A$6:$A$105,B490)&lt;&gt;1,"SKU NO VALIDO",IF(OR(A490&lt;DATE(1900,1,1),A490&gt;DATE(2100,12,31),A490&gt;CONFIG!$B$5,C490&lt;0,C490&gt;1000000,D490&lt;0,D490&gt;1000000,E490&lt;0,E490&gt;1000000,E490&gt;D490,ABS(F490)&gt;1000000000,ABS(G490)&gt;1000000000,ROUND(F490,2)&lt;&gt;F490,AND(G490&lt;&gt;"",ROUND(G490,2)&lt;&gt;G490)),"REVISAR VALOR","OK"))))),"REVISAR VALOR")</f>
        <v/>
      </c>
    </row>
    <row r="491" spans="1:9" x14ac:dyDescent="0.45">
      <c r="A491" s="4"/>
      <c r="B491" s="8"/>
      <c r="C491" s="5"/>
      <c r="D491" s="5"/>
      <c r="E491" s="5"/>
      <c r="F491" s="7"/>
      <c r="G491" s="7"/>
      <c r="H491" s="8"/>
      <c r="I491" s="12" t="str">
        <f>IFERROR(IF(COUNTA(A491:H491)=0,"",IF(OR(A491="",B491="",C491="",D491="",E491="",F491=""),"FALTA CAMPO",IF(COUNTIFS($A$6:$A$1005,A491,$B$6:$B$1005,B491)&gt;1,"DUPLICADO FECHA-SKU",IF(COUNTIF(CATALOGO!$A$6:$A$105,B491)&lt;&gt;1,"SKU NO VALIDO",IF(OR(A491&lt;DATE(1900,1,1),A491&gt;DATE(2100,12,31),A491&gt;CONFIG!$B$5,C491&lt;0,C491&gt;1000000,D491&lt;0,D491&gt;1000000,E491&lt;0,E491&gt;1000000,E491&gt;D491,ABS(F491)&gt;1000000000,ABS(G491)&gt;1000000000,ROUND(F491,2)&lt;&gt;F491,AND(G491&lt;&gt;"",ROUND(G491,2)&lt;&gt;G491)),"REVISAR VALOR","OK"))))),"REVISAR VALOR")</f>
        <v/>
      </c>
    </row>
    <row r="492" spans="1:9" x14ac:dyDescent="0.45">
      <c r="A492" s="4"/>
      <c r="B492" s="8"/>
      <c r="C492" s="5"/>
      <c r="D492" s="5"/>
      <c r="E492" s="5"/>
      <c r="F492" s="7"/>
      <c r="G492" s="7"/>
      <c r="H492" s="8"/>
      <c r="I492" s="12" t="str">
        <f>IFERROR(IF(COUNTA(A492:H492)=0,"",IF(OR(A492="",B492="",C492="",D492="",E492="",F492=""),"FALTA CAMPO",IF(COUNTIFS($A$6:$A$1005,A492,$B$6:$B$1005,B492)&gt;1,"DUPLICADO FECHA-SKU",IF(COUNTIF(CATALOGO!$A$6:$A$105,B492)&lt;&gt;1,"SKU NO VALIDO",IF(OR(A492&lt;DATE(1900,1,1),A492&gt;DATE(2100,12,31),A492&gt;CONFIG!$B$5,C492&lt;0,C492&gt;1000000,D492&lt;0,D492&gt;1000000,E492&lt;0,E492&gt;1000000,E492&gt;D492,ABS(F492)&gt;1000000000,ABS(G492)&gt;1000000000,ROUND(F492,2)&lt;&gt;F492,AND(G492&lt;&gt;"",ROUND(G492,2)&lt;&gt;G492)),"REVISAR VALOR","OK"))))),"REVISAR VALOR")</f>
        <v/>
      </c>
    </row>
    <row r="493" spans="1:9" x14ac:dyDescent="0.45">
      <c r="A493" s="4"/>
      <c r="B493" s="8"/>
      <c r="C493" s="5"/>
      <c r="D493" s="5"/>
      <c r="E493" s="5"/>
      <c r="F493" s="7"/>
      <c r="G493" s="7"/>
      <c r="H493" s="8"/>
      <c r="I493" s="12" t="str">
        <f>IFERROR(IF(COUNTA(A493:H493)=0,"",IF(OR(A493="",B493="",C493="",D493="",E493="",F493=""),"FALTA CAMPO",IF(COUNTIFS($A$6:$A$1005,A493,$B$6:$B$1005,B493)&gt;1,"DUPLICADO FECHA-SKU",IF(COUNTIF(CATALOGO!$A$6:$A$105,B493)&lt;&gt;1,"SKU NO VALIDO",IF(OR(A493&lt;DATE(1900,1,1),A493&gt;DATE(2100,12,31),A493&gt;CONFIG!$B$5,C493&lt;0,C493&gt;1000000,D493&lt;0,D493&gt;1000000,E493&lt;0,E493&gt;1000000,E493&gt;D493,ABS(F493)&gt;1000000000,ABS(G493)&gt;1000000000,ROUND(F493,2)&lt;&gt;F493,AND(G493&lt;&gt;"",ROUND(G493,2)&lt;&gt;G493)),"REVISAR VALOR","OK"))))),"REVISAR VALOR")</f>
        <v/>
      </c>
    </row>
    <row r="494" spans="1:9" x14ac:dyDescent="0.45">
      <c r="A494" s="4"/>
      <c r="B494" s="8"/>
      <c r="C494" s="5"/>
      <c r="D494" s="5"/>
      <c r="E494" s="5"/>
      <c r="F494" s="7"/>
      <c r="G494" s="7"/>
      <c r="H494" s="8"/>
      <c r="I494" s="12" t="str">
        <f>IFERROR(IF(COUNTA(A494:H494)=0,"",IF(OR(A494="",B494="",C494="",D494="",E494="",F494=""),"FALTA CAMPO",IF(COUNTIFS($A$6:$A$1005,A494,$B$6:$B$1005,B494)&gt;1,"DUPLICADO FECHA-SKU",IF(COUNTIF(CATALOGO!$A$6:$A$105,B494)&lt;&gt;1,"SKU NO VALIDO",IF(OR(A494&lt;DATE(1900,1,1),A494&gt;DATE(2100,12,31),A494&gt;CONFIG!$B$5,C494&lt;0,C494&gt;1000000,D494&lt;0,D494&gt;1000000,E494&lt;0,E494&gt;1000000,E494&gt;D494,ABS(F494)&gt;1000000000,ABS(G494)&gt;1000000000,ROUND(F494,2)&lt;&gt;F494,AND(G494&lt;&gt;"",ROUND(G494,2)&lt;&gt;G494)),"REVISAR VALOR","OK"))))),"REVISAR VALOR")</f>
        <v/>
      </c>
    </row>
    <row r="495" spans="1:9" x14ac:dyDescent="0.45">
      <c r="A495" s="4"/>
      <c r="B495" s="8"/>
      <c r="C495" s="5"/>
      <c r="D495" s="5"/>
      <c r="E495" s="5"/>
      <c r="F495" s="7"/>
      <c r="G495" s="7"/>
      <c r="H495" s="8"/>
      <c r="I495" s="12" t="str">
        <f>IFERROR(IF(COUNTA(A495:H495)=0,"",IF(OR(A495="",B495="",C495="",D495="",E495="",F495=""),"FALTA CAMPO",IF(COUNTIFS($A$6:$A$1005,A495,$B$6:$B$1005,B495)&gt;1,"DUPLICADO FECHA-SKU",IF(COUNTIF(CATALOGO!$A$6:$A$105,B495)&lt;&gt;1,"SKU NO VALIDO",IF(OR(A495&lt;DATE(1900,1,1),A495&gt;DATE(2100,12,31),A495&gt;CONFIG!$B$5,C495&lt;0,C495&gt;1000000,D495&lt;0,D495&gt;1000000,E495&lt;0,E495&gt;1000000,E495&gt;D495,ABS(F495)&gt;1000000000,ABS(G495)&gt;1000000000,ROUND(F495,2)&lt;&gt;F495,AND(G495&lt;&gt;"",ROUND(G495,2)&lt;&gt;G495)),"REVISAR VALOR","OK"))))),"REVISAR VALOR")</f>
        <v/>
      </c>
    </row>
    <row r="496" spans="1:9" x14ac:dyDescent="0.45">
      <c r="A496" s="4"/>
      <c r="B496" s="8"/>
      <c r="C496" s="5"/>
      <c r="D496" s="5"/>
      <c r="E496" s="5"/>
      <c r="F496" s="7"/>
      <c r="G496" s="7"/>
      <c r="H496" s="8"/>
      <c r="I496" s="12" t="str">
        <f>IFERROR(IF(COUNTA(A496:H496)=0,"",IF(OR(A496="",B496="",C496="",D496="",E496="",F496=""),"FALTA CAMPO",IF(COUNTIFS($A$6:$A$1005,A496,$B$6:$B$1005,B496)&gt;1,"DUPLICADO FECHA-SKU",IF(COUNTIF(CATALOGO!$A$6:$A$105,B496)&lt;&gt;1,"SKU NO VALIDO",IF(OR(A496&lt;DATE(1900,1,1),A496&gt;DATE(2100,12,31),A496&gt;CONFIG!$B$5,C496&lt;0,C496&gt;1000000,D496&lt;0,D496&gt;1000000,E496&lt;0,E496&gt;1000000,E496&gt;D496,ABS(F496)&gt;1000000000,ABS(G496)&gt;1000000000,ROUND(F496,2)&lt;&gt;F496,AND(G496&lt;&gt;"",ROUND(G496,2)&lt;&gt;G496)),"REVISAR VALOR","OK"))))),"REVISAR VALOR")</f>
        <v/>
      </c>
    </row>
    <row r="497" spans="1:9" x14ac:dyDescent="0.45">
      <c r="A497" s="4"/>
      <c r="B497" s="8"/>
      <c r="C497" s="5"/>
      <c r="D497" s="5"/>
      <c r="E497" s="5"/>
      <c r="F497" s="7"/>
      <c r="G497" s="7"/>
      <c r="H497" s="8"/>
      <c r="I497" s="12" t="str">
        <f>IFERROR(IF(COUNTA(A497:H497)=0,"",IF(OR(A497="",B497="",C497="",D497="",E497="",F497=""),"FALTA CAMPO",IF(COUNTIFS($A$6:$A$1005,A497,$B$6:$B$1005,B497)&gt;1,"DUPLICADO FECHA-SKU",IF(COUNTIF(CATALOGO!$A$6:$A$105,B497)&lt;&gt;1,"SKU NO VALIDO",IF(OR(A497&lt;DATE(1900,1,1),A497&gt;DATE(2100,12,31),A497&gt;CONFIG!$B$5,C497&lt;0,C497&gt;1000000,D497&lt;0,D497&gt;1000000,E497&lt;0,E497&gt;1000000,E497&gt;D497,ABS(F497)&gt;1000000000,ABS(G497)&gt;1000000000,ROUND(F497,2)&lt;&gt;F497,AND(G497&lt;&gt;"",ROUND(G497,2)&lt;&gt;G497)),"REVISAR VALOR","OK"))))),"REVISAR VALOR")</f>
        <v/>
      </c>
    </row>
    <row r="498" spans="1:9" x14ac:dyDescent="0.45">
      <c r="A498" s="4"/>
      <c r="B498" s="8"/>
      <c r="C498" s="5"/>
      <c r="D498" s="5"/>
      <c r="E498" s="5"/>
      <c r="F498" s="7"/>
      <c r="G498" s="7"/>
      <c r="H498" s="8"/>
      <c r="I498" s="12" t="str">
        <f>IFERROR(IF(COUNTA(A498:H498)=0,"",IF(OR(A498="",B498="",C498="",D498="",E498="",F498=""),"FALTA CAMPO",IF(COUNTIFS($A$6:$A$1005,A498,$B$6:$B$1005,B498)&gt;1,"DUPLICADO FECHA-SKU",IF(COUNTIF(CATALOGO!$A$6:$A$105,B498)&lt;&gt;1,"SKU NO VALIDO",IF(OR(A498&lt;DATE(1900,1,1),A498&gt;DATE(2100,12,31),A498&gt;CONFIG!$B$5,C498&lt;0,C498&gt;1000000,D498&lt;0,D498&gt;1000000,E498&lt;0,E498&gt;1000000,E498&gt;D498,ABS(F498)&gt;1000000000,ABS(G498)&gt;1000000000,ROUND(F498,2)&lt;&gt;F498,AND(G498&lt;&gt;"",ROUND(G498,2)&lt;&gt;G498)),"REVISAR VALOR","OK"))))),"REVISAR VALOR")</f>
        <v/>
      </c>
    </row>
    <row r="499" spans="1:9" x14ac:dyDescent="0.45">
      <c r="A499" s="4"/>
      <c r="B499" s="8"/>
      <c r="C499" s="5"/>
      <c r="D499" s="5"/>
      <c r="E499" s="5"/>
      <c r="F499" s="7"/>
      <c r="G499" s="7"/>
      <c r="H499" s="8"/>
      <c r="I499" s="12" t="str">
        <f>IFERROR(IF(COUNTA(A499:H499)=0,"",IF(OR(A499="",B499="",C499="",D499="",E499="",F499=""),"FALTA CAMPO",IF(COUNTIFS($A$6:$A$1005,A499,$B$6:$B$1005,B499)&gt;1,"DUPLICADO FECHA-SKU",IF(COUNTIF(CATALOGO!$A$6:$A$105,B499)&lt;&gt;1,"SKU NO VALIDO",IF(OR(A499&lt;DATE(1900,1,1),A499&gt;DATE(2100,12,31),A499&gt;CONFIG!$B$5,C499&lt;0,C499&gt;1000000,D499&lt;0,D499&gt;1000000,E499&lt;0,E499&gt;1000000,E499&gt;D499,ABS(F499)&gt;1000000000,ABS(G499)&gt;1000000000,ROUND(F499,2)&lt;&gt;F499,AND(G499&lt;&gt;"",ROUND(G499,2)&lt;&gt;G499)),"REVISAR VALOR","OK"))))),"REVISAR VALOR")</f>
        <v/>
      </c>
    </row>
    <row r="500" spans="1:9" x14ac:dyDescent="0.45">
      <c r="A500" s="4"/>
      <c r="B500" s="8"/>
      <c r="C500" s="5"/>
      <c r="D500" s="5"/>
      <c r="E500" s="5"/>
      <c r="F500" s="7"/>
      <c r="G500" s="7"/>
      <c r="H500" s="8"/>
      <c r="I500" s="12" t="str">
        <f>IFERROR(IF(COUNTA(A500:H500)=0,"",IF(OR(A500="",B500="",C500="",D500="",E500="",F500=""),"FALTA CAMPO",IF(COUNTIFS($A$6:$A$1005,A500,$B$6:$B$1005,B500)&gt;1,"DUPLICADO FECHA-SKU",IF(COUNTIF(CATALOGO!$A$6:$A$105,B500)&lt;&gt;1,"SKU NO VALIDO",IF(OR(A500&lt;DATE(1900,1,1),A500&gt;DATE(2100,12,31),A500&gt;CONFIG!$B$5,C500&lt;0,C500&gt;1000000,D500&lt;0,D500&gt;1000000,E500&lt;0,E500&gt;1000000,E500&gt;D500,ABS(F500)&gt;1000000000,ABS(G500)&gt;1000000000,ROUND(F500,2)&lt;&gt;F500,AND(G500&lt;&gt;"",ROUND(G500,2)&lt;&gt;G500)),"REVISAR VALOR","OK"))))),"REVISAR VALOR")</f>
        <v/>
      </c>
    </row>
    <row r="501" spans="1:9" x14ac:dyDescent="0.45">
      <c r="A501" s="4"/>
      <c r="B501" s="8"/>
      <c r="C501" s="5"/>
      <c r="D501" s="5"/>
      <c r="E501" s="5"/>
      <c r="F501" s="7"/>
      <c r="G501" s="7"/>
      <c r="H501" s="8"/>
      <c r="I501" s="12" t="str">
        <f>IFERROR(IF(COUNTA(A501:H501)=0,"",IF(OR(A501="",B501="",C501="",D501="",E501="",F501=""),"FALTA CAMPO",IF(COUNTIFS($A$6:$A$1005,A501,$B$6:$B$1005,B501)&gt;1,"DUPLICADO FECHA-SKU",IF(COUNTIF(CATALOGO!$A$6:$A$105,B501)&lt;&gt;1,"SKU NO VALIDO",IF(OR(A501&lt;DATE(1900,1,1),A501&gt;DATE(2100,12,31),A501&gt;CONFIG!$B$5,C501&lt;0,C501&gt;1000000,D501&lt;0,D501&gt;1000000,E501&lt;0,E501&gt;1000000,E501&gt;D501,ABS(F501)&gt;1000000000,ABS(G501)&gt;1000000000,ROUND(F501,2)&lt;&gt;F501,AND(G501&lt;&gt;"",ROUND(G501,2)&lt;&gt;G501)),"REVISAR VALOR","OK"))))),"REVISAR VALOR")</f>
        <v/>
      </c>
    </row>
    <row r="502" spans="1:9" x14ac:dyDescent="0.45">
      <c r="A502" s="4"/>
      <c r="B502" s="8"/>
      <c r="C502" s="5"/>
      <c r="D502" s="5"/>
      <c r="E502" s="5"/>
      <c r="F502" s="7"/>
      <c r="G502" s="7"/>
      <c r="H502" s="8"/>
      <c r="I502" s="12" t="str">
        <f>IFERROR(IF(COUNTA(A502:H502)=0,"",IF(OR(A502="",B502="",C502="",D502="",E502="",F502=""),"FALTA CAMPO",IF(COUNTIFS($A$6:$A$1005,A502,$B$6:$B$1005,B502)&gt;1,"DUPLICADO FECHA-SKU",IF(COUNTIF(CATALOGO!$A$6:$A$105,B502)&lt;&gt;1,"SKU NO VALIDO",IF(OR(A502&lt;DATE(1900,1,1),A502&gt;DATE(2100,12,31),A502&gt;CONFIG!$B$5,C502&lt;0,C502&gt;1000000,D502&lt;0,D502&gt;1000000,E502&lt;0,E502&gt;1000000,E502&gt;D502,ABS(F502)&gt;1000000000,ABS(G502)&gt;1000000000,ROUND(F502,2)&lt;&gt;F502,AND(G502&lt;&gt;"",ROUND(G502,2)&lt;&gt;G502)),"REVISAR VALOR","OK"))))),"REVISAR VALOR")</f>
        <v/>
      </c>
    </row>
    <row r="503" spans="1:9" x14ac:dyDescent="0.45">
      <c r="A503" s="4"/>
      <c r="B503" s="8"/>
      <c r="C503" s="5"/>
      <c r="D503" s="5"/>
      <c r="E503" s="5"/>
      <c r="F503" s="7"/>
      <c r="G503" s="7"/>
      <c r="H503" s="8"/>
      <c r="I503" s="12" t="str">
        <f>IFERROR(IF(COUNTA(A503:H503)=0,"",IF(OR(A503="",B503="",C503="",D503="",E503="",F503=""),"FALTA CAMPO",IF(COUNTIFS($A$6:$A$1005,A503,$B$6:$B$1005,B503)&gt;1,"DUPLICADO FECHA-SKU",IF(COUNTIF(CATALOGO!$A$6:$A$105,B503)&lt;&gt;1,"SKU NO VALIDO",IF(OR(A503&lt;DATE(1900,1,1),A503&gt;DATE(2100,12,31),A503&gt;CONFIG!$B$5,C503&lt;0,C503&gt;1000000,D503&lt;0,D503&gt;1000000,E503&lt;0,E503&gt;1000000,E503&gt;D503,ABS(F503)&gt;1000000000,ABS(G503)&gt;1000000000,ROUND(F503,2)&lt;&gt;F503,AND(G503&lt;&gt;"",ROUND(G503,2)&lt;&gt;G503)),"REVISAR VALOR","OK"))))),"REVISAR VALOR")</f>
        <v/>
      </c>
    </row>
    <row r="504" spans="1:9" x14ac:dyDescent="0.45">
      <c r="A504" s="4"/>
      <c r="B504" s="8"/>
      <c r="C504" s="5"/>
      <c r="D504" s="5"/>
      <c r="E504" s="5"/>
      <c r="F504" s="7"/>
      <c r="G504" s="7"/>
      <c r="H504" s="8"/>
      <c r="I504" s="12" t="str">
        <f>IFERROR(IF(COUNTA(A504:H504)=0,"",IF(OR(A504="",B504="",C504="",D504="",E504="",F504=""),"FALTA CAMPO",IF(COUNTIFS($A$6:$A$1005,A504,$B$6:$B$1005,B504)&gt;1,"DUPLICADO FECHA-SKU",IF(COUNTIF(CATALOGO!$A$6:$A$105,B504)&lt;&gt;1,"SKU NO VALIDO",IF(OR(A504&lt;DATE(1900,1,1),A504&gt;DATE(2100,12,31),A504&gt;CONFIG!$B$5,C504&lt;0,C504&gt;1000000,D504&lt;0,D504&gt;1000000,E504&lt;0,E504&gt;1000000,E504&gt;D504,ABS(F504)&gt;1000000000,ABS(G504)&gt;1000000000,ROUND(F504,2)&lt;&gt;F504,AND(G504&lt;&gt;"",ROUND(G504,2)&lt;&gt;G504)),"REVISAR VALOR","OK"))))),"REVISAR VALOR")</f>
        <v/>
      </c>
    </row>
    <row r="505" spans="1:9" x14ac:dyDescent="0.45">
      <c r="A505" s="4"/>
      <c r="B505" s="8"/>
      <c r="C505" s="5"/>
      <c r="D505" s="5"/>
      <c r="E505" s="5"/>
      <c r="F505" s="7"/>
      <c r="G505" s="7"/>
      <c r="H505" s="8"/>
      <c r="I505" s="12" t="str">
        <f>IFERROR(IF(COUNTA(A505:H505)=0,"",IF(OR(A505="",B505="",C505="",D505="",E505="",F505=""),"FALTA CAMPO",IF(COUNTIFS($A$6:$A$1005,A505,$B$6:$B$1005,B505)&gt;1,"DUPLICADO FECHA-SKU",IF(COUNTIF(CATALOGO!$A$6:$A$105,B505)&lt;&gt;1,"SKU NO VALIDO",IF(OR(A505&lt;DATE(1900,1,1),A505&gt;DATE(2100,12,31),A505&gt;CONFIG!$B$5,C505&lt;0,C505&gt;1000000,D505&lt;0,D505&gt;1000000,E505&lt;0,E505&gt;1000000,E505&gt;D505,ABS(F505)&gt;1000000000,ABS(G505)&gt;1000000000,ROUND(F505,2)&lt;&gt;F505,AND(G505&lt;&gt;"",ROUND(G505,2)&lt;&gt;G505)),"REVISAR VALOR","OK"))))),"REVISAR VALOR")</f>
        <v/>
      </c>
    </row>
    <row r="506" spans="1:9" x14ac:dyDescent="0.45">
      <c r="A506" s="4"/>
      <c r="B506" s="8"/>
      <c r="C506" s="5"/>
      <c r="D506" s="5"/>
      <c r="E506" s="5"/>
      <c r="F506" s="7"/>
      <c r="G506" s="7"/>
      <c r="H506" s="8"/>
      <c r="I506" s="12" t="str">
        <f>IFERROR(IF(COUNTA(A506:H506)=0,"",IF(OR(A506="",B506="",C506="",D506="",E506="",F506=""),"FALTA CAMPO",IF(COUNTIFS($A$6:$A$1005,A506,$B$6:$B$1005,B506)&gt;1,"DUPLICADO FECHA-SKU",IF(COUNTIF(CATALOGO!$A$6:$A$105,B506)&lt;&gt;1,"SKU NO VALIDO",IF(OR(A506&lt;DATE(1900,1,1),A506&gt;DATE(2100,12,31),A506&gt;CONFIG!$B$5,C506&lt;0,C506&gt;1000000,D506&lt;0,D506&gt;1000000,E506&lt;0,E506&gt;1000000,E506&gt;D506,ABS(F506)&gt;1000000000,ABS(G506)&gt;1000000000,ROUND(F506,2)&lt;&gt;F506,AND(G506&lt;&gt;"",ROUND(G506,2)&lt;&gt;G506)),"REVISAR VALOR","OK"))))),"REVISAR VALOR")</f>
        <v/>
      </c>
    </row>
    <row r="507" spans="1:9" x14ac:dyDescent="0.45">
      <c r="A507" s="4"/>
      <c r="B507" s="8"/>
      <c r="C507" s="5"/>
      <c r="D507" s="5"/>
      <c r="E507" s="5"/>
      <c r="F507" s="7"/>
      <c r="G507" s="7"/>
      <c r="H507" s="8"/>
      <c r="I507" s="12" t="str">
        <f>IFERROR(IF(COUNTA(A507:H507)=0,"",IF(OR(A507="",B507="",C507="",D507="",E507="",F507=""),"FALTA CAMPO",IF(COUNTIFS($A$6:$A$1005,A507,$B$6:$B$1005,B507)&gt;1,"DUPLICADO FECHA-SKU",IF(COUNTIF(CATALOGO!$A$6:$A$105,B507)&lt;&gt;1,"SKU NO VALIDO",IF(OR(A507&lt;DATE(1900,1,1),A507&gt;DATE(2100,12,31),A507&gt;CONFIG!$B$5,C507&lt;0,C507&gt;1000000,D507&lt;0,D507&gt;1000000,E507&lt;0,E507&gt;1000000,E507&gt;D507,ABS(F507)&gt;1000000000,ABS(G507)&gt;1000000000,ROUND(F507,2)&lt;&gt;F507,AND(G507&lt;&gt;"",ROUND(G507,2)&lt;&gt;G507)),"REVISAR VALOR","OK"))))),"REVISAR VALOR")</f>
        <v/>
      </c>
    </row>
    <row r="508" spans="1:9" x14ac:dyDescent="0.45">
      <c r="A508" s="4"/>
      <c r="B508" s="8"/>
      <c r="C508" s="5"/>
      <c r="D508" s="5"/>
      <c r="E508" s="5"/>
      <c r="F508" s="7"/>
      <c r="G508" s="7"/>
      <c r="H508" s="8"/>
      <c r="I508" s="12" t="str">
        <f>IFERROR(IF(COUNTA(A508:H508)=0,"",IF(OR(A508="",B508="",C508="",D508="",E508="",F508=""),"FALTA CAMPO",IF(COUNTIFS($A$6:$A$1005,A508,$B$6:$B$1005,B508)&gt;1,"DUPLICADO FECHA-SKU",IF(COUNTIF(CATALOGO!$A$6:$A$105,B508)&lt;&gt;1,"SKU NO VALIDO",IF(OR(A508&lt;DATE(1900,1,1),A508&gt;DATE(2100,12,31),A508&gt;CONFIG!$B$5,C508&lt;0,C508&gt;1000000,D508&lt;0,D508&gt;1000000,E508&lt;0,E508&gt;1000000,E508&gt;D508,ABS(F508)&gt;1000000000,ABS(G508)&gt;1000000000,ROUND(F508,2)&lt;&gt;F508,AND(G508&lt;&gt;"",ROUND(G508,2)&lt;&gt;G508)),"REVISAR VALOR","OK"))))),"REVISAR VALOR")</f>
        <v/>
      </c>
    </row>
    <row r="509" spans="1:9" x14ac:dyDescent="0.45">
      <c r="A509" s="4"/>
      <c r="B509" s="8"/>
      <c r="C509" s="5"/>
      <c r="D509" s="5"/>
      <c r="E509" s="5"/>
      <c r="F509" s="7"/>
      <c r="G509" s="7"/>
      <c r="H509" s="8"/>
      <c r="I509" s="12" t="str">
        <f>IFERROR(IF(COUNTA(A509:H509)=0,"",IF(OR(A509="",B509="",C509="",D509="",E509="",F509=""),"FALTA CAMPO",IF(COUNTIFS($A$6:$A$1005,A509,$B$6:$B$1005,B509)&gt;1,"DUPLICADO FECHA-SKU",IF(COUNTIF(CATALOGO!$A$6:$A$105,B509)&lt;&gt;1,"SKU NO VALIDO",IF(OR(A509&lt;DATE(1900,1,1),A509&gt;DATE(2100,12,31),A509&gt;CONFIG!$B$5,C509&lt;0,C509&gt;1000000,D509&lt;0,D509&gt;1000000,E509&lt;0,E509&gt;1000000,E509&gt;D509,ABS(F509)&gt;1000000000,ABS(G509)&gt;1000000000,ROUND(F509,2)&lt;&gt;F509,AND(G509&lt;&gt;"",ROUND(G509,2)&lt;&gt;G509)),"REVISAR VALOR","OK"))))),"REVISAR VALOR")</f>
        <v/>
      </c>
    </row>
    <row r="510" spans="1:9" x14ac:dyDescent="0.45">
      <c r="A510" s="4"/>
      <c r="B510" s="8"/>
      <c r="C510" s="5"/>
      <c r="D510" s="5"/>
      <c r="E510" s="5"/>
      <c r="F510" s="7"/>
      <c r="G510" s="7"/>
      <c r="H510" s="8"/>
      <c r="I510" s="12" t="str">
        <f>IFERROR(IF(COUNTA(A510:H510)=0,"",IF(OR(A510="",B510="",C510="",D510="",E510="",F510=""),"FALTA CAMPO",IF(COUNTIFS($A$6:$A$1005,A510,$B$6:$B$1005,B510)&gt;1,"DUPLICADO FECHA-SKU",IF(COUNTIF(CATALOGO!$A$6:$A$105,B510)&lt;&gt;1,"SKU NO VALIDO",IF(OR(A510&lt;DATE(1900,1,1),A510&gt;DATE(2100,12,31),A510&gt;CONFIG!$B$5,C510&lt;0,C510&gt;1000000,D510&lt;0,D510&gt;1000000,E510&lt;0,E510&gt;1000000,E510&gt;D510,ABS(F510)&gt;1000000000,ABS(G510)&gt;1000000000,ROUND(F510,2)&lt;&gt;F510,AND(G510&lt;&gt;"",ROUND(G510,2)&lt;&gt;G510)),"REVISAR VALOR","OK"))))),"REVISAR VALOR")</f>
        <v/>
      </c>
    </row>
    <row r="511" spans="1:9" x14ac:dyDescent="0.45">
      <c r="A511" s="4"/>
      <c r="B511" s="8"/>
      <c r="C511" s="5"/>
      <c r="D511" s="5"/>
      <c r="E511" s="5"/>
      <c r="F511" s="7"/>
      <c r="G511" s="7"/>
      <c r="H511" s="8"/>
      <c r="I511" s="12" t="str">
        <f>IFERROR(IF(COUNTA(A511:H511)=0,"",IF(OR(A511="",B511="",C511="",D511="",E511="",F511=""),"FALTA CAMPO",IF(COUNTIFS($A$6:$A$1005,A511,$B$6:$B$1005,B511)&gt;1,"DUPLICADO FECHA-SKU",IF(COUNTIF(CATALOGO!$A$6:$A$105,B511)&lt;&gt;1,"SKU NO VALIDO",IF(OR(A511&lt;DATE(1900,1,1),A511&gt;DATE(2100,12,31),A511&gt;CONFIG!$B$5,C511&lt;0,C511&gt;1000000,D511&lt;0,D511&gt;1000000,E511&lt;0,E511&gt;1000000,E511&gt;D511,ABS(F511)&gt;1000000000,ABS(G511)&gt;1000000000,ROUND(F511,2)&lt;&gt;F511,AND(G511&lt;&gt;"",ROUND(G511,2)&lt;&gt;G511)),"REVISAR VALOR","OK"))))),"REVISAR VALOR")</f>
        <v/>
      </c>
    </row>
    <row r="512" spans="1:9" x14ac:dyDescent="0.45">
      <c r="A512" s="4"/>
      <c r="B512" s="8"/>
      <c r="C512" s="5"/>
      <c r="D512" s="5"/>
      <c r="E512" s="5"/>
      <c r="F512" s="7"/>
      <c r="G512" s="7"/>
      <c r="H512" s="8"/>
      <c r="I512" s="12" t="str">
        <f>IFERROR(IF(COUNTA(A512:H512)=0,"",IF(OR(A512="",B512="",C512="",D512="",E512="",F512=""),"FALTA CAMPO",IF(COUNTIFS($A$6:$A$1005,A512,$B$6:$B$1005,B512)&gt;1,"DUPLICADO FECHA-SKU",IF(COUNTIF(CATALOGO!$A$6:$A$105,B512)&lt;&gt;1,"SKU NO VALIDO",IF(OR(A512&lt;DATE(1900,1,1),A512&gt;DATE(2100,12,31),A512&gt;CONFIG!$B$5,C512&lt;0,C512&gt;1000000,D512&lt;0,D512&gt;1000000,E512&lt;0,E512&gt;1000000,E512&gt;D512,ABS(F512)&gt;1000000000,ABS(G512)&gt;1000000000,ROUND(F512,2)&lt;&gt;F512,AND(G512&lt;&gt;"",ROUND(G512,2)&lt;&gt;G512)),"REVISAR VALOR","OK"))))),"REVISAR VALOR")</f>
        <v/>
      </c>
    </row>
    <row r="513" spans="1:9" x14ac:dyDescent="0.45">
      <c r="A513" s="4"/>
      <c r="B513" s="8"/>
      <c r="C513" s="5"/>
      <c r="D513" s="5"/>
      <c r="E513" s="5"/>
      <c r="F513" s="7"/>
      <c r="G513" s="7"/>
      <c r="H513" s="8"/>
      <c r="I513" s="12" t="str">
        <f>IFERROR(IF(COUNTA(A513:H513)=0,"",IF(OR(A513="",B513="",C513="",D513="",E513="",F513=""),"FALTA CAMPO",IF(COUNTIFS($A$6:$A$1005,A513,$B$6:$B$1005,B513)&gt;1,"DUPLICADO FECHA-SKU",IF(COUNTIF(CATALOGO!$A$6:$A$105,B513)&lt;&gt;1,"SKU NO VALIDO",IF(OR(A513&lt;DATE(1900,1,1),A513&gt;DATE(2100,12,31),A513&gt;CONFIG!$B$5,C513&lt;0,C513&gt;1000000,D513&lt;0,D513&gt;1000000,E513&lt;0,E513&gt;1000000,E513&gt;D513,ABS(F513)&gt;1000000000,ABS(G513)&gt;1000000000,ROUND(F513,2)&lt;&gt;F513,AND(G513&lt;&gt;"",ROUND(G513,2)&lt;&gt;G513)),"REVISAR VALOR","OK"))))),"REVISAR VALOR")</f>
        <v/>
      </c>
    </row>
    <row r="514" spans="1:9" x14ac:dyDescent="0.45">
      <c r="A514" s="4"/>
      <c r="B514" s="8"/>
      <c r="C514" s="5"/>
      <c r="D514" s="5"/>
      <c r="E514" s="5"/>
      <c r="F514" s="7"/>
      <c r="G514" s="7"/>
      <c r="H514" s="8"/>
      <c r="I514" s="12" t="str">
        <f>IFERROR(IF(COUNTA(A514:H514)=0,"",IF(OR(A514="",B514="",C514="",D514="",E514="",F514=""),"FALTA CAMPO",IF(COUNTIFS($A$6:$A$1005,A514,$B$6:$B$1005,B514)&gt;1,"DUPLICADO FECHA-SKU",IF(COUNTIF(CATALOGO!$A$6:$A$105,B514)&lt;&gt;1,"SKU NO VALIDO",IF(OR(A514&lt;DATE(1900,1,1),A514&gt;DATE(2100,12,31),A514&gt;CONFIG!$B$5,C514&lt;0,C514&gt;1000000,D514&lt;0,D514&gt;1000000,E514&lt;0,E514&gt;1000000,E514&gt;D514,ABS(F514)&gt;1000000000,ABS(G514)&gt;1000000000,ROUND(F514,2)&lt;&gt;F514,AND(G514&lt;&gt;"",ROUND(G514,2)&lt;&gt;G514)),"REVISAR VALOR","OK"))))),"REVISAR VALOR")</f>
        <v/>
      </c>
    </row>
    <row r="515" spans="1:9" x14ac:dyDescent="0.45">
      <c r="A515" s="4"/>
      <c r="B515" s="8"/>
      <c r="C515" s="5"/>
      <c r="D515" s="5"/>
      <c r="E515" s="5"/>
      <c r="F515" s="7"/>
      <c r="G515" s="7"/>
      <c r="H515" s="8"/>
      <c r="I515" s="12" t="str">
        <f>IFERROR(IF(COUNTA(A515:H515)=0,"",IF(OR(A515="",B515="",C515="",D515="",E515="",F515=""),"FALTA CAMPO",IF(COUNTIFS($A$6:$A$1005,A515,$B$6:$B$1005,B515)&gt;1,"DUPLICADO FECHA-SKU",IF(COUNTIF(CATALOGO!$A$6:$A$105,B515)&lt;&gt;1,"SKU NO VALIDO",IF(OR(A515&lt;DATE(1900,1,1),A515&gt;DATE(2100,12,31),A515&gt;CONFIG!$B$5,C515&lt;0,C515&gt;1000000,D515&lt;0,D515&gt;1000000,E515&lt;0,E515&gt;1000000,E515&gt;D515,ABS(F515)&gt;1000000000,ABS(G515)&gt;1000000000,ROUND(F515,2)&lt;&gt;F515,AND(G515&lt;&gt;"",ROUND(G515,2)&lt;&gt;G515)),"REVISAR VALOR","OK"))))),"REVISAR VALOR")</f>
        <v/>
      </c>
    </row>
    <row r="516" spans="1:9" x14ac:dyDescent="0.45">
      <c r="A516" s="4"/>
      <c r="B516" s="8"/>
      <c r="C516" s="5"/>
      <c r="D516" s="5"/>
      <c r="E516" s="5"/>
      <c r="F516" s="7"/>
      <c r="G516" s="7"/>
      <c r="H516" s="8"/>
      <c r="I516" s="12" t="str">
        <f>IFERROR(IF(COUNTA(A516:H516)=0,"",IF(OR(A516="",B516="",C516="",D516="",E516="",F516=""),"FALTA CAMPO",IF(COUNTIFS($A$6:$A$1005,A516,$B$6:$B$1005,B516)&gt;1,"DUPLICADO FECHA-SKU",IF(COUNTIF(CATALOGO!$A$6:$A$105,B516)&lt;&gt;1,"SKU NO VALIDO",IF(OR(A516&lt;DATE(1900,1,1),A516&gt;DATE(2100,12,31),A516&gt;CONFIG!$B$5,C516&lt;0,C516&gt;1000000,D516&lt;0,D516&gt;1000000,E516&lt;0,E516&gt;1000000,E516&gt;D516,ABS(F516)&gt;1000000000,ABS(G516)&gt;1000000000,ROUND(F516,2)&lt;&gt;F516,AND(G516&lt;&gt;"",ROUND(G516,2)&lt;&gt;G516)),"REVISAR VALOR","OK"))))),"REVISAR VALOR")</f>
        <v/>
      </c>
    </row>
    <row r="517" spans="1:9" x14ac:dyDescent="0.45">
      <c r="A517" s="4"/>
      <c r="B517" s="8"/>
      <c r="C517" s="5"/>
      <c r="D517" s="5"/>
      <c r="E517" s="5"/>
      <c r="F517" s="7"/>
      <c r="G517" s="7"/>
      <c r="H517" s="8"/>
      <c r="I517" s="12" t="str">
        <f>IFERROR(IF(COUNTA(A517:H517)=0,"",IF(OR(A517="",B517="",C517="",D517="",E517="",F517=""),"FALTA CAMPO",IF(COUNTIFS($A$6:$A$1005,A517,$B$6:$B$1005,B517)&gt;1,"DUPLICADO FECHA-SKU",IF(COUNTIF(CATALOGO!$A$6:$A$105,B517)&lt;&gt;1,"SKU NO VALIDO",IF(OR(A517&lt;DATE(1900,1,1),A517&gt;DATE(2100,12,31),A517&gt;CONFIG!$B$5,C517&lt;0,C517&gt;1000000,D517&lt;0,D517&gt;1000000,E517&lt;0,E517&gt;1000000,E517&gt;D517,ABS(F517)&gt;1000000000,ABS(G517)&gt;1000000000,ROUND(F517,2)&lt;&gt;F517,AND(G517&lt;&gt;"",ROUND(G517,2)&lt;&gt;G517)),"REVISAR VALOR","OK"))))),"REVISAR VALOR")</f>
        <v/>
      </c>
    </row>
    <row r="518" spans="1:9" x14ac:dyDescent="0.45">
      <c r="A518" s="4"/>
      <c r="B518" s="8"/>
      <c r="C518" s="5"/>
      <c r="D518" s="5"/>
      <c r="E518" s="5"/>
      <c r="F518" s="7"/>
      <c r="G518" s="7"/>
      <c r="H518" s="8"/>
      <c r="I518" s="12" t="str">
        <f>IFERROR(IF(COUNTA(A518:H518)=0,"",IF(OR(A518="",B518="",C518="",D518="",E518="",F518=""),"FALTA CAMPO",IF(COUNTIFS($A$6:$A$1005,A518,$B$6:$B$1005,B518)&gt;1,"DUPLICADO FECHA-SKU",IF(COUNTIF(CATALOGO!$A$6:$A$105,B518)&lt;&gt;1,"SKU NO VALIDO",IF(OR(A518&lt;DATE(1900,1,1),A518&gt;DATE(2100,12,31),A518&gt;CONFIG!$B$5,C518&lt;0,C518&gt;1000000,D518&lt;0,D518&gt;1000000,E518&lt;0,E518&gt;1000000,E518&gt;D518,ABS(F518)&gt;1000000000,ABS(G518)&gt;1000000000,ROUND(F518,2)&lt;&gt;F518,AND(G518&lt;&gt;"",ROUND(G518,2)&lt;&gt;G518)),"REVISAR VALOR","OK"))))),"REVISAR VALOR")</f>
        <v/>
      </c>
    </row>
    <row r="519" spans="1:9" x14ac:dyDescent="0.45">
      <c r="A519" s="4"/>
      <c r="B519" s="8"/>
      <c r="C519" s="5"/>
      <c r="D519" s="5"/>
      <c r="E519" s="5"/>
      <c r="F519" s="7"/>
      <c r="G519" s="7"/>
      <c r="H519" s="8"/>
      <c r="I519" s="12" t="str">
        <f>IFERROR(IF(COUNTA(A519:H519)=0,"",IF(OR(A519="",B519="",C519="",D519="",E519="",F519=""),"FALTA CAMPO",IF(COUNTIFS($A$6:$A$1005,A519,$B$6:$B$1005,B519)&gt;1,"DUPLICADO FECHA-SKU",IF(COUNTIF(CATALOGO!$A$6:$A$105,B519)&lt;&gt;1,"SKU NO VALIDO",IF(OR(A519&lt;DATE(1900,1,1),A519&gt;DATE(2100,12,31),A519&gt;CONFIG!$B$5,C519&lt;0,C519&gt;1000000,D519&lt;0,D519&gt;1000000,E519&lt;0,E519&gt;1000000,E519&gt;D519,ABS(F519)&gt;1000000000,ABS(G519)&gt;1000000000,ROUND(F519,2)&lt;&gt;F519,AND(G519&lt;&gt;"",ROUND(G519,2)&lt;&gt;G519)),"REVISAR VALOR","OK"))))),"REVISAR VALOR")</f>
        <v/>
      </c>
    </row>
    <row r="520" spans="1:9" x14ac:dyDescent="0.45">
      <c r="A520" s="4"/>
      <c r="B520" s="8"/>
      <c r="C520" s="5"/>
      <c r="D520" s="5"/>
      <c r="E520" s="5"/>
      <c r="F520" s="7"/>
      <c r="G520" s="7"/>
      <c r="H520" s="8"/>
      <c r="I520" s="12" t="str">
        <f>IFERROR(IF(COUNTA(A520:H520)=0,"",IF(OR(A520="",B520="",C520="",D520="",E520="",F520=""),"FALTA CAMPO",IF(COUNTIFS($A$6:$A$1005,A520,$B$6:$B$1005,B520)&gt;1,"DUPLICADO FECHA-SKU",IF(COUNTIF(CATALOGO!$A$6:$A$105,B520)&lt;&gt;1,"SKU NO VALIDO",IF(OR(A520&lt;DATE(1900,1,1),A520&gt;DATE(2100,12,31),A520&gt;CONFIG!$B$5,C520&lt;0,C520&gt;1000000,D520&lt;0,D520&gt;1000000,E520&lt;0,E520&gt;1000000,E520&gt;D520,ABS(F520)&gt;1000000000,ABS(G520)&gt;1000000000,ROUND(F520,2)&lt;&gt;F520,AND(G520&lt;&gt;"",ROUND(G520,2)&lt;&gt;G520)),"REVISAR VALOR","OK"))))),"REVISAR VALOR")</f>
        <v/>
      </c>
    </row>
    <row r="521" spans="1:9" x14ac:dyDescent="0.45">
      <c r="A521" s="4"/>
      <c r="B521" s="8"/>
      <c r="C521" s="5"/>
      <c r="D521" s="5"/>
      <c r="E521" s="5"/>
      <c r="F521" s="7"/>
      <c r="G521" s="7"/>
      <c r="H521" s="8"/>
      <c r="I521" s="12" t="str">
        <f>IFERROR(IF(COUNTA(A521:H521)=0,"",IF(OR(A521="",B521="",C521="",D521="",E521="",F521=""),"FALTA CAMPO",IF(COUNTIFS($A$6:$A$1005,A521,$B$6:$B$1005,B521)&gt;1,"DUPLICADO FECHA-SKU",IF(COUNTIF(CATALOGO!$A$6:$A$105,B521)&lt;&gt;1,"SKU NO VALIDO",IF(OR(A521&lt;DATE(1900,1,1),A521&gt;DATE(2100,12,31),A521&gt;CONFIG!$B$5,C521&lt;0,C521&gt;1000000,D521&lt;0,D521&gt;1000000,E521&lt;0,E521&gt;1000000,E521&gt;D521,ABS(F521)&gt;1000000000,ABS(G521)&gt;1000000000,ROUND(F521,2)&lt;&gt;F521,AND(G521&lt;&gt;"",ROUND(G521,2)&lt;&gt;G521)),"REVISAR VALOR","OK"))))),"REVISAR VALOR")</f>
        <v/>
      </c>
    </row>
    <row r="522" spans="1:9" x14ac:dyDescent="0.45">
      <c r="A522" s="4"/>
      <c r="B522" s="8"/>
      <c r="C522" s="5"/>
      <c r="D522" s="5"/>
      <c r="E522" s="5"/>
      <c r="F522" s="7"/>
      <c r="G522" s="7"/>
      <c r="H522" s="8"/>
      <c r="I522" s="12" t="str">
        <f>IFERROR(IF(COUNTA(A522:H522)=0,"",IF(OR(A522="",B522="",C522="",D522="",E522="",F522=""),"FALTA CAMPO",IF(COUNTIFS($A$6:$A$1005,A522,$B$6:$B$1005,B522)&gt;1,"DUPLICADO FECHA-SKU",IF(COUNTIF(CATALOGO!$A$6:$A$105,B522)&lt;&gt;1,"SKU NO VALIDO",IF(OR(A522&lt;DATE(1900,1,1),A522&gt;DATE(2100,12,31),A522&gt;CONFIG!$B$5,C522&lt;0,C522&gt;1000000,D522&lt;0,D522&gt;1000000,E522&lt;0,E522&gt;1000000,E522&gt;D522,ABS(F522)&gt;1000000000,ABS(G522)&gt;1000000000,ROUND(F522,2)&lt;&gt;F522,AND(G522&lt;&gt;"",ROUND(G522,2)&lt;&gt;G522)),"REVISAR VALOR","OK"))))),"REVISAR VALOR")</f>
        <v/>
      </c>
    </row>
    <row r="523" spans="1:9" x14ac:dyDescent="0.45">
      <c r="A523" s="4"/>
      <c r="B523" s="8"/>
      <c r="C523" s="5"/>
      <c r="D523" s="5"/>
      <c r="E523" s="5"/>
      <c r="F523" s="7"/>
      <c r="G523" s="7"/>
      <c r="H523" s="8"/>
      <c r="I523" s="12" t="str">
        <f>IFERROR(IF(COUNTA(A523:H523)=0,"",IF(OR(A523="",B523="",C523="",D523="",E523="",F523=""),"FALTA CAMPO",IF(COUNTIFS($A$6:$A$1005,A523,$B$6:$B$1005,B523)&gt;1,"DUPLICADO FECHA-SKU",IF(COUNTIF(CATALOGO!$A$6:$A$105,B523)&lt;&gt;1,"SKU NO VALIDO",IF(OR(A523&lt;DATE(1900,1,1),A523&gt;DATE(2100,12,31),A523&gt;CONFIG!$B$5,C523&lt;0,C523&gt;1000000,D523&lt;0,D523&gt;1000000,E523&lt;0,E523&gt;1000000,E523&gt;D523,ABS(F523)&gt;1000000000,ABS(G523)&gt;1000000000,ROUND(F523,2)&lt;&gt;F523,AND(G523&lt;&gt;"",ROUND(G523,2)&lt;&gt;G523)),"REVISAR VALOR","OK"))))),"REVISAR VALOR")</f>
        <v/>
      </c>
    </row>
    <row r="524" spans="1:9" x14ac:dyDescent="0.45">
      <c r="A524" s="4"/>
      <c r="B524" s="8"/>
      <c r="C524" s="5"/>
      <c r="D524" s="5"/>
      <c r="E524" s="5"/>
      <c r="F524" s="7"/>
      <c r="G524" s="7"/>
      <c r="H524" s="8"/>
      <c r="I524" s="12" t="str">
        <f>IFERROR(IF(COUNTA(A524:H524)=0,"",IF(OR(A524="",B524="",C524="",D524="",E524="",F524=""),"FALTA CAMPO",IF(COUNTIFS($A$6:$A$1005,A524,$B$6:$B$1005,B524)&gt;1,"DUPLICADO FECHA-SKU",IF(COUNTIF(CATALOGO!$A$6:$A$105,B524)&lt;&gt;1,"SKU NO VALIDO",IF(OR(A524&lt;DATE(1900,1,1),A524&gt;DATE(2100,12,31),A524&gt;CONFIG!$B$5,C524&lt;0,C524&gt;1000000,D524&lt;0,D524&gt;1000000,E524&lt;0,E524&gt;1000000,E524&gt;D524,ABS(F524)&gt;1000000000,ABS(G524)&gt;1000000000,ROUND(F524,2)&lt;&gt;F524,AND(G524&lt;&gt;"",ROUND(G524,2)&lt;&gt;G524)),"REVISAR VALOR","OK"))))),"REVISAR VALOR")</f>
        <v/>
      </c>
    </row>
    <row r="525" spans="1:9" x14ac:dyDescent="0.45">
      <c r="A525" s="4"/>
      <c r="B525" s="8"/>
      <c r="C525" s="5"/>
      <c r="D525" s="5"/>
      <c r="E525" s="5"/>
      <c r="F525" s="7"/>
      <c r="G525" s="7"/>
      <c r="H525" s="8"/>
      <c r="I525" s="12" t="str">
        <f>IFERROR(IF(COUNTA(A525:H525)=0,"",IF(OR(A525="",B525="",C525="",D525="",E525="",F525=""),"FALTA CAMPO",IF(COUNTIFS($A$6:$A$1005,A525,$B$6:$B$1005,B525)&gt;1,"DUPLICADO FECHA-SKU",IF(COUNTIF(CATALOGO!$A$6:$A$105,B525)&lt;&gt;1,"SKU NO VALIDO",IF(OR(A525&lt;DATE(1900,1,1),A525&gt;DATE(2100,12,31),A525&gt;CONFIG!$B$5,C525&lt;0,C525&gt;1000000,D525&lt;0,D525&gt;1000000,E525&lt;0,E525&gt;1000000,E525&gt;D525,ABS(F525)&gt;1000000000,ABS(G525)&gt;1000000000,ROUND(F525,2)&lt;&gt;F525,AND(G525&lt;&gt;"",ROUND(G525,2)&lt;&gt;G525)),"REVISAR VALOR","OK"))))),"REVISAR VALOR")</f>
        <v/>
      </c>
    </row>
    <row r="526" spans="1:9" x14ac:dyDescent="0.45">
      <c r="A526" s="4"/>
      <c r="B526" s="8"/>
      <c r="C526" s="5"/>
      <c r="D526" s="5"/>
      <c r="E526" s="5"/>
      <c r="F526" s="7"/>
      <c r="G526" s="7"/>
      <c r="H526" s="8"/>
      <c r="I526" s="12" t="str">
        <f>IFERROR(IF(COUNTA(A526:H526)=0,"",IF(OR(A526="",B526="",C526="",D526="",E526="",F526=""),"FALTA CAMPO",IF(COUNTIFS($A$6:$A$1005,A526,$B$6:$B$1005,B526)&gt;1,"DUPLICADO FECHA-SKU",IF(COUNTIF(CATALOGO!$A$6:$A$105,B526)&lt;&gt;1,"SKU NO VALIDO",IF(OR(A526&lt;DATE(1900,1,1),A526&gt;DATE(2100,12,31),A526&gt;CONFIG!$B$5,C526&lt;0,C526&gt;1000000,D526&lt;0,D526&gt;1000000,E526&lt;0,E526&gt;1000000,E526&gt;D526,ABS(F526)&gt;1000000000,ABS(G526)&gt;1000000000,ROUND(F526,2)&lt;&gt;F526,AND(G526&lt;&gt;"",ROUND(G526,2)&lt;&gt;G526)),"REVISAR VALOR","OK"))))),"REVISAR VALOR")</f>
        <v/>
      </c>
    </row>
    <row r="527" spans="1:9" x14ac:dyDescent="0.45">
      <c r="A527" s="4"/>
      <c r="B527" s="8"/>
      <c r="C527" s="5"/>
      <c r="D527" s="5"/>
      <c r="E527" s="5"/>
      <c r="F527" s="7"/>
      <c r="G527" s="7"/>
      <c r="H527" s="8"/>
      <c r="I527" s="12" t="str">
        <f>IFERROR(IF(COUNTA(A527:H527)=0,"",IF(OR(A527="",B527="",C527="",D527="",E527="",F527=""),"FALTA CAMPO",IF(COUNTIFS($A$6:$A$1005,A527,$B$6:$B$1005,B527)&gt;1,"DUPLICADO FECHA-SKU",IF(COUNTIF(CATALOGO!$A$6:$A$105,B527)&lt;&gt;1,"SKU NO VALIDO",IF(OR(A527&lt;DATE(1900,1,1),A527&gt;DATE(2100,12,31),A527&gt;CONFIG!$B$5,C527&lt;0,C527&gt;1000000,D527&lt;0,D527&gt;1000000,E527&lt;0,E527&gt;1000000,E527&gt;D527,ABS(F527)&gt;1000000000,ABS(G527)&gt;1000000000,ROUND(F527,2)&lt;&gt;F527,AND(G527&lt;&gt;"",ROUND(G527,2)&lt;&gt;G527)),"REVISAR VALOR","OK"))))),"REVISAR VALOR")</f>
        <v/>
      </c>
    </row>
    <row r="528" spans="1:9" x14ac:dyDescent="0.45">
      <c r="A528" s="4"/>
      <c r="B528" s="8"/>
      <c r="C528" s="5"/>
      <c r="D528" s="5"/>
      <c r="E528" s="5"/>
      <c r="F528" s="7"/>
      <c r="G528" s="7"/>
      <c r="H528" s="8"/>
      <c r="I528" s="12" t="str">
        <f>IFERROR(IF(COUNTA(A528:H528)=0,"",IF(OR(A528="",B528="",C528="",D528="",E528="",F528=""),"FALTA CAMPO",IF(COUNTIFS($A$6:$A$1005,A528,$B$6:$B$1005,B528)&gt;1,"DUPLICADO FECHA-SKU",IF(COUNTIF(CATALOGO!$A$6:$A$105,B528)&lt;&gt;1,"SKU NO VALIDO",IF(OR(A528&lt;DATE(1900,1,1),A528&gt;DATE(2100,12,31),A528&gt;CONFIG!$B$5,C528&lt;0,C528&gt;1000000,D528&lt;0,D528&gt;1000000,E528&lt;0,E528&gt;1000000,E528&gt;D528,ABS(F528)&gt;1000000000,ABS(G528)&gt;1000000000,ROUND(F528,2)&lt;&gt;F528,AND(G528&lt;&gt;"",ROUND(G528,2)&lt;&gt;G528)),"REVISAR VALOR","OK"))))),"REVISAR VALOR")</f>
        <v/>
      </c>
    </row>
    <row r="529" spans="1:9" x14ac:dyDescent="0.45">
      <c r="A529" s="4"/>
      <c r="B529" s="8"/>
      <c r="C529" s="5"/>
      <c r="D529" s="5"/>
      <c r="E529" s="5"/>
      <c r="F529" s="7"/>
      <c r="G529" s="7"/>
      <c r="H529" s="8"/>
      <c r="I529" s="12" t="str">
        <f>IFERROR(IF(COUNTA(A529:H529)=0,"",IF(OR(A529="",B529="",C529="",D529="",E529="",F529=""),"FALTA CAMPO",IF(COUNTIFS($A$6:$A$1005,A529,$B$6:$B$1005,B529)&gt;1,"DUPLICADO FECHA-SKU",IF(COUNTIF(CATALOGO!$A$6:$A$105,B529)&lt;&gt;1,"SKU NO VALIDO",IF(OR(A529&lt;DATE(1900,1,1),A529&gt;DATE(2100,12,31),A529&gt;CONFIG!$B$5,C529&lt;0,C529&gt;1000000,D529&lt;0,D529&gt;1000000,E529&lt;0,E529&gt;1000000,E529&gt;D529,ABS(F529)&gt;1000000000,ABS(G529)&gt;1000000000,ROUND(F529,2)&lt;&gt;F529,AND(G529&lt;&gt;"",ROUND(G529,2)&lt;&gt;G529)),"REVISAR VALOR","OK"))))),"REVISAR VALOR")</f>
        <v/>
      </c>
    </row>
    <row r="530" spans="1:9" x14ac:dyDescent="0.45">
      <c r="A530" s="4"/>
      <c r="B530" s="8"/>
      <c r="C530" s="5"/>
      <c r="D530" s="5"/>
      <c r="E530" s="5"/>
      <c r="F530" s="7"/>
      <c r="G530" s="7"/>
      <c r="H530" s="8"/>
      <c r="I530" s="12" t="str">
        <f>IFERROR(IF(COUNTA(A530:H530)=0,"",IF(OR(A530="",B530="",C530="",D530="",E530="",F530=""),"FALTA CAMPO",IF(COUNTIFS($A$6:$A$1005,A530,$B$6:$B$1005,B530)&gt;1,"DUPLICADO FECHA-SKU",IF(COUNTIF(CATALOGO!$A$6:$A$105,B530)&lt;&gt;1,"SKU NO VALIDO",IF(OR(A530&lt;DATE(1900,1,1),A530&gt;DATE(2100,12,31),A530&gt;CONFIG!$B$5,C530&lt;0,C530&gt;1000000,D530&lt;0,D530&gt;1000000,E530&lt;0,E530&gt;1000000,E530&gt;D530,ABS(F530)&gt;1000000000,ABS(G530)&gt;1000000000,ROUND(F530,2)&lt;&gt;F530,AND(G530&lt;&gt;"",ROUND(G530,2)&lt;&gt;G530)),"REVISAR VALOR","OK"))))),"REVISAR VALOR")</f>
        <v/>
      </c>
    </row>
    <row r="531" spans="1:9" x14ac:dyDescent="0.45">
      <c r="A531" s="4"/>
      <c r="B531" s="8"/>
      <c r="C531" s="5"/>
      <c r="D531" s="5"/>
      <c r="E531" s="5"/>
      <c r="F531" s="7"/>
      <c r="G531" s="7"/>
      <c r="H531" s="8"/>
      <c r="I531" s="12" t="str">
        <f>IFERROR(IF(COUNTA(A531:H531)=0,"",IF(OR(A531="",B531="",C531="",D531="",E531="",F531=""),"FALTA CAMPO",IF(COUNTIFS($A$6:$A$1005,A531,$B$6:$B$1005,B531)&gt;1,"DUPLICADO FECHA-SKU",IF(COUNTIF(CATALOGO!$A$6:$A$105,B531)&lt;&gt;1,"SKU NO VALIDO",IF(OR(A531&lt;DATE(1900,1,1),A531&gt;DATE(2100,12,31),A531&gt;CONFIG!$B$5,C531&lt;0,C531&gt;1000000,D531&lt;0,D531&gt;1000000,E531&lt;0,E531&gt;1000000,E531&gt;D531,ABS(F531)&gt;1000000000,ABS(G531)&gt;1000000000,ROUND(F531,2)&lt;&gt;F531,AND(G531&lt;&gt;"",ROUND(G531,2)&lt;&gt;G531)),"REVISAR VALOR","OK"))))),"REVISAR VALOR")</f>
        <v/>
      </c>
    </row>
    <row r="532" spans="1:9" x14ac:dyDescent="0.45">
      <c r="A532" s="4"/>
      <c r="B532" s="8"/>
      <c r="C532" s="5"/>
      <c r="D532" s="5"/>
      <c r="E532" s="5"/>
      <c r="F532" s="7"/>
      <c r="G532" s="7"/>
      <c r="H532" s="8"/>
      <c r="I532" s="12" t="str">
        <f>IFERROR(IF(COUNTA(A532:H532)=0,"",IF(OR(A532="",B532="",C532="",D532="",E532="",F532=""),"FALTA CAMPO",IF(COUNTIFS($A$6:$A$1005,A532,$B$6:$B$1005,B532)&gt;1,"DUPLICADO FECHA-SKU",IF(COUNTIF(CATALOGO!$A$6:$A$105,B532)&lt;&gt;1,"SKU NO VALIDO",IF(OR(A532&lt;DATE(1900,1,1),A532&gt;DATE(2100,12,31),A532&gt;CONFIG!$B$5,C532&lt;0,C532&gt;1000000,D532&lt;0,D532&gt;1000000,E532&lt;0,E532&gt;1000000,E532&gt;D532,ABS(F532)&gt;1000000000,ABS(G532)&gt;1000000000,ROUND(F532,2)&lt;&gt;F532,AND(G532&lt;&gt;"",ROUND(G532,2)&lt;&gt;G532)),"REVISAR VALOR","OK"))))),"REVISAR VALOR")</f>
        <v/>
      </c>
    </row>
    <row r="533" spans="1:9" x14ac:dyDescent="0.45">
      <c r="A533" s="4"/>
      <c r="B533" s="8"/>
      <c r="C533" s="5"/>
      <c r="D533" s="5"/>
      <c r="E533" s="5"/>
      <c r="F533" s="7"/>
      <c r="G533" s="7"/>
      <c r="H533" s="8"/>
      <c r="I533" s="12" t="str">
        <f>IFERROR(IF(COUNTA(A533:H533)=0,"",IF(OR(A533="",B533="",C533="",D533="",E533="",F533=""),"FALTA CAMPO",IF(COUNTIFS($A$6:$A$1005,A533,$B$6:$B$1005,B533)&gt;1,"DUPLICADO FECHA-SKU",IF(COUNTIF(CATALOGO!$A$6:$A$105,B533)&lt;&gt;1,"SKU NO VALIDO",IF(OR(A533&lt;DATE(1900,1,1),A533&gt;DATE(2100,12,31),A533&gt;CONFIG!$B$5,C533&lt;0,C533&gt;1000000,D533&lt;0,D533&gt;1000000,E533&lt;0,E533&gt;1000000,E533&gt;D533,ABS(F533)&gt;1000000000,ABS(G533)&gt;1000000000,ROUND(F533,2)&lt;&gt;F533,AND(G533&lt;&gt;"",ROUND(G533,2)&lt;&gt;G533)),"REVISAR VALOR","OK"))))),"REVISAR VALOR")</f>
        <v/>
      </c>
    </row>
    <row r="534" spans="1:9" x14ac:dyDescent="0.45">
      <c r="A534" s="4"/>
      <c r="B534" s="8"/>
      <c r="C534" s="5"/>
      <c r="D534" s="5"/>
      <c r="E534" s="5"/>
      <c r="F534" s="7"/>
      <c r="G534" s="7"/>
      <c r="H534" s="8"/>
      <c r="I534" s="12" t="str">
        <f>IFERROR(IF(COUNTA(A534:H534)=0,"",IF(OR(A534="",B534="",C534="",D534="",E534="",F534=""),"FALTA CAMPO",IF(COUNTIFS($A$6:$A$1005,A534,$B$6:$B$1005,B534)&gt;1,"DUPLICADO FECHA-SKU",IF(COUNTIF(CATALOGO!$A$6:$A$105,B534)&lt;&gt;1,"SKU NO VALIDO",IF(OR(A534&lt;DATE(1900,1,1),A534&gt;DATE(2100,12,31),A534&gt;CONFIG!$B$5,C534&lt;0,C534&gt;1000000,D534&lt;0,D534&gt;1000000,E534&lt;0,E534&gt;1000000,E534&gt;D534,ABS(F534)&gt;1000000000,ABS(G534)&gt;1000000000,ROUND(F534,2)&lt;&gt;F534,AND(G534&lt;&gt;"",ROUND(G534,2)&lt;&gt;G534)),"REVISAR VALOR","OK"))))),"REVISAR VALOR")</f>
        <v/>
      </c>
    </row>
    <row r="535" spans="1:9" x14ac:dyDescent="0.45">
      <c r="A535" s="4"/>
      <c r="B535" s="8"/>
      <c r="C535" s="5"/>
      <c r="D535" s="5"/>
      <c r="E535" s="5"/>
      <c r="F535" s="7"/>
      <c r="G535" s="7"/>
      <c r="H535" s="8"/>
      <c r="I535" s="12" t="str">
        <f>IFERROR(IF(COUNTA(A535:H535)=0,"",IF(OR(A535="",B535="",C535="",D535="",E535="",F535=""),"FALTA CAMPO",IF(COUNTIFS($A$6:$A$1005,A535,$B$6:$B$1005,B535)&gt;1,"DUPLICADO FECHA-SKU",IF(COUNTIF(CATALOGO!$A$6:$A$105,B535)&lt;&gt;1,"SKU NO VALIDO",IF(OR(A535&lt;DATE(1900,1,1),A535&gt;DATE(2100,12,31),A535&gt;CONFIG!$B$5,C535&lt;0,C535&gt;1000000,D535&lt;0,D535&gt;1000000,E535&lt;0,E535&gt;1000000,E535&gt;D535,ABS(F535)&gt;1000000000,ABS(G535)&gt;1000000000,ROUND(F535,2)&lt;&gt;F535,AND(G535&lt;&gt;"",ROUND(G535,2)&lt;&gt;G535)),"REVISAR VALOR","OK"))))),"REVISAR VALOR")</f>
        <v/>
      </c>
    </row>
    <row r="536" spans="1:9" x14ac:dyDescent="0.45">
      <c r="A536" s="4"/>
      <c r="B536" s="8"/>
      <c r="C536" s="5"/>
      <c r="D536" s="5"/>
      <c r="E536" s="5"/>
      <c r="F536" s="7"/>
      <c r="G536" s="7"/>
      <c r="H536" s="8"/>
      <c r="I536" s="12" t="str">
        <f>IFERROR(IF(COUNTA(A536:H536)=0,"",IF(OR(A536="",B536="",C536="",D536="",E536="",F536=""),"FALTA CAMPO",IF(COUNTIFS($A$6:$A$1005,A536,$B$6:$B$1005,B536)&gt;1,"DUPLICADO FECHA-SKU",IF(COUNTIF(CATALOGO!$A$6:$A$105,B536)&lt;&gt;1,"SKU NO VALIDO",IF(OR(A536&lt;DATE(1900,1,1),A536&gt;DATE(2100,12,31),A536&gt;CONFIG!$B$5,C536&lt;0,C536&gt;1000000,D536&lt;0,D536&gt;1000000,E536&lt;0,E536&gt;1000000,E536&gt;D536,ABS(F536)&gt;1000000000,ABS(G536)&gt;1000000000,ROUND(F536,2)&lt;&gt;F536,AND(G536&lt;&gt;"",ROUND(G536,2)&lt;&gt;G536)),"REVISAR VALOR","OK"))))),"REVISAR VALOR")</f>
        <v/>
      </c>
    </row>
    <row r="537" spans="1:9" x14ac:dyDescent="0.45">
      <c r="A537" s="4"/>
      <c r="B537" s="8"/>
      <c r="C537" s="5"/>
      <c r="D537" s="5"/>
      <c r="E537" s="5"/>
      <c r="F537" s="7"/>
      <c r="G537" s="7"/>
      <c r="H537" s="8"/>
      <c r="I537" s="12" t="str">
        <f>IFERROR(IF(COUNTA(A537:H537)=0,"",IF(OR(A537="",B537="",C537="",D537="",E537="",F537=""),"FALTA CAMPO",IF(COUNTIFS($A$6:$A$1005,A537,$B$6:$B$1005,B537)&gt;1,"DUPLICADO FECHA-SKU",IF(COUNTIF(CATALOGO!$A$6:$A$105,B537)&lt;&gt;1,"SKU NO VALIDO",IF(OR(A537&lt;DATE(1900,1,1),A537&gt;DATE(2100,12,31),A537&gt;CONFIG!$B$5,C537&lt;0,C537&gt;1000000,D537&lt;0,D537&gt;1000000,E537&lt;0,E537&gt;1000000,E537&gt;D537,ABS(F537)&gt;1000000000,ABS(G537)&gt;1000000000,ROUND(F537,2)&lt;&gt;F537,AND(G537&lt;&gt;"",ROUND(G537,2)&lt;&gt;G537)),"REVISAR VALOR","OK"))))),"REVISAR VALOR")</f>
        <v/>
      </c>
    </row>
    <row r="538" spans="1:9" x14ac:dyDescent="0.45">
      <c r="A538" s="4"/>
      <c r="B538" s="8"/>
      <c r="C538" s="5"/>
      <c r="D538" s="5"/>
      <c r="E538" s="5"/>
      <c r="F538" s="7"/>
      <c r="G538" s="7"/>
      <c r="H538" s="8"/>
      <c r="I538" s="12" t="str">
        <f>IFERROR(IF(COUNTA(A538:H538)=0,"",IF(OR(A538="",B538="",C538="",D538="",E538="",F538=""),"FALTA CAMPO",IF(COUNTIFS($A$6:$A$1005,A538,$B$6:$B$1005,B538)&gt;1,"DUPLICADO FECHA-SKU",IF(COUNTIF(CATALOGO!$A$6:$A$105,B538)&lt;&gt;1,"SKU NO VALIDO",IF(OR(A538&lt;DATE(1900,1,1),A538&gt;DATE(2100,12,31),A538&gt;CONFIG!$B$5,C538&lt;0,C538&gt;1000000,D538&lt;0,D538&gt;1000000,E538&lt;0,E538&gt;1000000,E538&gt;D538,ABS(F538)&gt;1000000000,ABS(G538)&gt;1000000000,ROUND(F538,2)&lt;&gt;F538,AND(G538&lt;&gt;"",ROUND(G538,2)&lt;&gt;G538)),"REVISAR VALOR","OK"))))),"REVISAR VALOR")</f>
        <v/>
      </c>
    </row>
    <row r="539" spans="1:9" x14ac:dyDescent="0.45">
      <c r="A539" s="4"/>
      <c r="B539" s="8"/>
      <c r="C539" s="5"/>
      <c r="D539" s="5"/>
      <c r="E539" s="5"/>
      <c r="F539" s="7"/>
      <c r="G539" s="7"/>
      <c r="H539" s="8"/>
      <c r="I539" s="12" t="str">
        <f>IFERROR(IF(COUNTA(A539:H539)=0,"",IF(OR(A539="",B539="",C539="",D539="",E539="",F539=""),"FALTA CAMPO",IF(COUNTIFS($A$6:$A$1005,A539,$B$6:$B$1005,B539)&gt;1,"DUPLICADO FECHA-SKU",IF(COUNTIF(CATALOGO!$A$6:$A$105,B539)&lt;&gt;1,"SKU NO VALIDO",IF(OR(A539&lt;DATE(1900,1,1),A539&gt;DATE(2100,12,31),A539&gt;CONFIG!$B$5,C539&lt;0,C539&gt;1000000,D539&lt;0,D539&gt;1000000,E539&lt;0,E539&gt;1000000,E539&gt;D539,ABS(F539)&gt;1000000000,ABS(G539)&gt;1000000000,ROUND(F539,2)&lt;&gt;F539,AND(G539&lt;&gt;"",ROUND(G539,2)&lt;&gt;G539)),"REVISAR VALOR","OK"))))),"REVISAR VALOR")</f>
        <v/>
      </c>
    </row>
    <row r="540" spans="1:9" x14ac:dyDescent="0.45">
      <c r="A540" s="4"/>
      <c r="B540" s="8"/>
      <c r="C540" s="5"/>
      <c r="D540" s="5"/>
      <c r="E540" s="5"/>
      <c r="F540" s="7"/>
      <c r="G540" s="7"/>
      <c r="H540" s="8"/>
      <c r="I540" s="12" t="str">
        <f>IFERROR(IF(COUNTA(A540:H540)=0,"",IF(OR(A540="",B540="",C540="",D540="",E540="",F540=""),"FALTA CAMPO",IF(COUNTIFS($A$6:$A$1005,A540,$B$6:$B$1005,B540)&gt;1,"DUPLICADO FECHA-SKU",IF(COUNTIF(CATALOGO!$A$6:$A$105,B540)&lt;&gt;1,"SKU NO VALIDO",IF(OR(A540&lt;DATE(1900,1,1),A540&gt;DATE(2100,12,31),A540&gt;CONFIG!$B$5,C540&lt;0,C540&gt;1000000,D540&lt;0,D540&gt;1000000,E540&lt;0,E540&gt;1000000,E540&gt;D540,ABS(F540)&gt;1000000000,ABS(G540)&gt;1000000000,ROUND(F540,2)&lt;&gt;F540,AND(G540&lt;&gt;"",ROUND(G540,2)&lt;&gt;G540)),"REVISAR VALOR","OK"))))),"REVISAR VALOR")</f>
        <v/>
      </c>
    </row>
    <row r="541" spans="1:9" x14ac:dyDescent="0.45">
      <c r="A541" s="4"/>
      <c r="B541" s="8"/>
      <c r="C541" s="5"/>
      <c r="D541" s="5"/>
      <c r="E541" s="5"/>
      <c r="F541" s="7"/>
      <c r="G541" s="7"/>
      <c r="H541" s="8"/>
      <c r="I541" s="12" t="str">
        <f>IFERROR(IF(COUNTA(A541:H541)=0,"",IF(OR(A541="",B541="",C541="",D541="",E541="",F541=""),"FALTA CAMPO",IF(COUNTIFS($A$6:$A$1005,A541,$B$6:$B$1005,B541)&gt;1,"DUPLICADO FECHA-SKU",IF(COUNTIF(CATALOGO!$A$6:$A$105,B541)&lt;&gt;1,"SKU NO VALIDO",IF(OR(A541&lt;DATE(1900,1,1),A541&gt;DATE(2100,12,31),A541&gt;CONFIG!$B$5,C541&lt;0,C541&gt;1000000,D541&lt;0,D541&gt;1000000,E541&lt;0,E541&gt;1000000,E541&gt;D541,ABS(F541)&gt;1000000000,ABS(G541)&gt;1000000000,ROUND(F541,2)&lt;&gt;F541,AND(G541&lt;&gt;"",ROUND(G541,2)&lt;&gt;G541)),"REVISAR VALOR","OK"))))),"REVISAR VALOR")</f>
        <v/>
      </c>
    </row>
    <row r="542" spans="1:9" x14ac:dyDescent="0.45">
      <c r="A542" s="4"/>
      <c r="B542" s="8"/>
      <c r="C542" s="5"/>
      <c r="D542" s="5"/>
      <c r="E542" s="5"/>
      <c r="F542" s="7"/>
      <c r="G542" s="7"/>
      <c r="H542" s="8"/>
      <c r="I542" s="12" t="str">
        <f>IFERROR(IF(COUNTA(A542:H542)=0,"",IF(OR(A542="",B542="",C542="",D542="",E542="",F542=""),"FALTA CAMPO",IF(COUNTIFS($A$6:$A$1005,A542,$B$6:$B$1005,B542)&gt;1,"DUPLICADO FECHA-SKU",IF(COUNTIF(CATALOGO!$A$6:$A$105,B542)&lt;&gt;1,"SKU NO VALIDO",IF(OR(A542&lt;DATE(1900,1,1),A542&gt;DATE(2100,12,31),A542&gt;CONFIG!$B$5,C542&lt;0,C542&gt;1000000,D542&lt;0,D542&gt;1000000,E542&lt;0,E542&gt;1000000,E542&gt;D542,ABS(F542)&gt;1000000000,ABS(G542)&gt;1000000000,ROUND(F542,2)&lt;&gt;F542,AND(G542&lt;&gt;"",ROUND(G542,2)&lt;&gt;G542)),"REVISAR VALOR","OK"))))),"REVISAR VALOR")</f>
        <v/>
      </c>
    </row>
    <row r="543" spans="1:9" x14ac:dyDescent="0.45">
      <c r="A543" s="4"/>
      <c r="B543" s="8"/>
      <c r="C543" s="5"/>
      <c r="D543" s="5"/>
      <c r="E543" s="5"/>
      <c r="F543" s="7"/>
      <c r="G543" s="7"/>
      <c r="H543" s="8"/>
      <c r="I543" s="12" t="str">
        <f>IFERROR(IF(COUNTA(A543:H543)=0,"",IF(OR(A543="",B543="",C543="",D543="",E543="",F543=""),"FALTA CAMPO",IF(COUNTIFS($A$6:$A$1005,A543,$B$6:$B$1005,B543)&gt;1,"DUPLICADO FECHA-SKU",IF(COUNTIF(CATALOGO!$A$6:$A$105,B543)&lt;&gt;1,"SKU NO VALIDO",IF(OR(A543&lt;DATE(1900,1,1),A543&gt;DATE(2100,12,31),A543&gt;CONFIG!$B$5,C543&lt;0,C543&gt;1000000,D543&lt;0,D543&gt;1000000,E543&lt;0,E543&gt;1000000,E543&gt;D543,ABS(F543)&gt;1000000000,ABS(G543)&gt;1000000000,ROUND(F543,2)&lt;&gt;F543,AND(G543&lt;&gt;"",ROUND(G543,2)&lt;&gt;G543)),"REVISAR VALOR","OK"))))),"REVISAR VALOR")</f>
        <v/>
      </c>
    </row>
    <row r="544" spans="1:9" x14ac:dyDescent="0.45">
      <c r="A544" s="4"/>
      <c r="B544" s="8"/>
      <c r="C544" s="5"/>
      <c r="D544" s="5"/>
      <c r="E544" s="5"/>
      <c r="F544" s="7"/>
      <c r="G544" s="7"/>
      <c r="H544" s="8"/>
      <c r="I544" s="12" t="str">
        <f>IFERROR(IF(COUNTA(A544:H544)=0,"",IF(OR(A544="",B544="",C544="",D544="",E544="",F544=""),"FALTA CAMPO",IF(COUNTIFS($A$6:$A$1005,A544,$B$6:$B$1005,B544)&gt;1,"DUPLICADO FECHA-SKU",IF(COUNTIF(CATALOGO!$A$6:$A$105,B544)&lt;&gt;1,"SKU NO VALIDO",IF(OR(A544&lt;DATE(1900,1,1),A544&gt;DATE(2100,12,31),A544&gt;CONFIG!$B$5,C544&lt;0,C544&gt;1000000,D544&lt;0,D544&gt;1000000,E544&lt;0,E544&gt;1000000,E544&gt;D544,ABS(F544)&gt;1000000000,ABS(G544)&gt;1000000000,ROUND(F544,2)&lt;&gt;F544,AND(G544&lt;&gt;"",ROUND(G544,2)&lt;&gt;G544)),"REVISAR VALOR","OK"))))),"REVISAR VALOR")</f>
        <v/>
      </c>
    </row>
    <row r="545" spans="1:9" x14ac:dyDescent="0.45">
      <c r="A545" s="4"/>
      <c r="B545" s="8"/>
      <c r="C545" s="5"/>
      <c r="D545" s="5"/>
      <c r="E545" s="5"/>
      <c r="F545" s="7"/>
      <c r="G545" s="7"/>
      <c r="H545" s="8"/>
      <c r="I545" s="12" t="str">
        <f>IFERROR(IF(COUNTA(A545:H545)=0,"",IF(OR(A545="",B545="",C545="",D545="",E545="",F545=""),"FALTA CAMPO",IF(COUNTIFS($A$6:$A$1005,A545,$B$6:$B$1005,B545)&gt;1,"DUPLICADO FECHA-SKU",IF(COUNTIF(CATALOGO!$A$6:$A$105,B545)&lt;&gt;1,"SKU NO VALIDO",IF(OR(A545&lt;DATE(1900,1,1),A545&gt;DATE(2100,12,31),A545&gt;CONFIG!$B$5,C545&lt;0,C545&gt;1000000,D545&lt;0,D545&gt;1000000,E545&lt;0,E545&gt;1000000,E545&gt;D545,ABS(F545)&gt;1000000000,ABS(G545)&gt;1000000000,ROUND(F545,2)&lt;&gt;F545,AND(G545&lt;&gt;"",ROUND(G545,2)&lt;&gt;G545)),"REVISAR VALOR","OK"))))),"REVISAR VALOR")</f>
        <v/>
      </c>
    </row>
    <row r="546" spans="1:9" x14ac:dyDescent="0.45">
      <c r="A546" s="4"/>
      <c r="B546" s="8"/>
      <c r="C546" s="5"/>
      <c r="D546" s="5"/>
      <c r="E546" s="5"/>
      <c r="F546" s="7"/>
      <c r="G546" s="7"/>
      <c r="H546" s="8"/>
      <c r="I546" s="12" t="str">
        <f>IFERROR(IF(COUNTA(A546:H546)=0,"",IF(OR(A546="",B546="",C546="",D546="",E546="",F546=""),"FALTA CAMPO",IF(COUNTIFS($A$6:$A$1005,A546,$B$6:$B$1005,B546)&gt;1,"DUPLICADO FECHA-SKU",IF(COUNTIF(CATALOGO!$A$6:$A$105,B546)&lt;&gt;1,"SKU NO VALIDO",IF(OR(A546&lt;DATE(1900,1,1),A546&gt;DATE(2100,12,31),A546&gt;CONFIG!$B$5,C546&lt;0,C546&gt;1000000,D546&lt;0,D546&gt;1000000,E546&lt;0,E546&gt;1000000,E546&gt;D546,ABS(F546)&gt;1000000000,ABS(G546)&gt;1000000000,ROUND(F546,2)&lt;&gt;F546,AND(G546&lt;&gt;"",ROUND(G546,2)&lt;&gt;G546)),"REVISAR VALOR","OK"))))),"REVISAR VALOR")</f>
        <v/>
      </c>
    </row>
    <row r="547" spans="1:9" x14ac:dyDescent="0.45">
      <c r="A547" s="4"/>
      <c r="B547" s="8"/>
      <c r="C547" s="5"/>
      <c r="D547" s="5"/>
      <c r="E547" s="5"/>
      <c r="F547" s="7"/>
      <c r="G547" s="7"/>
      <c r="H547" s="8"/>
      <c r="I547" s="12" t="str">
        <f>IFERROR(IF(COUNTA(A547:H547)=0,"",IF(OR(A547="",B547="",C547="",D547="",E547="",F547=""),"FALTA CAMPO",IF(COUNTIFS($A$6:$A$1005,A547,$B$6:$B$1005,B547)&gt;1,"DUPLICADO FECHA-SKU",IF(COUNTIF(CATALOGO!$A$6:$A$105,B547)&lt;&gt;1,"SKU NO VALIDO",IF(OR(A547&lt;DATE(1900,1,1),A547&gt;DATE(2100,12,31),A547&gt;CONFIG!$B$5,C547&lt;0,C547&gt;1000000,D547&lt;0,D547&gt;1000000,E547&lt;0,E547&gt;1000000,E547&gt;D547,ABS(F547)&gt;1000000000,ABS(G547)&gt;1000000000,ROUND(F547,2)&lt;&gt;F547,AND(G547&lt;&gt;"",ROUND(G547,2)&lt;&gt;G547)),"REVISAR VALOR","OK"))))),"REVISAR VALOR")</f>
        <v/>
      </c>
    </row>
    <row r="548" spans="1:9" x14ac:dyDescent="0.45">
      <c r="A548" s="4"/>
      <c r="B548" s="8"/>
      <c r="C548" s="5"/>
      <c r="D548" s="5"/>
      <c r="E548" s="5"/>
      <c r="F548" s="7"/>
      <c r="G548" s="7"/>
      <c r="H548" s="8"/>
      <c r="I548" s="12" t="str">
        <f>IFERROR(IF(COUNTA(A548:H548)=0,"",IF(OR(A548="",B548="",C548="",D548="",E548="",F548=""),"FALTA CAMPO",IF(COUNTIFS($A$6:$A$1005,A548,$B$6:$B$1005,B548)&gt;1,"DUPLICADO FECHA-SKU",IF(COUNTIF(CATALOGO!$A$6:$A$105,B548)&lt;&gt;1,"SKU NO VALIDO",IF(OR(A548&lt;DATE(1900,1,1),A548&gt;DATE(2100,12,31),A548&gt;CONFIG!$B$5,C548&lt;0,C548&gt;1000000,D548&lt;0,D548&gt;1000000,E548&lt;0,E548&gt;1000000,E548&gt;D548,ABS(F548)&gt;1000000000,ABS(G548)&gt;1000000000,ROUND(F548,2)&lt;&gt;F548,AND(G548&lt;&gt;"",ROUND(G548,2)&lt;&gt;G548)),"REVISAR VALOR","OK"))))),"REVISAR VALOR")</f>
        <v/>
      </c>
    </row>
    <row r="549" spans="1:9" x14ac:dyDescent="0.45">
      <c r="A549" s="4"/>
      <c r="B549" s="8"/>
      <c r="C549" s="5"/>
      <c r="D549" s="5"/>
      <c r="E549" s="5"/>
      <c r="F549" s="7"/>
      <c r="G549" s="7"/>
      <c r="H549" s="8"/>
      <c r="I549" s="12" t="str">
        <f>IFERROR(IF(COUNTA(A549:H549)=0,"",IF(OR(A549="",B549="",C549="",D549="",E549="",F549=""),"FALTA CAMPO",IF(COUNTIFS($A$6:$A$1005,A549,$B$6:$B$1005,B549)&gt;1,"DUPLICADO FECHA-SKU",IF(COUNTIF(CATALOGO!$A$6:$A$105,B549)&lt;&gt;1,"SKU NO VALIDO",IF(OR(A549&lt;DATE(1900,1,1),A549&gt;DATE(2100,12,31),A549&gt;CONFIG!$B$5,C549&lt;0,C549&gt;1000000,D549&lt;0,D549&gt;1000000,E549&lt;0,E549&gt;1000000,E549&gt;D549,ABS(F549)&gt;1000000000,ABS(G549)&gt;1000000000,ROUND(F549,2)&lt;&gt;F549,AND(G549&lt;&gt;"",ROUND(G549,2)&lt;&gt;G549)),"REVISAR VALOR","OK"))))),"REVISAR VALOR")</f>
        <v/>
      </c>
    </row>
    <row r="550" spans="1:9" x14ac:dyDescent="0.45">
      <c r="A550" s="4"/>
      <c r="B550" s="8"/>
      <c r="C550" s="5"/>
      <c r="D550" s="5"/>
      <c r="E550" s="5"/>
      <c r="F550" s="7"/>
      <c r="G550" s="7"/>
      <c r="H550" s="8"/>
      <c r="I550" s="12" t="str">
        <f>IFERROR(IF(COUNTA(A550:H550)=0,"",IF(OR(A550="",B550="",C550="",D550="",E550="",F550=""),"FALTA CAMPO",IF(COUNTIFS($A$6:$A$1005,A550,$B$6:$B$1005,B550)&gt;1,"DUPLICADO FECHA-SKU",IF(COUNTIF(CATALOGO!$A$6:$A$105,B550)&lt;&gt;1,"SKU NO VALIDO",IF(OR(A550&lt;DATE(1900,1,1),A550&gt;DATE(2100,12,31),A550&gt;CONFIG!$B$5,C550&lt;0,C550&gt;1000000,D550&lt;0,D550&gt;1000000,E550&lt;0,E550&gt;1000000,E550&gt;D550,ABS(F550)&gt;1000000000,ABS(G550)&gt;1000000000,ROUND(F550,2)&lt;&gt;F550,AND(G550&lt;&gt;"",ROUND(G550,2)&lt;&gt;G550)),"REVISAR VALOR","OK"))))),"REVISAR VALOR")</f>
        <v/>
      </c>
    </row>
    <row r="551" spans="1:9" x14ac:dyDescent="0.45">
      <c r="A551" s="4"/>
      <c r="B551" s="8"/>
      <c r="C551" s="5"/>
      <c r="D551" s="5"/>
      <c r="E551" s="5"/>
      <c r="F551" s="7"/>
      <c r="G551" s="7"/>
      <c r="H551" s="8"/>
      <c r="I551" s="12" t="str">
        <f>IFERROR(IF(COUNTA(A551:H551)=0,"",IF(OR(A551="",B551="",C551="",D551="",E551="",F551=""),"FALTA CAMPO",IF(COUNTIFS($A$6:$A$1005,A551,$B$6:$B$1005,B551)&gt;1,"DUPLICADO FECHA-SKU",IF(COUNTIF(CATALOGO!$A$6:$A$105,B551)&lt;&gt;1,"SKU NO VALIDO",IF(OR(A551&lt;DATE(1900,1,1),A551&gt;DATE(2100,12,31),A551&gt;CONFIG!$B$5,C551&lt;0,C551&gt;1000000,D551&lt;0,D551&gt;1000000,E551&lt;0,E551&gt;1000000,E551&gt;D551,ABS(F551)&gt;1000000000,ABS(G551)&gt;1000000000,ROUND(F551,2)&lt;&gt;F551,AND(G551&lt;&gt;"",ROUND(G551,2)&lt;&gt;G551)),"REVISAR VALOR","OK"))))),"REVISAR VALOR")</f>
        <v/>
      </c>
    </row>
    <row r="552" spans="1:9" x14ac:dyDescent="0.45">
      <c r="A552" s="4"/>
      <c r="B552" s="8"/>
      <c r="C552" s="5"/>
      <c r="D552" s="5"/>
      <c r="E552" s="5"/>
      <c r="F552" s="7"/>
      <c r="G552" s="7"/>
      <c r="H552" s="8"/>
      <c r="I552" s="12" t="str">
        <f>IFERROR(IF(COUNTA(A552:H552)=0,"",IF(OR(A552="",B552="",C552="",D552="",E552="",F552=""),"FALTA CAMPO",IF(COUNTIFS($A$6:$A$1005,A552,$B$6:$B$1005,B552)&gt;1,"DUPLICADO FECHA-SKU",IF(COUNTIF(CATALOGO!$A$6:$A$105,B552)&lt;&gt;1,"SKU NO VALIDO",IF(OR(A552&lt;DATE(1900,1,1),A552&gt;DATE(2100,12,31),A552&gt;CONFIG!$B$5,C552&lt;0,C552&gt;1000000,D552&lt;0,D552&gt;1000000,E552&lt;0,E552&gt;1000000,E552&gt;D552,ABS(F552)&gt;1000000000,ABS(G552)&gt;1000000000,ROUND(F552,2)&lt;&gt;F552,AND(G552&lt;&gt;"",ROUND(G552,2)&lt;&gt;G552)),"REVISAR VALOR","OK"))))),"REVISAR VALOR")</f>
        <v/>
      </c>
    </row>
    <row r="553" spans="1:9" x14ac:dyDescent="0.45">
      <c r="A553" s="4"/>
      <c r="B553" s="8"/>
      <c r="C553" s="5"/>
      <c r="D553" s="5"/>
      <c r="E553" s="5"/>
      <c r="F553" s="7"/>
      <c r="G553" s="7"/>
      <c r="H553" s="8"/>
      <c r="I553" s="12" t="str">
        <f>IFERROR(IF(COUNTA(A553:H553)=0,"",IF(OR(A553="",B553="",C553="",D553="",E553="",F553=""),"FALTA CAMPO",IF(COUNTIFS($A$6:$A$1005,A553,$B$6:$B$1005,B553)&gt;1,"DUPLICADO FECHA-SKU",IF(COUNTIF(CATALOGO!$A$6:$A$105,B553)&lt;&gt;1,"SKU NO VALIDO",IF(OR(A553&lt;DATE(1900,1,1),A553&gt;DATE(2100,12,31),A553&gt;CONFIG!$B$5,C553&lt;0,C553&gt;1000000,D553&lt;0,D553&gt;1000000,E553&lt;0,E553&gt;1000000,E553&gt;D553,ABS(F553)&gt;1000000000,ABS(G553)&gt;1000000000,ROUND(F553,2)&lt;&gt;F553,AND(G553&lt;&gt;"",ROUND(G553,2)&lt;&gt;G553)),"REVISAR VALOR","OK"))))),"REVISAR VALOR")</f>
        <v/>
      </c>
    </row>
    <row r="554" spans="1:9" x14ac:dyDescent="0.45">
      <c r="A554" s="4"/>
      <c r="B554" s="8"/>
      <c r="C554" s="5"/>
      <c r="D554" s="5"/>
      <c r="E554" s="5"/>
      <c r="F554" s="7"/>
      <c r="G554" s="7"/>
      <c r="H554" s="8"/>
      <c r="I554" s="12" t="str">
        <f>IFERROR(IF(COUNTA(A554:H554)=0,"",IF(OR(A554="",B554="",C554="",D554="",E554="",F554=""),"FALTA CAMPO",IF(COUNTIFS($A$6:$A$1005,A554,$B$6:$B$1005,B554)&gt;1,"DUPLICADO FECHA-SKU",IF(COUNTIF(CATALOGO!$A$6:$A$105,B554)&lt;&gt;1,"SKU NO VALIDO",IF(OR(A554&lt;DATE(1900,1,1),A554&gt;DATE(2100,12,31),A554&gt;CONFIG!$B$5,C554&lt;0,C554&gt;1000000,D554&lt;0,D554&gt;1000000,E554&lt;0,E554&gt;1000000,E554&gt;D554,ABS(F554)&gt;1000000000,ABS(G554)&gt;1000000000,ROUND(F554,2)&lt;&gt;F554,AND(G554&lt;&gt;"",ROUND(G554,2)&lt;&gt;G554)),"REVISAR VALOR","OK"))))),"REVISAR VALOR")</f>
        <v/>
      </c>
    </row>
    <row r="555" spans="1:9" x14ac:dyDescent="0.45">
      <c r="A555" s="4"/>
      <c r="B555" s="8"/>
      <c r="C555" s="5"/>
      <c r="D555" s="5"/>
      <c r="E555" s="5"/>
      <c r="F555" s="7"/>
      <c r="G555" s="7"/>
      <c r="H555" s="8"/>
      <c r="I555" s="12" t="str">
        <f>IFERROR(IF(COUNTA(A555:H555)=0,"",IF(OR(A555="",B555="",C555="",D555="",E555="",F555=""),"FALTA CAMPO",IF(COUNTIFS($A$6:$A$1005,A555,$B$6:$B$1005,B555)&gt;1,"DUPLICADO FECHA-SKU",IF(COUNTIF(CATALOGO!$A$6:$A$105,B555)&lt;&gt;1,"SKU NO VALIDO",IF(OR(A555&lt;DATE(1900,1,1),A555&gt;DATE(2100,12,31),A555&gt;CONFIG!$B$5,C555&lt;0,C555&gt;1000000,D555&lt;0,D555&gt;1000000,E555&lt;0,E555&gt;1000000,E555&gt;D555,ABS(F555)&gt;1000000000,ABS(G555)&gt;1000000000,ROUND(F555,2)&lt;&gt;F555,AND(G555&lt;&gt;"",ROUND(G555,2)&lt;&gt;G555)),"REVISAR VALOR","OK"))))),"REVISAR VALOR")</f>
        <v/>
      </c>
    </row>
    <row r="556" spans="1:9" x14ac:dyDescent="0.45">
      <c r="A556" s="4"/>
      <c r="B556" s="8"/>
      <c r="C556" s="5"/>
      <c r="D556" s="5"/>
      <c r="E556" s="5"/>
      <c r="F556" s="7"/>
      <c r="G556" s="7"/>
      <c r="H556" s="8"/>
      <c r="I556" s="12" t="str">
        <f>IFERROR(IF(COUNTA(A556:H556)=0,"",IF(OR(A556="",B556="",C556="",D556="",E556="",F556=""),"FALTA CAMPO",IF(COUNTIFS($A$6:$A$1005,A556,$B$6:$B$1005,B556)&gt;1,"DUPLICADO FECHA-SKU",IF(COUNTIF(CATALOGO!$A$6:$A$105,B556)&lt;&gt;1,"SKU NO VALIDO",IF(OR(A556&lt;DATE(1900,1,1),A556&gt;DATE(2100,12,31),A556&gt;CONFIG!$B$5,C556&lt;0,C556&gt;1000000,D556&lt;0,D556&gt;1000000,E556&lt;0,E556&gt;1000000,E556&gt;D556,ABS(F556)&gt;1000000000,ABS(G556)&gt;1000000000,ROUND(F556,2)&lt;&gt;F556,AND(G556&lt;&gt;"",ROUND(G556,2)&lt;&gt;G556)),"REVISAR VALOR","OK"))))),"REVISAR VALOR")</f>
        <v/>
      </c>
    </row>
    <row r="557" spans="1:9" x14ac:dyDescent="0.45">
      <c r="A557" s="4"/>
      <c r="B557" s="8"/>
      <c r="C557" s="5"/>
      <c r="D557" s="5"/>
      <c r="E557" s="5"/>
      <c r="F557" s="7"/>
      <c r="G557" s="7"/>
      <c r="H557" s="8"/>
      <c r="I557" s="12" t="str">
        <f>IFERROR(IF(COUNTA(A557:H557)=0,"",IF(OR(A557="",B557="",C557="",D557="",E557="",F557=""),"FALTA CAMPO",IF(COUNTIFS($A$6:$A$1005,A557,$B$6:$B$1005,B557)&gt;1,"DUPLICADO FECHA-SKU",IF(COUNTIF(CATALOGO!$A$6:$A$105,B557)&lt;&gt;1,"SKU NO VALIDO",IF(OR(A557&lt;DATE(1900,1,1),A557&gt;DATE(2100,12,31),A557&gt;CONFIG!$B$5,C557&lt;0,C557&gt;1000000,D557&lt;0,D557&gt;1000000,E557&lt;0,E557&gt;1000000,E557&gt;D557,ABS(F557)&gt;1000000000,ABS(G557)&gt;1000000000,ROUND(F557,2)&lt;&gt;F557,AND(G557&lt;&gt;"",ROUND(G557,2)&lt;&gt;G557)),"REVISAR VALOR","OK"))))),"REVISAR VALOR")</f>
        <v/>
      </c>
    </row>
    <row r="558" spans="1:9" x14ac:dyDescent="0.45">
      <c r="A558" s="4"/>
      <c r="B558" s="8"/>
      <c r="C558" s="5"/>
      <c r="D558" s="5"/>
      <c r="E558" s="5"/>
      <c r="F558" s="7"/>
      <c r="G558" s="7"/>
      <c r="H558" s="8"/>
      <c r="I558" s="12" t="str">
        <f>IFERROR(IF(COUNTA(A558:H558)=0,"",IF(OR(A558="",B558="",C558="",D558="",E558="",F558=""),"FALTA CAMPO",IF(COUNTIFS($A$6:$A$1005,A558,$B$6:$B$1005,B558)&gt;1,"DUPLICADO FECHA-SKU",IF(COUNTIF(CATALOGO!$A$6:$A$105,B558)&lt;&gt;1,"SKU NO VALIDO",IF(OR(A558&lt;DATE(1900,1,1),A558&gt;DATE(2100,12,31),A558&gt;CONFIG!$B$5,C558&lt;0,C558&gt;1000000,D558&lt;0,D558&gt;1000000,E558&lt;0,E558&gt;1000000,E558&gt;D558,ABS(F558)&gt;1000000000,ABS(G558)&gt;1000000000,ROUND(F558,2)&lt;&gt;F558,AND(G558&lt;&gt;"",ROUND(G558,2)&lt;&gt;G558)),"REVISAR VALOR","OK"))))),"REVISAR VALOR")</f>
        <v/>
      </c>
    </row>
    <row r="559" spans="1:9" x14ac:dyDescent="0.45">
      <c r="A559" s="4"/>
      <c r="B559" s="8"/>
      <c r="C559" s="5"/>
      <c r="D559" s="5"/>
      <c r="E559" s="5"/>
      <c r="F559" s="7"/>
      <c r="G559" s="7"/>
      <c r="H559" s="8"/>
      <c r="I559" s="12" t="str">
        <f>IFERROR(IF(COUNTA(A559:H559)=0,"",IF(OR(A559="",B559="",C559="",D559="",E559="",F559=""),"FALTA CAMPO",IF(COUNTIFS($A$6:$A$1005,A559,$B$6:$B$1005,B559)&gt;1,"DUPLICADO FECHA-SKU",IF(COUNTIF(CATALOGO!$A$6:$A$105,B559)&lt;&gt;1,"SKU NO VALIDO",IF(OR(A559&lt;DATE(1900,1,1),A559&gt;DATE(2100,12,31),A559&gt;CONFIG!$B$5,C559&lt;0,C559&gt;1000000,D559&lt;0,D559&gt;1000000,E559&lt;0,E559&gt;1000000,E559&gt;D559,ABS(F559)&gt;1000000000,ABS(G559)&gt;1000000000,ROUND(F559,2)&lt;&gt;F559,AND(G559&lt;&gt;"",ROUND(G559,2)&lt;&gt;G559)),"REVISAR VALOR","OK"))))),"REVISAR VALOR")</f>
        <v/>
      </c>
    </row>
    <row r="560" spans="1:9" x14ac:dyDescent="0.45">
      <c r="A560" s="4"/>
      <c r="B560" s="8"/>
      <c r="C560" s="5"/>
      <c r="D560" s="5"/>
      <c r="E560" s="5"/>
      <c r="F560" s="7"/>
      <c r="G560" s="7"/>
      <c r="H560" s="8"/>
      <c r="I560" s="12" t="str">
        <f>IFERROR(IF(COUNTA(A560:H560)=0,"",IF(OR(A560="",B560="",C560="",D560="",E560="",F560=""),"FALTA CAMPO",IF(COUNTIFS($A$6:$A$1005,A560,$B$6:$B$1005,B560)&gt;1,"DUPLICADO FECHA-SKU",IF(COUNTIF(CATALOGO!$A$6:$A$105,B560)&lt;&gt;1,"SKU NO VALIDO",IF(OR(A560&lt;DATE(1900,1,1),A560&gt;DATE(2100,12,31),A560&gt;CONFIG!$B$5,C560&lt;0,C560&gt;1000000,D560&lt;0,D560&gt;1000000,E560&lt;0,E560&gt;1000000,E560&gt;D560,ABS(F560)&gt;1000000000,ABS(G560)&gt;1000000000,ROUND(F560,2)&lt;&gt;F560,AND(G560&lt;&gt;"",ROUND(G560,2)&lt;&gt;G560)),"REVISAR VALOR","OK"))))),"REVISAR VALOR")</f>
        <v/>
      </c>
    </row>
    <row r="561" spans="1:9" x14ac:dyDescent="0.45">
      <c r="A561" s="4"/>
      <c r="B561" s="8"/>
      <c r="C561" s="5"/>
      <c r="D561" s="5"/>
      <c r="E561" s="5"/>
      <c r="F561" s="7"/>
      <c r="G561" s="7"/>
      <c r="H561" s="8"/>
      <c r="I561" s="12" t="str">
        <f>IFERROR(IF(COUNTA(A561:H561)=0,"",IF(OR(A561="",B561="",C561="",D561="",E561="",F561=""),"FALTA CAMPO",IF(COUNTIFS($A$6:$A$1005,A561,$B$6:$B$1005,B561)&gt;1,"DUPLICADO FECHA-SKU",IF(COUNTIF(CATALOGO!$A$6:$A$105,B561)&lt;&gt;1,"SKU NO VALIDO",IF(OR(A561&lt;DATE(1900,1,1),A561&gt;DATE(2100,12,31),A561&gt;CONFIG!$B$5,C561&lt;0,C561&gt;1000000,D561&lt;0,D561&gt;1000000,E561&lt;0,E561&gt;1000000,E561&gt;D561,ABS(F561)&gt;1000000000,ABS(G561)&gt;1000000000,ROUND(F561,2)&lt;&gt;F561,AND(G561&lt;&gt;"",ROUND(G561,2)&lt;&gt;G561)),"REVISAR VALOR","OK"))))),"REVISAR VALOR")</f>
        <v/>
      </c>
    </row>
    <row r="562" spans="1:9" x14ac:dyDescent="0.45">
      <c r="A562" s="4"/>
      <c r="B562" s="8"/>
      <c r="C562" s="5"/>
      <c r="D562" s="5"/>
      <c r="E562" s="5"/>
      <c r="F562" s="7"/>
      <c r="G562" s="7"/>
      <c r="H562" s="8"/>
      <c r="I562" s="12" t="str">
        <f>IFERROR(IF(COUNTA(A562:H562)=0,"",IF(OR(A562="",B562="",C562="",D562="",E562="",F562=""),"FALTA CAMPO",IF(COUNTIFS($A$6:$A$1005,A562,$B$6:$B$1005,B562)&gt;1,"DUPLICADO FECHA-SKU",IF(COUNTIF(CATALOGO!$A$6:$A$105,B562)&lt;&gt;1,"SKU NO VALIDO",IF(OR(A562&lt;DATE(1900,1,1),A562&gt;DATE(2100,12,31),A562&gt;CONFIG!$B$5,C562&lt;0,C562&gt;1000000,D562&lt;0,D562&gt;1000000,E562&lt;0,E562&gt;1000000,E562&gt;D562,ABS(F562)&gt;1000000000,ABS(G562)&gt;1000000000,ROUND(F562,2)&lt;&gt;F562,AND(G562&lt;&gt;"",ROUND(G562,2)&lt;&gt;G562)),"REVISAR VALOR","OK"))))),"REVISAR VALOR")</f>
        <v/>
      </c>
    </row>
    <row r="563" spans="1:9" x14ac:dyDescent="0.45">
      <c r="A563" s="4"/>
      <c r="B563" s="8"/>
      <c r="C563" s="5"/>
      <c r="D563" s="5"/>
      <c r="E563" s="5"/>
      <c r="F563" s="7"/>
      <c r="G563" s="7"/>
      <c r="H563" s="8"/>
      <c r="I563" s="12" t="str">
        <f>IFERROR(IF(COUNTA(A563:H563)=0,"",IF(OR(A563="",B563="",C563="",D563="",E563="",F563=""),"FALTA CAMPO",IF(COUNTIFS($A$6:$A$1005,A563,$B$6:$B$1005,B563)&gt;1,"DUPLICADO FECHA-SKU",IF(COUNTIF(CATALOGO!$A$6:$A$105,B563)&lt;&gt;1,"SKU NO VALIDO",IF(OR(A563&lt;DATE(1900,1,1),A563&gt;DATE(2100,12,31),A563&gt;CONFIG!$B$5,C563&lt;0,C563&gt;1000000,D563&lt;0,D563&gt;1000000,E563&lt;0,E563&gt;1000000,E563&gt;D563,ABS(F563)&gt;1000000000,ABS(G563)&gt;1000000000,ROUND(F563,2)&lt;&gt;F563,AND(G563&lt;&gt;"",ROUND(G563,2)&lt;&gt;G563)),"REVISAR VALOR","OK"))))),"REVISAR VALOR")</f>
        <v/>
      </c>
    </row>
    <row r="564" spans="1:9" x14ac:dyDescent="0.45">
      <c r="A564" s="4"/>
      <c r="B564" s="8"/>
      <c r="C564" s="5"/>
      <c r="D564" s="5"/>
      <c r="E564" s="5"/>
      <c r="F564" s="7"/>
      <c r="G564" s="7"/>
      <c r="H564" s="8"/>
      <c r="I564" s="12" t="str">
        <f>IFERROR(IF(COUNTA(A564:H564)=0,"",IF(OR(A564="",B564="",C564="",D564="",E564="",F564=""),"FALTA CAMPO",IF(COUNTIFS($A$6:$A$1005,A564,$B$6:$B$1005,B564)&gt;1,"DUPLICADO FECHA-SKU",IF(COUNTIF(CATALOGO!$A$6:$A$105,B564)&lt;&gt;1,"SKU NO VALIDO",IF(OR(A564&lt;DATE(1900,1,1),A564&gt;DATE(2100,12,31),A564&gt;CONFIG!$B$5,C564&lt;0,C564&gt;1000000,D564&lt;0,D564&gt;1000000,E564&lt;0,E564&gt;1000000,E564&gt;D564,ABS(F564)&gt;1000000000,ABS(G564)&gt;1000000000,ROUND(F564,2)&lt;&gt;F564,AND(G564&lt;&gt;"",ROUND(G564,2)&lt;&gt;G564)),"REVISAR VALOR","OK"))))),"REVISAR VALOR")</f>
        <v/>
      </c>
    </row>
    <row r="565" spans="1:9" x14ac:dyDescent="0.45">
      <c r="A565" s="4"/>
      <c r="B565" s="8"/>
      <c r="C565" s="5"/>
      <c r="D565" s="5"/>
      <c r="E565" s="5"/>
      <c r="F565" s="7"/>
      <c r="G565" s="7"/>
      <c r="H565" s="8"/>
      <c r="I565" s="12" t="str">
        <f>IFERROR(IF(COUNTA(A565:H565)=0,"",IF(OR(A565="",B565="",C565="",D565="",E565="",F565=""),"FALTA CAMPO",IF(COUNTIFS($A$6:$A$1005,A565,$B$6:$B$1005,B565)&gt;1,"DUPLICADO FECHA-SKU",IF(COUNTIF(CATALOGO!$A$6:$A$105,B565)&lt;&gt;1,"SKU NO VALIDO",IF(OR(A565&lt;DATE(1900,1,1),A565&gt;DATE(2100,12,31),A565&gt;CONFIG!$B$5,C565&lt;0,C565&gt;1000000,D565&lt;0,D565&gt;1000000,E565&lt;0,E565&gt;1000000,E565&gt;D565,ABS(F565)&gt;1000000000,ABS(G565)&gt;1000000000,ROUND(F565,2)&lt;&gt;F565,AND(G565&lt;&gt;"",ROUND(G565,2)&lt;&gt;G565)),"REVISAR VALOR","OK"))))),"REVISAR VALOR")</f>
        <v/>
      </c>
    </row>
    <row r="566" spans="1:9" x14ac:dyDescent="0.45">
      <c r="A566" s="4"/>
      <c r="B566" s="8"/>
      <c r="C566" s="5"/>
      <c r="D566" s="5"/>
      <c r="E566" s="5"/>
      <c r="F566" s="7"/>
      <c r="G566" s="7"/>
      <c r="H566" s="8"/>
      <c r="I566" s="12" t="str">
        <f>IFERROR(IF(COUNTA(A566:H566)=0,"",IF(OR(A566="",B566="",C566="",D566="",E566="",F566=""),"FALTA CAMPO",IF(COUNTIFS($A$6:$A$1005,A566,$B$6:$B$1005,B566)&gt;1,"DUPLICADO FECHA-SKU",IF(COUNTIF(CATALOGO!$A$6:$A$105,B566)&lt;&gt;1,"SKU NO VALIDO",IF(OR(A566&lt;DATE(1900,1,1),A566&gt;DATE(2100,12,31),A566&gt;CONFIG!$B$5,C566&lt;0,C566&gt;1000000,D566&lt;0,D566&gt;1000000,E566&lt;0,E566&gt;1000000,E566&gt;D566,ABS(F566)&gt;1000000000,ABS(G566)&gt;1000000000,ROUND(F566,2)&lt;&gt;F566,AND(G566&lt;&gt;"",ROUND(G566,2)&lt;&gt;G566)),"REVISAR VALOR","OK"))))),"REVISAR VALOR")</f>
        <v/>
      </c>
    </row>
    <row r="567" spans="1:9" x14ac:dyDescent="0.45">
      <c r="A567" s="4"/>
      <c r="B567" s="8"/>
      <c r="C567" s="5"/>
      <c r="D567" s="5"/>
      <c r="E567" s="5"/>
      <c r="F567" s="7"/>
      <c r="G567" s="7"/>
      <c r="H567" s="8"/>
      <c r="I567" s="12" t="str">
        <f>IFERROR(IF(COUNTA(A567:H567)=0,"",IF(OR(A567="",B567="",C567="",D567="",E567="",F567=""),"FALTA CAMPO",IF(COUNTIFS($A$6:$A$1005,A567,$B$6:$B$1005,B567)&gt;1,"DUPLICADO FECHA-SKU",IF(COUNTIF(CATALOGO!$A$6:$A$105,B567)&lt;&gt;1,"SKU NO VALIDO",IF(OR(A567&lt;DATE(1900,1,1),A567&gt;DATE(2100,12,31),A567&gt;CONFIG!$B$5,C567&lt;0,C567&gt;1000000,D567&lt;0,D567&gt;1000000,E567&lt;0,E567&gt;1000000,E567&gt;D567,ABS(F567)&gt;1000000000,ABS(G567)&gt;1000000000,ROUND(F567,2)&lt;&gt;F567,AND(G567&lt;&gt;"",ROUND(G567,2)&lt;&gt;G567)),"REVISAR VALOR","OK"))))),"REVISAR VALOR")</f>
        <v/>
      </c>
    </row>
    <row r="568" spans="1:9" x14ac:dyDescent="0.45">
      <c r="A568" s="4"/>
      <c r="B568" s="8"/>
      <c r="C568" s="5"/>
      <c r="D568" s="5"/>
      <c r="E568" s="5"/>
      <c r="F568" s="7"/>
      <c r="G568" s="7"/>
      <c r="H568" s="8"/>
      <c r="I568" s="12" t="str">
        <f>IFERROR(IF(COUNTA(A568:H568)=0,"",IF(OR(A568="",B568="",C568="",D568="",E568="",F568=""),"FALTA CAMPO",IF(COUNTIFS($A$6:$A$1005,A568,$B$6:$B$1005,B568)&gt;1,"DUPLICADO FECHA-SKU",IF(COUNTIF(CATALOGO!$A$6:$A$105,B568)&lt;&gt;1,"SKU NO VALIDO",IF(OR(A568&lt;DATE(1900,1,1),A568&gt;DATE(2100,12,31),A568&gt;CONFIG!$B$5,C568&lt;0,C568&gt;1000000,D568&lt;0,D568&gt;1000000,E568&lt;0,E568&gt;1000000,E568&gt;D568,ABS(F568)&gt;1000000000,ABS(G568)&gt;1000000000,ROUND(F568,2)&lt;&gt;F568,AND(G568&lt;&gt;"",ROUND(G568,2)&lt;&gt;G568)),"REVISAR VALOR","OK"))))),"REVISAR VALOR")</f>
        <v/>
      </c>
    </row>
    <row r="569" spans="1:9" x14ac:dyDescent="0.45">
      <c r="A569" s="4"/>
      <c r="B569" s="8"/>
      <c r="C569" s="5"/>
      <c r="D569" s="5"/>
      <c r="E569" s="5"/>
      <c r="F569" s="7"/>
      <c r="G569" s="7"/>
      <c r="H569" s="8"/>
      <c r="I569" s="12" t="str">
        <f>IFERROR(IF(COUNTA(A569:H569)=0,"",IF(OR(A569="",B569="",C569="",D569="",E569="",F569=""),"FALTA CAMPO",IF(COUNTIFS($A$6:$A$1005,A569,$B$6:$B$1005,B569)&gt;1,"DUPLICADO FECHA-SKU",IF(COUNTIF(CATALOGO!$A$6:$A$105,B569)&lt;&gt;1,"SKU NO VALIDO",IF(OR(A569&lt;DATE(1900,1,1),A569&gt;DATE(2100,12,31),A569&gt;CONFIG!$B$5,C569&lt;0,C569&gt;1000000,D569&lt;0,D569&gt;1000000,E569&lt;0,E569&gt;1000000,E569&gt;D569,ABS(F569)&gt;1000000000,ABS(G569)&gt;1000000000,ROUND(F569,2)&lt;&gt;F569,AND(G569&lt;&gt;"",ROUND(G569,2)&lt;&gt;G569)),"REVISAR VALOR","OK"))))),"REVISAR VALOR")</f>
        <v/>
      </c>
    </row>
    <row r="570" spans="1:9" x14ac:dyDescent="0.45">
      <c r="A570" s="4"/>
      <c r="B570" s="8"/>
      <c r="C570" s="5"/>
      <c r="D570" s="5"/>
      <c r="E570" s="5"/>
      <c r="F570" s="7"/>
      <c r="G570" s="7"/>
      <c r="H570" s="8"/>
      <c r="I570" s="12" t="str">
        <f>IFERROR(IF(COUNTA(A570:H570)=0,"",IF(OR(A570="",B570="",C570="",D570="",E570="",F570=""),"FALTA CAMPO",IF(COUNTIFS($A$6:$A$1005,A570,$B$6:$B$1005,B570)&gt;1,"DUPLICADO FECHA-SKU",IF(COUNTIF(CATALOGO!$A$6:$A$105,B570)&lt;&gt;1,"SKU NO VALIDO",IF(OR(A570&lt;DATE(1900,1,1),A570&gt;DATE(2100,12,31),A570&gt;CONFIG!$B$5,C570&lt;0,C570&gt;1000000,D570&lt;0,D570&gt;1000000,E570&lt;0,E570&gt;1000000,E570&gt;D570,ABS(F570)&gt;1000000000,ABS(G570)&gt;1000000000,ROUND(F570,2)&lt;&gt;F570,AND(G570&lt;&gt;"",ROUND(G570,2)&lt;&gt;G570)),"REVISAR VALOR","OK"))))),"REVISAR VALOR")</f>
        <v/>
      </c>
    </row>
    <row r="571" spans="1:9" x14ac:dyDescent="0.45">
      <c r="A571" s="4"/>
      <c r="B571" s="8"/>
      <c r="C571" s="5"/>
      <c r="D571" s="5"/>
      <c r="E571" s="5"/>
      <c r="F571" s="7"/>
      <c r="G571" s="7"/>
      <c r="H571" s="8"/>
      <c r="I571" s="12" t="str">
        <f>IFERROR(IF(COUNTA(A571:H571)=0,"",IF(OR(A571="",B571="",C571="",D571="",E571="",F571=""),"FALTA CAMPO",IF(COUNTIFS($A$6:$A$1005,A571,$B$6:$B$1005,B571)&gt;1,"DUPLICADO FECHA-SKU",IF(COUNTIF(CATALOGO!$A$6:$A$105,B571)&lt;&gt;1,"SKU NO VALIDO",IF(OR(A571&lt;DATE(1900,1,1),A571&gt;DATE(2100,12,31),A571&gt;CONFIG!$B$5,C571&lt;0,C571&gt;1000000,D571&lt;0,D571&gt;1000000,E571&lt;0,E571&gt;1000000,E571&gt;D571,ABS(F571)&gt;1000000000,ABS(G571)&gt;1000000000,ROUND(F571,2)&lt;&gt;F571,AND(G571&lt;&gt;"",ROUND(G571,2)&lt;&gt;G571)),"REVISAR VALOR","OK"))))),"REVISAR VALOR")</f>
        <v/>
      </c>
    </row>
    <row r="572" spans="1:9" x14ac:dyDescent="0.45">
      <c r="A572" s="4"/>
      <c r="B572" s="8"/>
      <c r="C572" s="5"/>
      <c r="D572" s="5"/>
      <c r="E572" s="5"/>
      <c r="F572" s="7"/>
      <c r="G572" s="7"/>
      <c r="H572" s="8"/>
      <c r="I572" s="12" t="str">
        <f>IFERROR(IF(COUNTA(A572:H572)=0,"",IF(OR(A572="",B572="",C572="",D572="",E572="",F572=""),"FALTA CAMPO",IF(COUNTIFS($A$6:$A$1005,A572,$B$6:$B$1005,B572)&gt;1,"DUPLICADO FECHA-SKU",IF(COUNTIF(CATALOGO!$A$6:$A$105,B572)&lt;&gt;1,"SKU NO VALIDO",IF(OR(A572&lt;DATE(1900,1,1),A572&gt;DATE(2100,12,31),A572&gt;CONFIG!$B$5,C572&lt;0,C572&gt;1000000,D572&lt;0,D572&gt;1000000,E572&lt;0,E572&gt;1000000,E572&gt;D572,ABS(F572)&gt;1000000000,ABS(G572)&gt;1000000000,ROUND(F572,2)&lt;&gt;F572,AND(G572&lt;&gt;"",ROUND(G572,2)&lt;&gt;G572)),"REVISAR VALOR","OK"))))),"REVISAR VALOR")</f>
        <v/>
      </c>
    </row>
    <row r="573" spans="1:9" x14ac:dyDescent="0.45">
      <c r="A573" s="4"/>
      <c r="B573" s="8"/>
      <c r="C573" s="5"/>
      <c r="D573" s="5"/>
      <c r="E573" s="5"/>
      <c r="F573" s="7"/>
      <c r="G573" s="7"/>
      <c r="H573" s="8"/>
      <c r="I573" s="12" t="str">
        <f>IFERROR(IF(COUNTA(A573:H573)=0,"",IF(OR(A573="",B573="",C573="",D573="",E573="",F573=""),"FALTA CAMPO",IF(COUNTIFS($A$6:$A$1005,A573,$B$6:$B$1005,B573)&gt;1,"DUPLICADO FECHA-SKU",IF(COUNTIF(CATALOGO!$A$6:$A$105,B573)&lt;&gt;1,"SKU NO VALIDO",IF(OR(A573&lt;DATE(1900,1,1),A573&gt;DATE(2100,12,31),A573&gt;CONFIG!$B$5,C573&lt;0,C573&gt;1000000,D573&lt;0,D573&gt;1000000,E573&lt;0,E573&gt;1000000,E573&gt;D573,ABS(F573)&gt;1000000000,ABS(G573)&gt;1000000000,ROUND(F573,2)&lt;&gt;F573,AND(G573&lt;&gt;"",ROUND(G573,2)&lt;&gt;G573)),"REVISAR VALOR","OK"))))),"REVISAR VALOR")</f>
        <v/>
      </c>
    </row>
    <row r="574" spans="1:9" x14ac:dyDescent="0.45">
      <c r="A574" s="4"/>
      <c r="B574" s="8"/>
      <c r="C574" s="5"/>
      <c r="D574" s="5"/>
      <c r="E574" s="5"/>
      <c r="F574" s="7"/>
      <c r="G574" s="7"/>
      <c r="H574" s="8"/>
      <c r="I574" s="12" t="str">
        <f>IFERROR(IF(COUNTA(A574:H574)=0,"",IF(OR(A574="",B574="",C574="",D574="",E574="",F574=""),"FALTA CAMPO",IF(COUNTIFS($A$6:$A$1005,A574,$B$6:$B$1005,B574)&gt;1,"DUPLICADO FECHA-SKU",IF(COUNTIF(CATALOGO!$A$6:$A$105,B574)&lt;&gt;1,"SKU NO VALIDO",IF(OR(A574&lt;DATE(1900,1,1),A574&gt;DATE(2100,12,31),A574&gt;CONFIG!$B$5,C574&lt;0,C574&gt;1000000,D574&lt;0,D574&gt;1000000,E574&lt;0,E574&gt;1000000,E574&gt;D574,ABS(F574)&gt;1000000000,ABS(G574)&gt;1000000000,ROUND(F574,2)&lt;&gt;F574,AND(G574&lt;&gt;"",ROUND(G574,2)&lt;&gt;G574)),"REVISAR VALOR","OK"))))),"REVISAR VALOR")</f>
        <v/>
      </c>
    </row>
    <row r="575" spans="1:9" x14ac:dyDescent="0.45">
      <c r="A575" s="4"/>
      <c r="B575" s="8"/>
      <c r="C575" s="5"/>
      <c r="D575" s="5"/>
      <c r="E575" s="5"/>
      <c r="F575" s="7"/>
      <c r="G575" s="7"/>
      <c r="H575" s="8"/>
      <c r="I575" s="12" t="str">
        <f>IFERROR(IF(COUNTA(A575:H575)=0,"",IF(OR(A575="",B575="",C575="",D575="",E575="",F575=""),"FALTA CAMPO",IF(COUNTIFS($A$6:$A$1005,A575,$B$6:$B$1005,B575)&gt;1,"DUPLICADO FECHA-SKU",IF(COUNTIF(CATALOGO!$A$6:$A$105,B575)&lt;&gt;1,"SKU NO VALIDO",IF(OR(A575&lt;DATE(1900,1,1),A575&gt;DATE(2100,12,31),A575&gt;CONFIG!$B$5,C575&lt;0,C575&gt;1000000,D575&lt;0,D575&gt;1000000,E575&lt;0,E575&gt;1000000,E575&gt;D575,ABS(F575)&gt;1000000000,ABS(G575)&gt;1000000000,ROUND(F575,2)&lt;&gt;F575,AND(G575&lt;&gt;"",ROUND(G575,2)&lt;&gt;G575)),"REVISAR VALOR","OK"))))),"REVISAR VALOR")</f>
        <v/>
      </c>
    </row>
    <row r="576" spans="1:9" x14ac:dyDescent="0.45">
      <c r="A576" s="4"/>
      <c r="B576" s="8"/>
      <c r="C576" s="5"/>
      <c r="D576" s="5"/>
      <c r="E576" s="5"/>
      <c r="F576" s="7"/>
      <c r="G576" s="7"/>
      <c r="H576" s="8"/>
      <c r="I576" s="12" t="str">
        <f>IFERROR(IF(COUNTA(A576:H576)=0,"",IF(OR(A576="",B576="",C576="",D576="",E576="",F576=""),"FALTA CAMPO",IF(COUNTIFS($A$6:$A$1005,A576,$B$6:$B$1005,B576)&gt;1,"DUPLICADO FECHA-SKU",IF(COUNTIF(CATALOGO!$A$6:$A$105,B576)&lt;&gt;1,"SKU NO VALIDO",IF(OR(A576&lt;DATE(1900,1,1),A576&gt;DATE(2100,12,31),A576&gt;CONFIG!$B$5,C576&lt;0,C576&gt;1000000,D576&lt;0,D576&gt;1000000,E576&lt;0,E576&gt;1000000,E576&gt;D576,ABS(F576)&gt;1000000000,ABS(G576)&gt;1000000000,ROUND(F576,2)&lt;&gt;F576,AND(G576&lt;&gt;"",ROUND(G576,2)&lt;&gt;G576)),"REVISAR VALOR","OK"))))),"REVISAR VALOR")</f>
        <v/>
      </c>
    </row>
    <row r="577" spans="1:9" x14ac:dyDescent="0.45">
      <c r="A577" s="4"/>
      <c r="B577" s="8"/>
      <c r="C577" s="5"/>
      <c r="D577" s="5"/>
      <c r="E577" s="5"/>
      <c r="F577" s="7"/>
      <c r="G577" s="7"/>
      <c r="H577" s="8"/>
      <c r="I577" s="12" t="str">
        <f>IFERROR(IF(COUNTA(A577:H577)=0,"",IF(OR(A577="",B577="",C577="",D577="",E577="",F577=""),"FALTA CAMPO",IF(COUNTIFS($A$6:$A$1005,A577,$B$6:$B$1005,B577)&gt;1,"DUPLICADO FECHA-SKU",IF(COUNTIF(CATALOGO!$A$6:$A$105,B577)&lt;&gt;1,"SKU NO VALIDO",IF(OR(A577&lt;DATE(1900,1,1),A577&gt;DATE(2100,12,31),A577&gt;CONFIG!$B$5,C577&lt;0,C577&gt;1000000,D577&lt;0,D577&gt;1000000,E577&lt;0,E577&gt;1000000,E577&gt;D577,ABS(F577)&gt;1000000000,ABS(G577)&gt;1000000000,ROUND(F577,2)&lt;&gt;F577,AND(G577&lt;&gt;"",ROUND(G577,2)&lt;&gt;G577)),"REVISAR VALOR","OK"))))),"REVISAR VALOR")</f>
        <v/>
      </c>
    </row>
    <row r="578" spans="1:9" x14ac:dyDescent="0.45">
      <c r="A578" s="4"/>
      <c r="B578" s="8"/>
      <c r="C578" s="5"/>
      <c r="D578" s="5"/>
      <c r="E578" s="5"/>
      <c r="F578" s="7"/>
      <c r="G578" s="7"/>
      <c r="H578" s="8"/>
      <c r="I578" s="12" t="str">
        <f>IFERROR(IF(COUNTA(A578:H578)=0,"",IF(OR(A578="",B578="",C578="",D578="",E578="",F578=""),"FALTA CAMPO",IF(COUNTIFS($A$6:$A$1005,A578,$B$6:$B$1005,B578)&gt;1,"DUPLICADO FECHA-SKU",IF(COUNTIF(CATALOGO!$A$6:$A$105,B578)&lt;&gt;1,"SKU NO VALIDO",IF(OR(A578&lt;DATE(1900,1,1),A578&gt;DATE(2100,12,31),A578&gt;CONFIG!$B$5,C578&lt;0,C578&gt;1000000,D578&lt;0,D578&gt;1000000,E578&lt;0,E578&gt;1000000,E578&gt;D578,ABS(F578)&gt;1000000000,ABS(G578)&gt;1000000000,ROUND(F578,2)&lt;&gt;F578,AND(G578&lt;&gt;"",ROUND(G578,2)&lt;&gt;G578)),"REVISAR VALOR","OK"))))),"REVISAR VALOR")</f>
        <v/>
      </c>
    </row>
    <row r="579" spans="1:9" x14ac:dyDescent="0.45">
      <c r="A579" s="4"/>
      <c r="B579" s="8"/>
      <c r="C579" s="5"/>
      <c r="D579" s="5"/>
      <c r="E579" s="5"/>
      <c r="F579" s="7"/>
      <c r="G579" s="7"/>
      <c r="H579" s="8"/>
      <c r="I579" s="12" t="str">
        <f>IFERROR(IF(COUNTA(A579:H579)=0,"",IF(OR(A579="",B579="",C579="",D579="",E579="",F579=""),"FALTA CAMPO",IF(COUNTIFS($A$6:$A$1005,A579,$B$6:$B$1005,B579)&gt;1,"DUPLICADO FECHA-SKU",IF(COUNTIF(CATALOGO!$A$6:$A$105,B579)&lt;&gt;1,"SKU NO VALIDO",IF(OR(A579&lt;DATE(1900,1,1),A579&gt;DATE(2100,12,31),A579&gt;CONFIG!$B$5,C579&lt;0,C579&gt;1000000,D579&lt;0,D579&gt;1000000,E579&lt;0,E579&gt;1000000,E579&gt;D579,ABS(F579)&gt;1000000000,ABS(G579)&gt;1000000000,ROUND(F579,2)&lt;&gt;F579,AND(G579&lt;&gt;"",ROUND(G579,2)&lt;&gt;G579)),"REVISAR VALOR","OK"))))),"REVISAR VALOR")</f>
        <v/>
      </c>
    </row>
    <row r="580" spans="1:9" x14ac:dyDescent="0.45">
      <c r="A580" s="4"/>
      <c r="B580" s="8"/>
      <c r="C580" s="5"/>
      <c r="D580" s="5"/>
      <c r="E580" s="5"/>
      <c r="F580" s="7"/>
      <c r="G580" s="7"/>
      <c r="H580" s="8"/>
      <c r="I580" s="12" t="str">
        <f>IFERROR(IF(COUNTA(A580:H580)=0,"",IF(OR(A580="",B580="",C580="",D580="",E580="",F580=""),"FALTA CAMPO",IF(COUNTIFS($A$6:$A$1005,A580,$B$6:$B$1005,B580)&gt;1,"DUPLICADO FECHA-SKU",IF(COUNTIF(CATALOGO!$A$6:$A$105,B580)&lt;&gt;1,"SKU NO VALIDO",IF(OR(A580&lt;DATE(1900,1,1),A580&gt;DATE(2100,12,31),A580&gt;CONFIG!$B$5,C580&lt;0,C580&gt;1000000,D580&lt;0,D580&gt;1000000,E580&lt;0,E580&gt;1000000,E580&gt;D580,ABS(F580)&gt;1000000000,ABS(G580)&gt;1000000000,ROUND(F580,2)&lt;&gt;F580,AND(G580&lt;&gt;"",ROUND(G580,2)&lt;&gt;G580)),"REVISAR VALOR","OK"))))),"REVISAR VALOR")</f>
        <v/>
      </c>
    </row>
    <row r="581" spans="1:9" x14ac:dyDescent="0.45">
      <c r="A581" s="4"/>
      <c r="B581" s="8"/>
      <c r="C581" s="5"/>
      <c r="D581" s="5"/>
      <c r="E581" s="5"/>
      <c r="F581" s="7"/>
      <c r="G581" s="7"/>
      <c r="H581" s="8"/>
      <c r="I581" s="12" t="str">
        <f>IFERROR(IF(COUNTA(A581:H581)=0,"",IF(OR(A581="",B581="",C581="",D581="",E581="",F581=""),"FALTA CAMPO",IF(COUNTIFS($A$6:$A$1005,A581,$B$6:$B$1005,B581)&gt;1,"DUPLICADO FECHA-SKU",IF(COUNTIF(CATALOGO!$A$6:$A$105,B581)&lt;&gt;1,"SKU NO VALIDO",IF(OR(A581&lt;DATE(1900,1,1),A581&gt;DATE(2100,12,31),A581&gt;CONFIG!$B$5,C581&lt;0,C581&gt;1000000,D581&lt;0,D581&gt;1000000,E581&lt;0,E581&gt;1000000,E581&gt;D581,ABS(F581)&gt;1000000000,ABS(G581)&gt;1000000000,ROUND(F581,2)&lt;&gt;F581,AND(G581&lt;&gt;"",ROUND(G581,2)&lt;&gt;G581)),"REVISAR VALOR","OK"))))),"REVISAR VALOR")</f>
        <v/>
      </c>
    </row>
    <row r="582" spans="1:9" x14ac:dyDescent="0.45">
      <c r="A582" s="4"/>
      <c r="B582" s="8"/>
      <c r="C582" s="5"/>
      <c r="D582" s="5"/>
      <c r="E582" s="5"/>
      <c r="F582" s="7"/>
      <c r="G582" s="7"/>
      <c r="H582" s="8"/>
      <c r="I582" s="12" t="str">
        <f>IFERROR(IF(COUNTA(A582:H582)=0,"",IF(OR(A582="",B582="",C582="",D582="",E582="",F582=""),"FALTA CAMPO",IF(COUNTIFS($A$6:$A$1005,A582,$B$6:$B$1005,B582)&gt;1,"DUPLICADO FECHA-SKU",IF(COUNTIF(CATALOGO!$A$6:$A$105,B582)&lt;&gt;1,"SKU NO VALIDO",IF(OR(A582&lt;DATE(1900,1,1),A582&gt;DATE(2100,12,31),A582&gt;CONFIG!$B$5,C582&lt;0,C582&gt;1000000,D582&lt;0,D582&gt;1000000,E582&lt;0,E582&gt;1000000,E582&gt;D582,ABS(F582)&gt;1000000000,ABS(G582)&gt;1000000000,ROUND(F582,2)&lt;&gt;F582,AND(G582&lt;&gt;"",ROUND(G582,2)&lt;&gt;G582)),"REVISAR VALOR","OK"))))),"REVISAR VALOR")</f>
        <v/>
      </c>
    </row>
    <row r="583" spans="1:9" x14ac:dyDescent="0.45">
      <c r="A583" s="4"/>
      <c r="B583" s="8"/>
      <c r="C583" s="5"/>
      <c r="D583" s="5"/>
      <c r="E583" s="5"/>
      <c r="F583" s="7"/>
      <c r="G583" s="7"/>
      <c r="H583" s="8"/>
      <c r="I583" s="12" t="str">
        <f>IFERROR(IF(COUNTA(A583:H583)=0,"",IF(OR(A583="",B583="",C583="",D583="",E583="",F583=""),"FALTA CAMPO",IF(COUNTIFS($A$6:$A$1005,A583,$B$6:$B$1005,B583)&gt;1,"DUPLICADO FECHA-SKU",IF(COUNTIF(CATALOGO!$A$6:$A$105,B583)&lt;&gt;1,"SKU NO VALIDO",IF(OR(A583&lt;DATE(1900,1,1),A583&gt;DATE(2100,12,31),A583&gt;CONFIG!$B$5,C583&lt;0,C583&gt;1000000,D583&lt;0,D583&gt;1000000,E583&lt;0,E583&gt;1000000,E583&gt;D583,ABS(F583)&gt;1000000000,ABS(G583)&gt;1000000000,ROUND(F583,2)&lt;&gt;F583,AND(G583&lt;&gt;"",ROUND(G583,2)&lt;&gt;G583)),"REVISAR VALOR","OK"))))),"REVISAR VALOR")</f>
        <v/>
      </c>
    </row>
    <row r="584" spans="1:9" x14ac:dyDescent="0.45">
      <c r="A584" s="4"/>
      <c r="B584" s="8"/>
      <c r="C584" s="5"/>
      <c r="D584" s="5"/>
      <c r="E584" s="5"/>
      <c r="F584" s="7"/>
      <c r="G584" s="7"/>
      <c r="H584" s="8"/>
      <c r="I584" s="12" t="str">
        <f>IFERROR(IF(COUNTA(A584:H584)=0,"",IF(OR(A584="",B584="",C584="",D584="",E584="",F584=""),"FALTA CAMPO",IF(COUNTIFS($A$6:$A$1005,A584,$B$6:$B$1005,B584)&gt;1,"DUPLICADO FECHA-SKU",IF(COUNTIF(CATALOGO!$A$6:$A$105,B584)&lt;&gt;1,"SKU NO VALIDO",IF(OR(A584&lt;DATE(1900,1,1),A584&gt;DATE(2100,12,31),A584&gt;CONFIG!$B$5,C584&lt;0,C584&gt;1000000,D584&lt;0,D584&gt;1000000,E584&lt;0,E584&gt;1000000,E584&gt;D584,ABS(F584)&gt;1000000000,ABS(G584)&gt;1000000000,ROUND(F584,2)&lt;&gt;F584,AND(G584&lt;&gt;"",ROUND(G584,2)&lt;&gt;G584)),"REVISAR VALOR","OK"))))),"REVISAR VALOR")</f>
        <v/>
      </c>
    </row>
    <row r="585" spans="1:9" x14ac:dyDescent="0.45">
      <c r="A585" s="4"/>
      <c r="B585" s="8"/>
      <c r="C585" s="5"/>
      <c r="D585" s="5"/>
      <c r="E585" s="5"/>
      <c r="F585" s="7"/>
      <c r="G585" s="7"/>
      <c r="H585" s="8"/>
      <c r="I585" s="12" t="str">
        <f>IFERROR(IF(COUNTA(A585:H585)=0,"",IF(OR(A585="",B585="",C585="",D585="",E585="",F585=""),"FALTA CAMPO",IF(COUNTIFS($A$6:$A$1005,A585,$B$6:$B$1005,B585)&gt;1,"DUPLICADO FECHA-SKU",IF(COUNTIF(CATALOGO!$A$6:$A$105,B585)&lt;&gt;1,"SKU NO VALIDO",IF(OR(A585&lt;DATE(1900,1,1),A585&gt;DATE(2100,12,31),A585&gt;CONFIG!$B$5,C585&lt;0,C585&gt;1000000,D585&lt;0,D585&gt;1000000,E585&lt;0,E585&gt;1000000,E585&gt;D585,ABS(F585)&gt;1000000000,ABS(G585)&gt;1000000000,ROUND(F585,2)&lt;&gt;F585,AND(G585&lt;&gt;"",ROUND(G585,2)&lt;&gt;G585)),"REVISAR VALOR","OK"))))),"REVISAR VALOR")</f>
        <v/>
      </c>
    </row>
    <row r="586" spans="1:9" x14ac:dyDescent="0.45">
      <c r="A586" s="4"/>
      <c r="B586" s="8"/>
      <c r="C586" s="5"/>
      <c r="D586" s="5"/>
      <c r="E586" s="5"/>
      <c r="F586" s="7"/>
      <c r="G586" s="7"/>
      <c r="H586" s="8"/>
      <c r="I586" s="12" t="str">
        <f>IFERROR(IF(COUNTA(A586:H586)=0,"",IF(OR(A586="",B586="",C586="",D586="",E586="",F586=""),"FALTA CAMPO",IF(COUNTIFS($A$6:$A$1005,A586,$B$6:$B$1005,B586)&gt;1,"DUPLICADO FECHA-SKU",IF(COUNTIF(CATALOGO!$A$6:$A$105,B586)&lt;&gt;1,"SKU NO VALIDO",IF(OR(A586&lt;DATE(1900,1,1),A586&gt;DATE(2100,12,31),A586&gt;CONFIG!$B$5,C586&lt;0,C586&gt;1000000,D586&lt;0,D586&gt;1000000,E586&lt;0,E586&gt;1000000,E586&gt;D586,ABS(F586)&gt;1000000000,ABS(G586)&gt;1000000000,ROUND(F586,2)&lt;&gt;F586,AND(G586&lt;&gt;"",ROUND(G586,2)&lt;&gt;G586)),"REVISAR VALOR","OK"))))),"REVISAR VALOR")</f>
        <v/>
      </c>
    </row>
    <row r="587" spans="1:9" x14ac:dyDescent="0.45">
      <c r="A587" s="4"/>
      <c r="B587" s="8"/>
      <c r="C587" s="5"/>
      <c r="D587" s="5"/>
      <c r="E587" s="5"/>
      <c r="F587" s="7"/>
      <c r="G587" s="7"/>
      <c r="H587" s="8"/>
      <c r="I587" s="12" t="str">
        <f>IFERROR(IF(COUNTA(A587:H587)=0,"",IF(OR(A587="",B587="",C587="",D587="",E587="",F587=""),"FALTA CAMPO",IF(COUNTIFS($A$6:$A$1005,A587,$B$6:$B$1005,B587)&gt;1,"DUPLICADO FECHA-SKU",IF(COUNTIF(CATALOGO!$A$6:$A$105,B587)&lt;&gt;1,"SKU NO VALIDO",IF(OR(A587&lt;DATE(1900,1,1),A587&gt;DATE(2100,12,31),A587&gt;CONFIG!$B$5,C587&lt;0,C587&gt;1000000,D587&lt;0,D587&gt;1000000,E587&lt;0,E587&gt;1000000,E587&gt;D587,ABS(F587)&gt;1000000000,ABS(G587)&gt;1000000000,ROUND(F587,2)&lt;&gt;F587,AND(G587&lt;&gt;"",ROUND(G587,2)&lt;&gt;G587)),"REVISAR VALOR","OK"))))),"REVISAR VALOR")</f>
        <v/>
      </c>
    </row>
    <row r="588" spans="1:9" x14ac:dyDescent="0.45">
      <c r="A588" s="4"/>
      <c r="B588" s="8"/>
      <c r="C588" s="5"/>
      <c r="D588" s="5"/>
      <c r="E588" s="5"/>
      <c r="F588" s="7"/>
      <c r="G588" s="7"/>
      <c r="H588" s="8"/>
      <c r="I588" s="12" t="str">
        <f>IFERROR(IF(COUNTA(A588:H588)=0,"",IF(OR(A588="",B588="",C588="",D588="",E588="",F588=""),"FALTA CAMPO",IF(COUNTIFS($A$6:$A$1005,A588,$B$6:$B$1005,B588)&gt;1,"DUPLICADO FECHA-SKU",IF(COUNTIF(CATALOGO!$A$6:$A$105,B588)&lt;&gt;1,"SKU NO VALIDO",IF(OR(A588&lt;DATE(1900,1,1),A588&gt;DATE(2100,12,31),A588&gt;CONFIG!$B$5,C588&lt;0,C588&gt;1000000,D588&lt;0,D588&gt;1000000,E588&lt;0,E588&gt;1000000,E588&gt;D588,ABS(F588)&gt;1000000000,ABS(G588)&gt;1000000000,ROUND(F588,2)&lt;&gt;F588,AND(G588&lt;&gt;"",ROUND(G588,2)&lt;&gt;G588)),"REVISAR VALOR","OK"))))),"REVISAR VALOR")</f>
        <v/>
      </c>
    </row>
    <row r="589" spans="1:9" x14ac:dyDescent="0.45">
      <c r="A589" s="4"/>
      <c r="B589" s="8"/>
      <c r="C589" s="5"/>
      <c r="D589" s="5"/>
      <c r="E589" s="5"/>
      <c r="F589" s="7"/>
      <c r="G589" s="7"/>
      <c r="H589" s="8"/>
      <c r="I589" s="12" t="str">
        <f>IFERROR(IF(COUNTA(A589:H589)=0,"",IF(OR(A589="",B589="",C589="",D589="",E589="",F589=""),"FALTA CAMPO",IF(COUNTIFS($A$6:$A$1005,A589,$B$6:$B$1005,B589)&gt;1,"DUPLICADO FECHA-SKU",IF(COUNTIF(CATALOGO!$A$6:$A$105,B589)&lt;&gt;1,"SKU NO VALIDO",IF(OR(A589&lt;DATE(1900,1,1),A589&gt;DATE(2100,12,31),A589&gt;CONFIG!$B$5,C589&lt;0,C589&gt;1000000,D589&lt;0,D589&gt;1000000,E589&lt;0,E589&gt;1000000,E589&gt;D589,ABS(F589)&gt;1000000000,ABS(G589)&gt;1000000000,ROUND(F589,2)&lt;&gt;F589,AND(G589&lt;&gt;"",ROUND(G589,2)&lt;&gt;G589)),"REVISAR VALOR","OK"))))),"REVISAR VALOR")</f>
        <v/>
      </c>
    </row>
    <row r="590" spans="1:9" x14ac:dyDescent="0.45">
      <c r="A590" s="4"/>
      <c r="B590" s="8"/>
      <c r="C590" s="5"/>
      <c r="D590" s="5"/>
      <c r="E590" s="5"/>
      <c r="F590" s="7"/>
      <c r="G590" s="7"/>
      <c r="H590" s="8"/>
      <c r="I590" s="12" t="str">
        <f>IFERROR(IF(COUNTA(A590:H590)=0,"",IF(OR(A590="",B590="",C590="",D590="",E590="",F590=""),"FALTA CAMPO",IF(COUNTIFS($A$6:$A$1005,A590,$B$6:$B$1005,B590)&gt;1,"DUPLICADO FECHA-SKU",IF(COUNTIF(CATALOGO!$A$6:$A$105,B590)&lt;&gt;1,"SKU NO VALIDO",IF(OR(A590&lt;DATE(1900,1,1),A590&gt;DATE(2100,12,31),A590&gt;CONFIG!$B$5,C590&lt;0,C590&gt;1000000,D590&lt;0,D590&gt;1000000,E590&lt;0,E590&gt;1000000,E590&gt;D590,ABS(F590)&gt;1000000000,ABS(G590)&gt;1000000000,ROUND(F590,2)&lt;&gt;F590,AND(G590&lt;&gt;"",ROUND(G590,2)&lt;&gt;G590)),"REVISAR VALOR","OK"))))),"REVISAR VALOR")</f>
        <v/>
      </c>
    </row>
    <row r="591" spans="1:9" x14ac:dyDescent="0.45">
      <c r="A591" s="4"/>
      <c r="B591" s="8"/>
      <c r="C591" s="5"/>
      <c r="D591" s="5"/>
      <c r="E591" s="5"/>
      <c r="F591" s="7"/>
      <c r="G591" s="7"/>
      <c r="H591" s="8"/>
      <c r="I591" s="12" t="str">
        <f>IFERROR(IF(COUNTA(A591:H591)=0,"",IF(OR(A591="",B591="",C591="",D591="",E591="",F591=""),"FALTA CAMPO",IF(COUNTIFS($A$6:$A$1005,A591,$B$6:$B$1005,B591)&gt;1,"DUPLICADO FECHA-SKU",IF(COUNTIF(CATALOGO!$A$6:$A$105,B591)&lt;&gt;1,"SKU NO VALIDO",IF(OR(A591&lt;DATE(1900,1,1),A591&gt;DATE(2100,12,31),A591&gt;CONFIG!$B$5,C591&lt;0,C591&gt;1000000,D591&lt;0,D591&gt;1000000,E591&lt;0,E591&gt;1000000,E591&gt;D591,ABS(F591)&gt;1000000000,ABS(G591)&gt;1000000000,ROUND(F591,2)&lt;&gt;F591,AND(G591&lt;&gt;"",ROUND(G591,2)&lt;&gt;G591)),"REVISAR VALOR","OK"))))),"REVISAR VALOR")</f>
        <v/>
      </c>
    </row>
    <row r="592" spans="1:9" x14ac:dyDescent="0.45">
      <c r="A592" s="4"/>
      <c r="B592" s="8"/>
      <c r="C592" s="5"/>
      <c r="D592" s="5"/>
      <c r="E592" s="5"/>
      <c r="F592" s="7"/>
      <c r="G592" s="7"/>
      <c r="H592" s="8"/>
      <c r="I592" s="12" t="str">
        <f>IFERROR(IF(COUNTA(A592:H592)=0,"",IF(OR(A592="",B592="",C592="",D592="",E592="",F592=""),"FALTA CAMPO",IF(COUNTIFS($A$6:$A$1005,A592,$B$6:$B$1005,B592)&gt;1,"DUPLICADO FECHA-SKU",IF(COUNTIF(CATALOGO!$A$6:$A$105,B592)&lt;&gt;1,"SKU NO VALIDO",IF(OR(A592&lt;DATE(1900,1,1),A592&gt;DATE(2100,12,31),A592&gt;CONFIG!$B$5,C592&lt;0,C592&gt;1000000,D592&lt;0,D592&gt;1000000,E592&lt;0,E592&gt;1000000,E592&gt;D592,ABS(F592)&gt;1000000000,ABS(G592)&gt;1000000000,ROUND(F592,2)&lt;&gt;F592,AND(G592&lt;&gt;"",ROUND(G592,2)&lt;&gt;G592)),"REVISAR VALOR","OK"))))),"REVISAR VALOR")</f>
        <v/>
      </c>
    </row>
    <row r="593" spans="1:9" x14ac:dyDescent="0.45">
      <c r="A593" s="4"/>
      <c r="B593" s="8"/>
      <c r="C593" s="5"/>
      <c r="D593" s="5"/>
      <c r="E593" s="5"/>
      <c r="F593" s="7"/>
      <c r="G593" s="7"/>
      <c r="H593" s="8"/>
      <c r="I593" s="12" t="str">
        <f>IFERROR(IF(COUNTA(A593:H593)=0,"",IF(OR(A593="",B593="",C593="",D593="",E593="",F593=""),"FALTA CAMPO",IF(COUNTIFS($A$6:$A$1005,A593,$B$6:$B$1005,B593)&gt;1,"DUPLICADO FECHA-SKU",IF(COUNTIF(CATALOGO!$A$6:$A$105,B593)&lt;&gt;1,"SKU NO VALIDO",IF(OR(A593&lt;DATE(1900,1,1),A593&gt;DATE(2100,12,31),A593&gt;CONFIG!$B$5,C593&lt;0,C593&gt;1000000,D593&lt;0,D593&gt;1000000,E593&lt;0,E593&gt;1000000,E593&gt;D593,ABS(F593)&gt;1000000000,ABS(G593)&gt;1000000000,ROUND(F593,2)&lt;&gt;F593,AND(G593&lt;&gt;"",ROUND(G593,2)&lt;&gt;G593)),"REVISAR VALOR","OK"))))),"REVISAR VALOR")</f>
        <v/>
      </c>
    </row>
    <row r="594" spans="1:9" x14ac:dyDescent="0.45">
      <c r="A594" s="4"/>
      <c r="B594" s="8"/>
      <c r="C594" s="5"/>
      <c r="D594" s="5"/>
      <c r="E594" s="5"/>
      <c r="F594" s="7"/>
      <c r="G594" s="7"/>
      <c r="H594" s="8"/>
      <c r="I594" s="12" t="str">
        <f>IFERROR(IF(COUNTA(A594:H594)=0,"",IF(OR(A594="",B594="",C594="",D594="",E594="",F594=""),"FALTA CAMPO",IF(COUNTIFS($A$6:$A$1005,A594,$B$6:$B$1005,B594)&gt;1,"DUPLICADO FECHA-SKU",IF(COUNTIF(CATALOGO!$A$6:$A$105,B594)&lt;&gt;1,"SKU NO VALIDO",IF(OR(A594&lt;DATE(1900,1,1),A594&gt;DATE(2100,12,31),A594&gt;CONFIG!$B$5,C594&lt;0,C594&gt;1000000,D594&lt;0,D594&gt;1000000,E594&lt;0,E594&gt;1000000,E594&gt;D594,ABS(F594)&gt;1000000000,ABS(G594)&gt;1000000000,ROUND(F594,2)&lt;&gt;F594,AND(G594&lt;&gt;"",ROUND(G594,2)&lt;&gt;G594)),"REVISAR VALOR","OK"))))),"REVISAR VALOR")</f>
        <v/>
      </c>
    </row>
    <row r="595" spans="1:9" x14ac:dyDescent="0.45">
      <c r="A595" s="4"/>
      <c r="B595" s="8"/>
      <c r="C595" s="5"/>
      <c r="D595" s="5"/>
      <c r="E595" s="5"/>
      <c r="F595" s="7"/>
      <c r="G595" s="7"/>
      <c r="H595" s="8"/>
      <c r="I595" s="12" t="str">
        <f>IFERROR(IF(COUNTA(A595:H595)=0,"",IF(OR(A595="",B595="",C595="",D595="",E595="",F595=""),"FALTA CAMPO",IF(COUNTIFS($A$6:$A$1005,A595,$B$6:$B$1005,B595)&gt;1,"DUPLICADO FECHA-SKU",IF(COUNTIF(CATALOGO!$A$6:$A$105,B595)&lt;&gt;1,"SKU NO VALIDO",IF(OR(A595&lt;DATE(1900,1,1),A595&gt;DATE(2100,12,31),A595&gt;CONFIG!$B$5,C595&lt;0,C595&gt;1000000,D595&lt;0,D595&gt;1000000,E595&lt;0,E595&gt;1000000,E595&gt;D595,ABS(F595)&gt;1000000000,ABS(G595)&gt;1000000000,ROUND(F595,2)&lt;&gt;F595,AND(G595&lt;&gt;"",ROUND(G595,2)&lt;&gt;G595)),"REVISAR VALOR","OK"))))),"REVISAR VALOR")</f>
        <v/>
      </c>
    </row>
    <row r="596" spans="1:9" x14ac:dyDescent="0.45">
      <c r="A596" s="4"/>
      <c r="B596" s="8"/>
      <c r="C596" s="5"/>
      <c r="D596" s="5"/>
      <c r="E596" s="5"/>
      <c r="F596" s="7"/>
      <c r="G596" s="7"/>
      <c r="H596" s="8"/>
      <c r="I596" s="12" t="str">
        <f>IFERROR(IF(COUNTA(A596:H596)=0,"",IF(OR(A596="",B596="",C596="",D596="",E596="",F596=""),"FALTA CAMPO",IF(COUNTIFS($A$6:$A$1005,A596,$B$6:$B$1005,B596)&gt;1,"DUPLICADO FECHA-SKU",IF(COUNTIF(CATALOGO!$A$6:$A$105,B596)&lt;&gt;1,"SKU NO VALIDO",IF(OR(A596&lt;DATE(1900,1,1),A596&gt;DATE(2100,12,31),A596&gt;CONFIG!$B$5,C596&lt;0,C596&gt;1000000,D596&lt;0,D596&gt;1000000,E596&lt;0,E596&gt;1000000,E596&gt;D596,ABS(F596)&gt;1000000000,ABS(G596)&gt;1000000000,ROUND(F596,2)&lt;&gt;F596,AND(G596&lt;&gt;"",ROUND(G596,2)&lt;&gt;G596)),"REVISAR VALOR","OK"))))),"REVISAR VALOR")</f>
        <v/>
      </c>
    </row>
    <row r="597" spans="1:9" x14ac:dyDescent="0.45">
      <c r="A597" s="4"/>
      <c r="B597" s="8"/>
      <c r="C597" s="5"/>
      <c r="D597" s="5"/>
      <c r="E597" s="5"/>
      <c r="F597" s="7"/>
      <c r="G597" s="7"/>
      <c r="H597" s="8"/>
      <c r="I597" s="12" t="str">
        <f>IFERROR(IF(COUNTA(A597:H597)=0,"",IF(OR(A597="",B597="",C597="",D597="",E597="",F597=""),"FALTA CAMPO",IF(COUNTIFS($A$6:$A$1005,A597,$B$6:$B$1005,B597)&gt;1,"DUPLICADO FECHA-SKU",IF(COUNTIF(CATALOGO!$A$6:$A$105,B597)&lt;&gt;1,"SKU NO VALIDO",IF(OR(A597&lt;DATE(1900,1,1),A597&gt;DATE(2100,12,31),A597&gt;CONFIG!$B$5,C597&lt;0,C597&gt;1000000,D597&lt;0,D597&gt;1000000,E597&lt;0,E597&gt;1000000,E597&gt;D597,ABS(F597)&gt;1000000000,ABS(G597)&gt;1000000000,ROUND(F597,2)&lt;&gt;F597,AND(G597&lt;&gt;"",ROUND(G597,2)&lt;&gt;G597)),"REVISAR VALOR","OK"))))),"REVISAR VALOR")</f>
        <v/>
      </c>
    </row>
    <row r="598" spans="1:9" x14ac:dyDescent="0.45">
      <c r="A598" s="4"/>
      <c r="B598" s="8"/>
      <c r="C598" s="5"/>
      <c r="D598" s="5"/>
      <c r="E598" s="5"/>
      <c r="F598" s="7"/>
      <c r="G598" s="7"/>
      <c r="H598" s="8"/>
      <c r="I598" s="12" t="str">
        <f>IFERROR(IF(COUNTA(A598:H598)=0,"",IF(OR(A598="",B598="",C598="",D598="",E598="",F598=""),"FALTA CAMPO",IF(COUNTIFS($A$6:$A$1005,A598,$B$6:$B$1005,B598)&gt;1,"DUPLICADO FECHA-SKU",IF(COUNTIF(CATALOGO!$A$6:$A$105,B598)&lt;&gt;1,"SKU NO VALIDO",IF(OR(A598&lt;DATE(1900,1,1),A598&gt;DATE(2100,12,31),A598&gt;CONFIG!$B$5,C598&lt;0,C598&gt;1000000,D598&lt;0,D598&gt;1000000,E598&lt;0,E598&gt;1000000,E598&gt;D598,ABS(F598)&gt;1000000000,ABS(G598)&gt;1000000000,ROUND(F598,2)&lt;&gt;F598,AND(G598&lt;&gt;"",ROUND(G598,2)&lt;&gt;G598)),"REVISAR VALOR","OK"))))),"REVISAR VALOR")</f>
        <v/>
      </c>
    </row>
    <row r="599" spans="1:9" x14ac:dyDescent="0.45">
      <c r="A599" s="4"/>
      <c r="B599" s="8"/>
      <c r="C599" s="5"/>
      <c r="D599" s="5"/>
      <c r="E599" s="5"/>
      <c r="F599" s="7"/>
      <c r="G599" s="7"/>
      <c r="H599" s="8"/>
      <c r="I599" s="12" t="str">
        <f>IFERROR(IF(COUNTA(A599:H599)=0,"",IF(OR(A599="",B599="",C599="",D599="",E599="",F599=""),"FALTA CAMPO",IF(COUNTIFS($A$6:$A$1005,A599,$B$6:$B$1005,B599)&gt;1,"DUPLICADO FECHA-SKU",IF(COUNTIF(CATALOGO!$A$6:$A$105,B599)&lt;&gt;1,"SKU NO VALIDO",IF(OR(A599&lt;DATE(1900,1,1),A599&gt;DATE(2100,12,31),A599&gt;CONFIG!$B$5,C599&lt;0,C599&gt;1000000,D599&lt;0,D599&gt;1000000,E599&lt;0,E599&gt;1000000,E599&gt;D599,ABS(F599)&gt;1000000000,ABS(G599)&gt;1000000000,ROUND(F599,2)&lt;&gt;F599,AND(G599&lt;&gt;"",ROUND(G599,2)&lt;&gt;G599)),"REVISAR VALOR","OK"))))),"REVISAR VALOR")</f>
        <v/>
      </c>
    </row>
    <row r="600" spans="1:9" x14ac:dyDescent="0.45">
      <c r="A600" s="4"/>
      <c r="B600" s="8"/>
      <c r="C600" s="5"/>
      <c r="D600" s="5"/>
      <c r="E600" s="5"/>
      <c r="F600" s="7"/>
      <c r="G600" s="7"/>
      <c r="H600" s="8"/>
      <c r="I600" s="12" t="str">
        <f>IFERROR(IF(COUNTA(A600:H600)=0,"",IF(OR(A600="",B600="",C600="",D600="",E600="",F600=""),"FALTA CAMPO",IF(COUNTIFS($A$6:$A$1005,A600,$B$6:$B$1005,B600)&gt;1,"DUPLICADO FECHA-SKU",IF(COUNTIF(CATALOGO!$A$6:$A$105,B600)&lt;&gt;1,"SKU NO VALIDO",IF(OR(A600&lt;DATE(1900,1,1),A600&gt;DATE(2100,12,31),A600&gt;CONFIG!$B$5,C600&lt;0,C600&gt;1000000,D600&lt;0,D600&gt;1000000,E600&lt;0,E600&gt;1000000,E600&gt;D600,ABS(F600)&gt;1000000000,ABS(G600)&gt;1000000000,ROUND(F600,2)&lt;&gt;F600,AND(G600&lt;&gt;"",ROUND(G600,2)&lt;&gt;G600)),"REVISAR VALOR","OK"))))),"REVISAR VALOR")</f>
        <v/>
      </c>
    </row>
    <row r="601" spans="1:9" x14ac:dyDescent="0.45">
      <c r="A601" s="4"/>
      <c r="B601" s="8"/>
      <c r="C601" s="5"/>
      <c r="D601" s="5"/>
      <c r="E601" s="5"/>
      <c r="F601" s="7"/>
      <c r="G601" s="7"/>
      <c r="H601" s="8"/>
      <c r="I601" s="12" t="str">
        <f>IFERROR(IF(COUNTA(A601:H601)=0,"",IF(OR(A601="",B601="",C601="",D601="",E601="",F601=""),"FALTA CAMPO",IF(COUNTIFS($A$6:$A$1005,A601,$B$6:$B$1005,B601)&gt;1,"DUPLICADO FECHA-SKU",IF(COUNTIF(CATALOGO!$A$6:$A$105,B601)&lt;&gt;1,"SKU NO VALIDO",IF(OR(A601&lt;DATE(1900,1,1),A601&gt;DATE(2100,12,31),A601&gt;CONFIG!$B$5,C601&lt;0,C601&gt;1000000,D601&lt;0,D601&gt;1000000,E601&lt;0,E601&gt;1000000,E601&gt;D601,ABS(F601)&gt;1000000000,ABS(G601)&gt;1000000000,ROUND(F601,2)&lt;&gt;F601,AND(G601&lt;&gt;"",ROUND(G601,2)&lt;&gt;G601)),"REVISAR VALOR","OK"))))),"REVISAR VALOR")</f>
        <v/>
      </c>
    </row>
    <row r="602" spans="1:9" x14ac:dyDescent="0.45">
      <c r="A602" s="4"/>
      <c r="B602" s="8"/>
      <c r="C602" s="5"/>
      <c r="D602" s="5"/>
      <c r="E602" s="5"/>
      <c r="F602" s="7"/>
      <c r="G602" s="7"/>
      <c r="H602" s="8"/>
      <c r="I602" s="12" t="str">
        <f>IFERROR(IF(COUNTA(A602:H602)=0,"",IF(OR(A602="",B602="",C602="",D602="",E602="",F602=""),"FALTA CAMPO",IF(COUNTIFS($A$6:$A$1005,A602,$B$6:$B$1005,B602)&gt;1,"DUPLICADO FECHA-SKU",IF(COUNTIF(CATALOGO!$A$6:$A$105,B602)&lt;&gt;1,"SKU NO VALIDO",IF(OR(A602&lt;DATE(1900,1,1),A602&gt;DATE(2100,12,31),A602&gt;CONFIG!$B$5,C602&lt;0,C602&gt;1000000,D602&lt;0,D602&gt;1000000,E602&lt;0,E602&gt;1000000,E602&gt;D602,ABS(F602)&gt;1000000000,ABS(G602)&gt;1000000000,ROUND(F602,2)&lt;&gt;F602,AND(G602&lt;&gt;"",ROUND(G602,2)&lt;&gt;G602)),"REVISAR VALOR","OK"))))),"REVISAR VALOR")</f>
        <v/>
      </c>
    </row>
    <row r="603" spans="1:9" x14ac:dyDescent="0.45">
      <c r="A603" s="4"/>
      <c r="B603" s="8"/>
      <c r="C603" s="5"/>
      <c r="D603" s="5"/>
      <c r="E603" s="5"/>
      <c r="F603" s="7"/>
      <c r="G603" s="7"/>
      <c r="H603" s="8"/>
      <c r="I603" s="12" t="str">
        <f>IFERROR(IF(COUNTA(A603:H603)=0,"",IF(OR(A603="",B603="",C603="",D603="",E603="",F603=""),"FALTA CAMPO",IF(COUNTIFS($A$6:$A$1005,A603,$B$6:$B$1005,B603)&gt;1,"DUPLICADO FECHA-SKU",IF(COUNTIF(CATALOGO!$A$6:$A$105,B603)&lt;&gt;1,"SKU NO VALIDO",IF(OR(A603&lt;DATE(1900,1,1),A603&gt;DATE(2100,12,31),A603&gt;CONFIG!$B$5,C603&lt;0,C603&gt;1000000,D603&lt;0,D603&gt;1000000,E603&lt;0,E603&gt;1000000,E603&gt;D603,ABS(F603)&gt;1000000000,ABS(G603)&gt;1000000000,ROUND(F603,2)&lt;&gt;F603,AND(G603&lt;&gt;"",ROUND(G603,2)&lt;&gt;G603)),"REVISAR VALOR","OK"))))),"REVISAR VALOR")</f>
        <v/>
      </c>
    </row>
    <row r="604" spans="1:9" x14ac:dyDescent="0.45">
      <c r="A604" s="4"/>
      <c r="B604" s="8"/>
      <c r="C604" s="5"/>
      <c r="D604" s="5"/>
      <c r="E604" s="5"/>
      <c r="F604" s="7"/>
      <c r="G604" s="7"/>
      <c r="H604" s="8"/>
      <c r="I604" s="12" t="str">
        <f>IFERROR(IF(COUNTA(A604:H604)=0,"",IF(OR(A604="",B604="",C604="",D604="",E604="",F604=""),"FALTA CAMPO",IF(COUNTIFS($A$6:$A$1005,A604,$B$6:$B$1005,B604)&gt;1,"DUPLICADO FECHA-SKU",IF(COUNTIF(CATALOGO!$A$6:$A$105,B604)&lt;&gt;1,"SKU NO VALIDO",IF(OR(A604&lt;DATE(1900,1,1),A604&gt;DATE(2100,12,31),A604&gt;CONFIG!$B$5,C604&lt;0,C604&gt;1000000,D604&lt;0,D604&gt;1000000,E604&lt;0,E604&gt;1000000,E604&gt;D604,ABS(F604)&gt;1000000000,ABS(G604)&gt;1000000000,ROUND(F604,2)&lt;&gt;F604,AND(G604&lt;&gt;"",ROUND(G604,2)&lt;&gt;G604)),"REVISAR VALOR","OK"))))),"REVISAR VALOR")</f>
        <v/>
      </c>
    </row>
    <row r="605" spans="1:9" x14ac:dyDescent="0.45">
      <c r="A605" s="4"/>
      <c r="B605" s="8"/>
      <c r="C605" s="5"/>
      <c r="D605" s="5"/>
      <c r="E605" s="5"/>
      <c r="F605" s="7"/>
      <c r="G605" s="7"/>
      <c r="H605" s="8"/>
      <c r="I605" s="12" t="str">
        <f>IFERROR(IF(COUNTA(A605:H605)=0,"",IF(OR(A605="",B605="",C605="",D605="",E605="",F605=""),"FALTA CAMPO",IF(COUNTIFS($A$6:$A$1005,A605,$B$6:$B$1005,B605)&gt;1,"DUPLICADO FECHA-SKU",IF(COUNTIF(CATALOGO!$A$6:$A$105,B605)&lt;&gt;1,"SKU NO VALIDO",IF(OR(A605&lt;DATE(1900,1,1),A605&gt;DATE(2100,12,31),A605&gt;CONFIG!$B$5,C605&lt;0,C605&gt;1000000,D605&lt;0,D605&gt;1000000,E605&lt;0,E605&gt;1000000,E605&gt;D605,ABS(F605)&gt;1000000000,ABS(G605)&gt;1000000000,ROUND(F605,2)&lt;&gt;F605,AND(G605&lt;&gt;"",ROUND(G605,2)&lt;&gt;G605)),"REVISAR VALOR","OK"))))),"REVISAR VALOR")</f>
        <v/>
      </c>
    </row>
    <row r="606" spans="1:9" x14ac:dyDescent="0.45">
      <c r="A606" s="4"/>
      <c r="B606" s="8"/>
      <c r="C606" s="5"/>
      <c r="D606" s="5"/>
      <c r="E606" s="5"/>
      <c r="F606" s="7"/>
      <c r="G606" s="7"/>
      <c r="H606" s="8"/>
      <c r="I606" s="12" t="str">
        <f>IFERROR(IF(COUNTA(A606:H606)=0,"",IF(OR(A606="",B606="",C606="",D606="",E606="",F606=""),"FALTA CAMPO",IF(COUNTIFS($A$6:$A$1005,A606,$B$6:$B$1005,B606)&gt;1,"DUPLICADO FECHA-SKU",IF(COUNTIF(CATALOGO!$A$6:$A$105,B606)&lt;&gt;1,"SKU NO VALIDO",IF(OR(A606&lt;DATE(1900,1,1),A606&gt;DATE(2100,12,31),A606&gt;CONFIG!$B$5,C606&lt;0,C606&gt;1000000,D606&lt;0,D606&gt;1000000,E606&lt;0,E606&gt;1000000,E606&gt;D606,ABS(F606)&gt;1000000000,ABS(G606)&gt;1000000000,ROUND(F606,2)&lt;&gt;F606,AND(G606&lt;&gt;"",ROUND(G606,2)&lt;&gt;G606)),"REVISAR VALOR","OK"))))),"REVISAR VALOR")</f>
        <v/>
      </c>
    </row>
    <row r="607" spans="1:9" x14ac:dyDescent="0.45">
      <c r="A607" s="4"/>
      <c r="B607" s="8"/>
      <c r="C607" s="5"/>
      <c r="D607" s="5"/>
      <c r="E607" s="5"/>
      <c r="F607" s="7"/>
      <c r="G607" s="7"/>
      <c r="H607" s="8"/>
      <c r="I607" s="12" t="str">
        <f>IFERROR(IF(COUNTA(A607:H607)=0,"",IF(OR(A607="",B607="",C607="",D607="",E607="",F607=""),"FALTA CAMPO",IF(COUNTIFS($A$6:$A$1005,A607,$B$6:$B$1005,B607)&gt;1,"DUPLICADO FECHA-SKU",IF(COUNTIF(CATALOGO!$A$6:$A$105,B607)&lt;&gt;1,"SKU NO VALIDO",IF(OR(A607&lt;DATE(1900,1,1),A607&gt;DATE(2100,12,31),A607&gt;CONFIG!$B$5,C607&lt;0,C607&gt;1000000,D607&lt;0,D607&gt;1000000,E607&lt;0,E607&gt;1000000,E607&gt;D607,ABS(F607)&gt;1000000000,ABS(G607)&gt;1000000000,ROUND(F607,2)&lt;&gt;F607,AND(G607&lt;&gt;"",ROUND(G607,2)&lt;&gt;G607)),"REVISAR VALOR","OK"))))),"REVISAR VALOR")</f>
        <v/>
      </c>
    </row>
    <row r="608" spans="1:9" x14ac:dyDescent="0.45">
      <c r="A608" s="4"/>
      <c r="B608" s="8"/>
      <c r="C608" s="5"/>
      <c r="D608" s="5"/>
      <c r="E608" s="5"/>
      <c r="F608" s="7"/>
      <c r="G608" s="7"/>
      <c r="H608" s="8"/>
      <c r="I608" s="12" t="str">
        <f>IFERROR(IF(COUNTA(A608:H608)=0,"",IF(OR(A608="",B608="",C608="",D608="",E608="",F608=""),"FALTA CAMPO",IF(COUNTIFS($A$6:$A$1005,A608,$B$6:$B$1005,B608)&gt;1,"DUPLICADO FECHA-SKU",IF(COUNTIF(CATALOGO!$A$6:$A$105,B608)&lt;&gt;1,"SKU NO VALIDO",IF(OR(A608&lt;DATE(1900,1,1),A608&gt;DATE(2100,12,31),A608&gt;CONFIG!$B$5,C608&lt;0,C608&gt;1000000,D608&lt;0,D608&gt;1000000,E608&lt;0,E608&gt;1000000,E608&gt;D608,ABS(F608)&gt;1000000000,ABS(G608)&gt;1000000000,ROUND(F608,2)&lt;&gt;F608,AND(G608&lt;&gt;"",ROUND(G608,2)&lt;&gt;G608)),"REVISAR VALOR","OK"))))),"REVISAR VALOR")</f>
        <v/>
      </c>
    </row>
    <row r="609" spans="1:9" x14ac:dyDescent="0.45">
      <c r="A609" s="4"/>
      <c r="B609" s="8"/>
      <c r="C609" s="5"/>
      <c r="D609" s="5"/>
      <c r="E609" s="5"/>
      <c r="F609" s="7"/>
      <c r="G609" s="7"/>
      <c r="H609" s="8"/>
      <c r="I609" s="12" t="str">
        <f>IFERROR(IF(COUNTA(A609:H609)=0,"",IF(OR(A609="",B609="",C609="",D609="",E609="",F609=""),"FALTA CAMPO",IF(COUNTIFS($A$6:$A$1005,A609,$B$6:$B$1005,B609)&gt;1,"DUPLICADO FECHA-SKU",IF(COUNTIF(CATALOGO!$A$6:$A$105,B609)&lt;&gt;1,"SKU NO VALIDO",IF(OR(A609&lt;DATE(1900,1,1),A609&gt;DATE(2100,12,31),A609&gt;CONFIG!$B$5,C609&lt;0,C609&gt;1000000,D609&lt;0,D609&gt;1000000,E609&lt;0,E609&gt;1000000,E609&gt;D609,ABS(F609)&gt;1000000000,ABS(G609)&gt;1000000000,ROUND(F609,2)&lt;&gt;F609,AND(G609&lt;&gt;"",ROUND(G609,2)&lt;&gt;G609)),"REVISAR VALOR","OK"))))),"REVISAR VALOR")</f>
        <v/>
      </c>
    </row>
    <row r="610" spans="1:9" x14ac:dyDescent="0.45">
      <c r="A610" s="4"/>
      <c r="B610" s="8"/>
      <c r="C610" s="5"/>
      <c r="D610" s="5"/>
      <c r="E610" s="5"/>
      <c r="F610" s="7"/>
      <c r="G610" s="7"/>
      <c r="H610" s="8"/>
      <c r="I610" s="12" t="str">
        <f>IFERROR(IF(COUNTA(A610:H610)=0,"",IF(OR(A610="",B610="",C610="",D610="",E610="",F610=""),"FALTA CAMPO",IF(COUNTIFS($A$6:$A$1005,A610,$B$6:$B$1005,B610)&gt;1,"DUPLICADO FECHA-SKU",IF(COUNTIF(CATALOGO!$A$6:$A$105,B610)&lt;&gt;1,"SKU NO VALIDO",IF(OR(A610&lt;DATE(1900,1,1),A610&gt;DATE(2100,12,31),A610&gt;CONFIG!$B$5,C610&lt;0,C610&gt;1000000,D610&lt;0,D610&gt;1000000,E610&lt;0,E610&gt;1000000,E610&gt;D610,ABS(F610)&gt;1000000000,ABS(G610)&gt;1000000000,ROUND(F610,2)&lt;&gt;F610,AND(G610&lt;&gt;"",ROUND(G610,2)&lt;&gt;G610)),"REVISAR VALOR","OK"))))),"REVISAR VALOR")</f>
        <v/>
      </c>
    </row>
    <row r="611" spans="1:9" x14ac:dyDescent="0.45">
      <c r="A611" s="4"/>
      <c r="B611" s="8"/>
      <c r="C611" s="5"/>
      <c r="D611" s="5"/>
      <c r="E611" s="5"/>
      <c r="F611" s="7"/>
      <c r="G611" s="7"/>
      <c r="H611" s="8"/>
      <c r="I611" s="12" t="str">
        <f>IFERROR(IF(COUNTA(A611:H611)=0,"",IF(OR(A611="",B611="",C611="",D611="",E611="",F611=""),"FALTA CAMPO",IF(COUNTIFS($A$6:$A$1005,A611,$B$6:$B$1005,B611)&gt;1,"DUPLICADO FECHA-SKU",IF(COUNTIF(CATALOGO!$A$6:$A$105,B611)&lt;&gt;1,"SKU NO VALIDO",IF(OR(A611&lt;DATE(1900,1,1),A611&gt;DATE(2100,12,31),A611&gt;CONFIG!$B$5,C611&lt;0,C611&gt;1000000,D611&lt;0,D611&gt;1000000,E611&lt;0,E611&gt;1000000,E611&gt;D611,ABS(F611)&gt;1000000000,ABS(G611)&gt;1000000000,ROUND(F611,2)&lt;&gt;F611,AND(G611&lt;&gt;"",ROUND(G611,2)&lt;&gt;G611)),"REVISAR VALOR","OK"))))),"REVISAR VALOR")</f>
        <v/>
      </c>
    </row>
    <row r="612" spans="1:9" x14ac:dyDescent="0.45">
      <c r="A612" s="4"/>
      <c r="B612" s="8"/>
      <c r="C612" s="5"/>
      <c r="D612" s="5"/>
      <c r="E612" s="5"/>
      <c r="F612" s="7"/>
      <c r="G612" s="7"/>
      <c r="H612" s="8"/>
      <c r="I612" s="12" t="str">
        <f>IFERROR(IF(COUNTA(A612:H612)=0,"",IF(OR(A612="",B612="",C612="",D612="",E612="",F612=""),"FALTA CAMPO",IF(COUNTIFS($A$6:$A$1005,A612,$B$6:$B$1005,B612)&gt;1,"DUPLICADO FECHA-SKU",IF(COUNTIF(CATALOGO!$A$6:$A$105,B612)&lt;&gt;1,"SKU NO VALIDO",IF(OR(A612&lt;DATE(1900,1,1),A612&gt;DATE(2100,12,31),A612&gt;CONFIG!$B$5,C612&lt;0,C612&gt;1000000,D612&lt;0,D612&gt;1000000,E612&lt;0,E612&gt;1000000,E612&gt;D612,ABS(F612)&gt;1000000000,ABS(G612)&gt;1000000000,ROUND(F612,2)&lt;&gt;F612,AND(G612&lt;&gt;"",ROUND(G612,2)&lt;&gt;G612)),"REVISAR VALOR","OK"))))),"REVISAR VALOR")</f>
        <v/>
      </c>
    </row>
    <row r="613" spans="1:9" x14ac:dyDescent="0.45">
      <c r="A613" s="4"/>
      <c r="B613" s="8"/>
      <c r="C613" s="5"/>
      <c r="D613" s="5"/>
      <c r="E613" s="5"/>
      <c r="F613" s="7"/>
      <c r="G613" s="7"/>
      <c r="H613" s="8"/>
      <c r="I613" s="12" t="str">
        <f>IFERROR(IF(COUNTA(A613:H613)=0,"",IF(OR(A613="",B613="",C613="",D613="",E613="",F613=""),"FALTA CAMPO",IF(COUNTIFS($A$6:$A$1005,A613,$B$6:$B$1005,B613)&gt;1,"DUPLICADO FECHA-SKU",IF(COUNTIF(CATALOGO!$A$6:$A$105,B613)&lt;&gt;1,"SKU NO VALIDO",IF(OR(A613&lt;DATE(1900,1,1),A613&gt;DATE(2100,12,31),A613&gt;CONFIG!$B$5,C613&lt;0,C613&gt;1000000,D613&lt;0,D613&gt;1000000,E613&lt;0,E613&gt;1000000,E613&gt;D613,ABS(F613)&gt;1000000000,ABS(G613)&gt;1000000000,ROUND(F613,2)&lt;&gt;F613,AND(G613&lt;&gt;"",ROUND(G613,2)&lt;&gt;G613)),"REVISAR VALOR","OK"))))),"REVISAR VALOR")</f>
        <v/>
      </c>
    </row>
    <row r="614" spans="1:9" x14ac:dyDescent="0.45">
      <c r="A614" s="4"/>
      <c r="B614" s="8"/>
      <c r="C614" s="5"/>
      <c r="D614" s="5"/>
      <c r="E614" s="5"/>
      <c r="F614" s="7"/>
      <c r="G614" s="7"/>
      <c r="H614" s="8"/>
      <c r="I614" s="12" t="str">
        <f>IFERROR(IF(COUNTA(A614:H614)=0,"",IF(OR(A614="",B614="",C614="",D614="",E614="",F614=""),"FALTA CAMPO",IF(COUNTIFS($A$6:$A$1005,A614,$B$6:$B$1005,B614)&gt;1,"DUPLICADO FECHA-SKU",IF(COUNTIF(CATALOGO!$A$6:$A$105,B614)&lt;&gt;1,"SKU NO VALIDO",IF(OR(A614&lt;DATE(1900,1,1),A614&gt;DATE(2100,12,31),A614&gt;CONFIG!$B$5,C614&lt;0,C614&gt;1000000,D614&lt;0,D614&gt;1000000,E614&lt;0,E614&gt;1000000,E614&gt;D614,ABS(F614)&gt;1000000000,ABS(G614)&gt;1000000000,ROUND(F614,2)&lt;&gt;F614,AND(G614&lt;&gt;"",ROUND(G614,2)&lt;&gt;G614)),"REVISAR VALOR","OK"))))),"REVISAR VALOR")</f>
        <v/>
      </c>
    </row>
    <row r="615" spans="1:9" x14ac:dyDescent="0.45">
      <c r="A615" s="4"/>
      <c r="B615" s="8"/>
      <c r="C615" s="5"/>
      <c r="D615" s="5"/>
      <c r="E615" s="5"/>
      <c r="F615" s="7"/>
      <c r="G615" s="7"/>
      <c r="H615" s="8"/>
      <c r="I615" s="12" t="str">
        <f>IFERROR(IF(COUNTA(A615:H615)=0,"",IF(OR(A615="",B615="",C615="",D615="",E615="",F615=""),"FALTA CAMPO",IF(COUNTIFS($A$6:$A$1005,A615,$B$6:$B$1005,B615)&gt;1,"DUPLICADO FECHA-SKU",IF(COUNTIF(CATALOGO!$A$6:$A$105,B615)&lt;&gt;1,"SKU NO VALIDO",IF(OR(A615&lt;DATE(1900,1,1),A615&gt;DATE(2100,12,31),A615&gt;CONFIG!$B$5,C615&lt;0,C615&gt;1000000,D615&lt;0,D615&gt;1000000,E615&lt;0,E615&gt;1000000,E615&gt;D615,ABS(F615)&gt;1000000000,ABS(G615)&gt;1000000000,ROUND(F615,2)&lt;&gt;F615,AND(G615&lt;&gt;"",ROUND(G615,2)&lt;&gt;G615)),"REVISAR VALOR","OK"))))),"REVISAR VALOR")</f>
        <v/>
      </c>
    </row>
    <row r="616" spans="1:9" x14ac:dyDescent="0.45">
      <c r="A616" s="4"/>
      <c r="B616" s="8"/>
      <c r="C616" s="5"/>
      <c r="D616" s="5"/>
      <c r="E616" s="5"/>
      <c r="F616" s="7"/>
      <c r="G616" s="7"/>
      <c r="H616" s="8"/>
      <c r="I616" s="12" t="str">
        <f>IFERROR(IF(COUNTA(A616:H616)=0,"",IF(OR(A616="",B616="",C616="",D616="",E616="",F616=""),"FALTA CAMPO",IF(COUNTIFS($A$6:$A$1005,A616,$B$6:$B$1005,B616)&gt;1,"DUPLICADO FECHA-SKU",IF(COUNTIF(CATALOGO!$A$6:$A$105,B616)&lt;&gt;1,"SKU NO VALIDO",IF(OR(A616&lt;DATE(1900,1,1),A616&gt;DATE(2100,12,31),A616&gt;CONFIG!$B$5,C616&lt;0,C616&gt;1000000,D616&lt;0,D616&gt;1000000,E616&lt;0,E616&gt;1000000,E616&gt;D616,ABS(F616)&gt;1000000000,ABS(G616)&gt;1000000000,ROUND(F616,2)&lt;&gt;F616,AND(G616&lt;&gt;"",ROUND(G616,2)&lt;&gt;G616)),"REVISAR VALOR","OK"))))),"REVISAR VALOR")</f>
        <v/>
      </c>
    </row>
    <row r="617" spans="1:9" x14ac:dyDescent="0.45">
      <c r="A617" s="4"/>
      <c r="B617" s="8"/>
      <c r="C617" s="5"/>
      <c r="D617" s="5"/>
      <c r="E617" s="5"/>
      <c r="F617" s="7"/>
      <c r="G617" s="7"/>
      <c r="H617" s="8"/>
      <c r="I617" s="12" t="str">
        <f>IFERROR(IF(COUNTA(A617:H617)=0,"",IF(OR(A617="",B617="",C617="",D617="",E617="",F617=""),"FALTA CAMPO",IF(COUNTIFS($A$6:$A$1005,A617,$B$6:$B$1005,B617)&gt;1,"DUPLICADO FECHA-SKU",IF(COUNTIF(CATALOGO!$A$6:$A$105,B617)&lt;&gt;1,"SKU NO VALIDO",IF(OR(A617&lt;DATE(1900,1,1),A617&gt;DATE(2100,12,31),A617&gt;CONFIG!$B$5,C617&lt;0,C617&gt;1000000,D617&lt;0,D617&gt;1000000,E617&lt;0,E617&gt;1000000,E617&gt;D617,ABS(F617)&gt;1000000000,ABS(G617)&gt;1000000000,ROUND(F617,2)&lt;&gt;F617,AND(G617&lt;&gt;"",ROUND(G617,2)&lt;&gt;G617)),"REVISAR VALOR","OK"))))),"REVISAR VALOR")</f>
        <v/>
      </c>
    </row>
    <row r="618" spans="1:9" x14ac:dyDescent="0.45">
      <c r="A618" s="4"/>
      <c r="B618" s="8"/>
      <c r="C618" s="5"/>
      <c r="D618" s="5"/>
      <c r="E618" s="5"/>
      <c r="F618" s="7"/>
      <c r="G618" s="7"/>
      <c r="H618" s="8"/>
      <c r="I618" s="12" t="str">
        <f>IFERROR(IF(COUNTA(A618:H618)=0,"",IF(OR(A618="",B618="",C618="",D618="",E618="",F618=""),"FALTA CAMPO",IF(COUNTIFS($A$6:$A$1005,A618,$B$6:$B$1005,B618)&gt;1,"DUPLICADO FECHA-SKU",IF(COUNTIF(CATALOGO!$A$6:$A$105,B618)&lt;&gt;1,"SKU NO VALIDO",IF(OR(A618&lt;DATE(1900,1,1),A618&gt;DATE(2100,12,31),A618&gt;CONFIG!$B$5,C618&lt;0,C618&gt;1000000,D618&lt;0,D618&gt;1000000,E618&lt;0,E618&gt;1000000,E618&gt;D618,ABS(F618)&gt;1000000000,ABS(G618)&gt;1000000000,ROUND(F618,2)&lt;&gt;F618,AND(G618&lt;&gt;"",ROUND(G618,2)&lt;&gt;G618)),"REVISAR VALOR","OK"))))),"REVISAR VALOR")</f>
        <v/>
      </c>
    </row>
    <row r="619" spans="1:9" x14ac:dyDescent="0.45">
      <c r="A619" s="4"/>
      <c r="B619" s="8"/>
      <c r="C619" s="5"/>
      <c r="D619" s="5"/>
      <c r="E619" s="5"/>
      <c r="F619" s="7"/>
      <c r="G619" s="7"/>
      <c r="H619" s="8"/>
      <c r="I619" s="12" t="str">
        <f>IFERROR(IF(COUNTA(A619:H619)=0,"",IF(OR(A619="",B619="",C619="",D619="",E619="",F619=""),"FALTA CAMPO",IF(COUNTIFS($A$6:$A$1005,A619,$B$6:$B$1005,B619)&gt;1,"DUPLICADO FECHA-SKU",IF(COUNTIF(CATALOGO!$A$6:$A$105,B619)&lt;&gt;1,"SKU NO VALIDO",IF(OR(A619&lt;DATE(1900,1,1),A619&gt;DATE(2100,12,31),A619&gt;CONFIG!$B$5,C619&lt;0,C619&gt;1000000,D619&lt;0,D619&gt;1000000,E619&lt;0,E619&gt;1000000,E619&gt;D619,ABS(F619)&gt;1000000000,ABS(G619)&gt;1000000000,ROUND(F619,2)&lt;&gt;F619,AND(G619&lt;&gt;"",ROUND(G619,2)&lt;&gt;G619)),"REVISAR VALOR","OK"))))),"REVISAR VALOR")</f>
        <v/>
      </c>
    </row>
    <row r="620" spans="1:9" x14ac:dyDescent="0.45">
      <c r="A620" s="4"/>
      <c r="B620" s="8"/>
      <c r="C620" s="5"/>
      <c r="D620" s="5"/>
      <c r="E620" s="5"/>
      <c r="F620" s="7"/>
      <c r="G620" s="7"/>
      <c r="H620" s="8"/>
      <c r="I620" s="12" t="str">
        <f>IFERROR(IF(COUNTA(A620:H620)=0,"",IF(OR(A620="",B620="",C620="",D620="",E620="",F620=""),"FALTA CAMPO",IF(COUNTIFS($A$6:$A$1005,A620,$B$6:$B$1005,B620)&gt;1,"DUPLICADO FECHA-SKU",IF(COUNTIF(CATALOGO!$A$6:$A$105,B620)&lt;&gt;1,"SKU NO VALIDO",IF(OR(A620&lt;DATE(1900,1,1),A620&gt;DATE(2100,12,31),A620&gt;CONFIG!$B$5,C620&lt;0,C620&gt;1000000,D620&lt;0,D620&gt;1000000,E620&lt;0,E620&gt;1000000,E620&gt;D620,ABS(F620)&gt;1000000000,ABS(G620)&gt;1000000000,ROUND(F620,2)&lt;&gt;F620,AND(G620&lt;&gt;"",ROUND(G620,2)&lt;&gt;G620)),"REVISAR VALOR","OK"))))),"REVISAR VALOR")</f>
        <v/>
      </c>
    </row>
    <row r="621" spans="1:9" x14ac:dyDescent="0.45">
      <c r="A621" s="4"/>
      <c r="B621" s="8"/>
      <c r="C621" s="5"/>
      <c r="D621" s="5"/>
      <c r="E621" s="5"/>
      <c r="F621" s="7"/>
      <c r="G621" s="7"/>
      <c r="H621" s="8"/>
      <c r="I621" s="12" t="str">
        <f>IFERROR(IF(COUNTA(A621:H621)=0,"",IF(OR(A621="",B621="",C621="",D621="",E621="",F621=""),"FALTA CAMPO",IF(COUNTIFS($A$6:$A$1005,A621,$B$6:$B$1005,B621)&gt;1,"DUPLICADO FECHA-SKU",IF(COUNTIF(CATALOGO!$A$6:$A$105,B621)&lt;&gt;1,"SKU NO VALIDO",IF(OR(A621&lt;DATE(1900,1,1),A621&gt;DATE(2100,12,31),A621&gt;CONFIG!$B$5,C621&lt;0,C621&gt;1000000,D621&lt;0,D621&gt;1000000,E621&lt;0,E621&gt;1000000,E621&gt;D621,ABS(F621)&gt;1000000000,ABS(G621)&gt;1000000000,ROUND(F621,2)&lt;&gt;F621,AND(G621&lt;&gt;"",ROUND(G621,2)&lt;&gt;G621)),"REVISAR VALOR","OK"))))),"REVISAR VALOR")</f>
        <v/>
      </c>
    </row>
    <row r="622" spans="1:9" x14ac:dyDescent="0.45">
      <c r="A622" s="4"/>
      <c r="B622" s="8"/>
      <c r="C622" s="5"/>
      <c r="D622" s="5"/>
      <c r="E622" s="5"/>
      <c r="F622" s="7"/>
      <c r="G622" s="7"/>
      <c r="H622" s="8"/>
      <c r="I622" s="12" t="str">
        <f>IFERROR(IF(COUNTA(A622:H622)=0,"",IF(OR(A622="",B622="",C622="",D622="",E622="",F622=""),"FALTA CAMPO",IF(COUNTIFS($A$6:$A$1005,A622,$B$6:$B$1005,B622)&gt;1,"DUPLICADO FECHA-SKU",IF(COUNTIF(CATALOGO!$A$6:$A$105,B622)&lt;&gt;1,"SKU NO VALIDO",IF(OR(A622&lt;DATE(1900,1,1),A622&gt;DATE(2100,12,31),A622&gt;CONFIG!$B$5,C622&lt;0,C622&gt;1000000,D622&lt;0,D622&gt;1000000,E622&lt;0,E622&gt;1000000,E622&gt;D622,ABS(F622)&gt;1000000000,ABS(G622)&gt;1000000000,ROUND(F622,2)&lt;&gt;F622,AND(G622&lt;&gt;"",ROUND(G622,2)&lt;&gt;G622)),"REVISAR VALOR","OK"))))),"REVISAR VALOR")</f>
        <v/>
      </c>
    </row>
    <row r="623" spans="1:9" x14ac:dyDescent="0.45">
      <c r="A623" s="4"/>
      <c r="B623" s="8"/>
      <c r="C623" s="5"/>
      <c r="D623" s="5"/>
      <c r="E623" s="5"/>
      <c r="F623" s="7"/>
      <c r="G623" s="7"/>
      <c r="H623" s="8"/>
      <c r="I623" s="12" t="str">
        <f>IFERROR(IF(COUNTA(A623:H623)=0,"",IF(OR(A623="",B623="",C623="",D623="",E623="",F623=""),"FALTA CAMPO",IF(COUNTIFS($A$6:$A$1005,A623,$B$6:$B$1005,B623)&gt;1,"DUPLICADO FECHA-SKU",IF(COUNTIF(CATALOGO!$A$6:$A$105,B623)&lt;&gt;1,"SKU NO VALIDO",IF(OR(A623&lt;DATE(1900,1,1),A623&gt;DATE(2100,12,31),A623&gt;CONFIG!$B$5,C623&lt;0,C623&gt;1000000,D623&lt;0,D623&gt;1000000,E623&lt;0,E623&gt;1000000,E623&gt;D623,ABS(F623)&gt;1000000000,ABS(G623)&gt;1000000000,ROUND(F623,2)&lt;&gt;F623,AND(G623&lt;&gt;"",ROUND(G623,2)&lt;&gt;G623)),"REVISAR VALOR","OK"))))),"REVISAR VALOR")</f>
        <v/>
      </c>
    </row>
    <row r="624" spans="1:9" x14ac:dyDescent="0.45">
      <c r="A624" s="4"/>
      <c r="B624" s="8"/>
      <c r="C624" s="5"/>
      <c r="D624" s="5"/>
      <c r="E624" s="5"/>
      <c r="F624" s="7"/>
      <c r="G624" s="7"/>
      <c r="H624" s="8"/>
      <c r="I624" s="12" t="str">
        <f>IFERROR(IF(COUNTA(A624:H624)=0,"",IF(OR(A624="",B624="",C624="",D624="",E624="",F624=""),"FALTA CAMPO",IF(COUNTIFS($A$6:$A$1005,A624,$B$6:$B$1005,B624)&gt;1,"DUPLICADO FECHA-SKU",IF(COUNTIF(CATALOGO!$A$6:$A$105,B624)&lt;&gt;1,"SKU NO VALIDO",IF(OR(A624&lt;DATE(1900,1,1),A624&gt;DATE(2100,12,31),A624&gt;CONFIG!$B$5,C624&lt;0,C624&gt;1000000,D624&lt;0,D624&gt;1000000,E624&lt;0,E624&gt;1000000,E624&gt;D624,ABS(F624)&gt;1000000000,ABS(G624)&gt;1000000000,ROUND(F624,2)&lt;&gt;F624,AND(G624&lt;&gt;"",ROUND(G624,2)&lt;&gt;G624)),"REVISAR VALOR","OK"))))),"REVISAR VALOR")</f>
        <v/>
      </c>
    </row>
    <row r="625" spans="1:9" x14ac:dyDescent="0.45">
      <c r="A625" s="4"/>
      <c r="B625" s="8"/>
      <c r="C625" s="5"/>
      <c r="D625" s="5"/>
      <c r="E625" s="5"/>
      <c r="F625" s="7"/>
      <c r="G625" s="7"/>
      <c r="H625" s="8"/>
      <c r="I625" s="12" t="str">
        <f>IFERROR(IF(COUNTA(A625:H625)=0,"",IF(OR(A625="",B625="",C625="",D625="",E625="",F625=""),"FALTA CAMPO",IF(COUNTIFS($A$6:$A$1005,A625,$B$6:$B$1005,B625)&gt;1,"DUPLICADO FECHA-SKU",IF(COUNTIF(CATALOGO!$A$6:$A$105,B625)&lt;&gt;1,"SKU NO VALIDO",IF(OR(A625&lt;DATE(1900,1,1),A625&gt;DATE(2100,12,31),A625&gt;CONFIG!$B$5,C625&lt;0,C625&gt;1000000,D625&lt;0,D625&gt;1000000,E625&lt;0,E625&gt;1000000,E625&gt;D625,ABS(F625)&gt;1000000000,ABS(G625)&gt;1000000000,ROUND(F625,2)&lt;&gt;F625,AND(G625&lt;&gt;"",ROUND(G625,2)&lt;&gt;G625)),"REVISAR VALOR","OK"))))),"REVISAR VALOR")</f>
        <v/>
      </c>
    </row>
    <row r="626" spans="1:9" x14ac:dyDescent="0.45">
      <c r="A626" s="4"/>
      <c r="B626" s="8"/>
      <c r="C626" s="5"/>
      <c r="D626" s="5"/>
      <c r="E626" s="5"/>
      <c r="F626" s="7"/>
      <c r="G626" s="7"/>
      <c r="H626" s="8"/>
      <c r="I626" s="12" t="str">
        <f>IFERROR(IF(COUNTA(A626:H626)=0,"",IF(OR(A626="",B626="",C626="",D626="",E626="",F626=""),"FALTA CAMPO",IF(COUNTIFS($A$6:$A$1005,A626,$B$6:$B$1005,B626)&gt;1,"DUPLICADO FECHA-SKU",IF(COUNTIF(CATALOGO!$A$6:$A$105,B626)&lt;&gt;1,"SKU NO VALIDO",IF(OR(A626&lt;DATE(1900,1,1),A626&gt;DATE(2100,12,31),A626&gt;CONFIG!$B$5,C626&lt;0,C626&gt;1000000,D626&lt;0,D626&gt;1000000,E626&lt;0,E626&gt;1000000,E626&gt;D626,ABS(F626)&gt;1000000000,ABS(G626)&gt;1000000000,ROUND(F626,2)&lt;&gt;F626,AND(G626&lt;&gt;"",ROUND(G626,2)&lt;&gt;G626)),"REVISAR VALOR","OK"))))),"REVISAR VALOR")</f>
        <v/>
      </c>
    </row>
    <row r="627" spans="1:9" x14ac:dyDescent="0.45">
      <c r="A627" s="4"/>
      <c r="B627" s="8"/>
      <c r="C627" s="5"/>
      <c r="D627" s="5"/>
      <c r="E627" s="5"/>
      <c r="F627" s="7"/>
      <c r="G627" s="7"/>
      <c r="H627" s="8"/>
      <c r="I627" s="12" t="str">
        <f>IFERROR(IF(COUNTA(A627:H627)=0,"",IF(OR(A627="",B627="",C627="",D627="",E627="",F627=""),"FALTA CAMPO",IF(COUNTIFS($A$6:$A$1005,A627,$B$6:$B$1005,B627)&gt;1,"DUPLICADO FECHA-SKU",IF(COUNTIF(CATALOGO!$A$6:$A$105,B627)&lt;&gt;1,"SKU NO VALIDO",IF(OR(A627&lt;DATE(1900,1,1),A627&gt;DATE(2100,12,31),A627&gt;CONFIG!$B$5,C627&lt;0,C627&gt;1000000,D627&lt;0,D627&gt;1000000,E627&lt;0,E627&gt;1000000,E627&gt;D627,ABS(F627)&gt;1000000000,ABS(G627)&gt;1000000000,ROUND(F627,2)&lt;&gt;F627,AND(G627&lt;&gt;"",ROUND(G627,2)&lt;&gt;G627)),"REVISAR VALOR","OK"))))),"REVISAR VALOR")</f>
        <v/>
      </c>
    </row>
    <row r="628" spans="1:9" x14ac:dyDescent="0.45">
      <c r="A628" s="4"/>
      <c r="B628" s="8"/>
      <c r="C628" s="5"/>
      <c r="D628" s="5"/>
      <c r="E628" s="5"/>
      <c r="F628" s="7"/>
      <c r="G628" s="7"/>
      <c r="H628" s="8"/>
      <c r="I628" s="12" t="str">
        <f>IFERROR(IF(COUNTA(A628:H628)=0,"",IF(OR(A628="",B628="",C628="",D628="",E628="",F628=""),"FALTA CAMPO",IF(COUNTIFS($A$6:$A$1005,A628,$B$6:$B$1005,B628)&gt;1,"DUPLICADO FECHA-SKU",IF(COUNTIF(CATALOGO!$A$6:$A$105,B628)&lt;&gt;1,"SKU NO VALIDO",IF(OR(A628&lt;DATE(1900,1,1),A628&gt;DATE(2100,12,31),A628&gt;CONFIG!$B$5,C628&lt;0,C628&gt;1000000,D628&lt;0,D628&gt;1000000,E628&lt;0,E628&gt;1000000,E628&gt;D628,ABS(F628)&gt;1000000000,ABS(G628)&gt;1000000000,ROUND(F628,2)&lt;&gt;F628,AND(G628&lt;&gt;"",ROUND(G628,2)&lt;&gt;G628)),"REVISAR VALOR","OK"))))),"REVISAR VALOR")</f>
        <v/>
      </c>
    </row>
    <row r="629" spans="1:9" x14ac:dyDescent="0.45">
      <c r="A629" s="4"/>
      <c r="B629" s="8"/>
      <c r="C629" s="5"/>
      <c r="D629" s="5"/>
      <c r="E629" s="5"/>
      <c r="F629" s="7"/>
      <c r="G629" s="7"/>
      <c r="H629" s="8"/>
      <c r="I629" s="12" t="str">
        <f>IFERROR(IF(COUNTA(A629:H629)=0,"",IF(OR(A629="",B629="",C629="",D629="",E629="",F629=""),"FALTA CAMPO",IF(COUNTIFS($A$6:$A$1005,A629,$B$6:$B$1005,B629)&gt;1,"DUPLICADO FECHA-SKU",IF(COUNTIF(CATALOGO!$A$6:$A$105,B629)&lt;&gt;1,"SKU NO VALIDO",IF(OR(A629&lt;DATE(1900,1,1),A629&gt;DATE(2100,12,31),A629&gt;CONFIG!$B$5,C629&lt;0,C629&gt;1000000,D629&lt;0,D629&gt;1000000,E629&lt;0,E629&gt;1000000,E629&gt;D629,ABS(F629)&gt;1000000000,ABS(G629)&gt;1000000000,ROUND(F629,2)&lt;&gt;F629,AND(G629&lt;&gt;"",ROUND(G629,2)&lt;&gt;G629)),"REVISAR VALOR","OK"))))),"REVISAR VALOR")</f>
        <v/>
      </c>
    </row>
    <row r="630" spans="1:9" x14ac:dyDescent="0.45">
      <c r="A630" s="4"/>
      <c r="B630" s="8"/>
      <c r="C630" s="5"/>
      <c r="D630" s="5"/>
      <c r="E630" s="5"/>
      <c r="F630" s="7"/>
      <c r="G630" s="7"/>
      <c r="H630" s="8"/>
      <c r="I630" s="12" t="str">
        <f>IFERROR(IF(COUNTA(A630:H630)=0,"",IF(OR(A630="",B630="",C630="",D630="",E630="",F630=""),"FALTA CAMPO",IF(COUNTIFS($A$6:$A$1005,A630,$B$6:$B$1005,B630)&gt;1,"DUPLICADO FECHA-SKU",IF(COUNTIF(CATALOGO!$A$6:$A$105,B630)&lt;&gt;1,"SKU NO VALIDO",IF(OR(A630&lt;DATE(1900,1,1),A630&gt;DATE(2100,12,31),A630&gt;CONFIG!$B$5,C630&lt;0,C630&gt;1000000,D630&lt;0,D630&gt;1000000,E630&lt;0,E630&gt;1000000,E630&gt;D630,ABS(F630)&gt;1000000000,ABS(G630)&gt;1000000000,ROUND(F630,2)&lt;&gt;F630,AND(G630&lt;&gt;"",ROUND(G630,2)&lt;&gt;G630)),"REVISAR VALOR","OK"))))),"REVISAR VALOR")</f>
        <v/>
      </c>
    </row>
    <row r="631" spans="1:9" x14ac:dyDescent="0.45">
      <c r="A631" s="4"/>
      <c r="B631" s="8"/>
      <c r="C631" s="5"/>
      <c r="D631" s="5"/>
      <c r="E631" s="5"/>
      <c r="F631" s="7"/>
      <c r="G631" s="7"/>
      <c r="H631" s="8"/>
      <c r="I631" s="12" t="str">
        <f>IFERROR(IF(COUNTA(A631:H631)=0,"",IF(OR(A631="",B631="",C631="",D631="",E631="",F631=""),"FALTA CAMPO",IF(COUNTIFS($A$6:$A$1005,A631,$B$6:$B$1005,B631)&gt;1,"DUPLICADO FECHA-SKU",IF(COUNTIF(CATALOGO!$A$6:$A$105,B631)&lt;&gt;1,"SKU NO VALIDO",IF(OR(A631&lt;DATE(1900,1,1),A631&gt;DATE(2100,12,31),A631&gt;CONFIG!$B$5,C631&lt;0,C631&gt;1000000,D631&lt;0,D631&gt;1000000,E631&lt;0,E631&gt;1000000,E631&gt;D631,ABS(F631)&gt;1000000000,ABS(G631)&gt;1000000000,ROUND(F631,2)&lt;&gt;F631,AND(G631&lt;&gt;"",ROUND(G631,2)&lt;&gt;G631)),"REVISAR VALOR","OK"))))),"REVISAR VALOR")</f>
        <v/>
      </c>
    </row>
    <row r="632" spans="1:9" x14ac:dyDescent="0.45">
      <c r="A632" s="4"/>
      <c r="B632" s="8"/>
      <c r="C632" s="5"/>
      <c r="D632" s="5"/>
      <c r="E632" s="5"/>
      <c r="F632" s="7"/>
      <c r="G632" s="7"/>
      <c r="H632" s="8"/>
      <c r="I632" s="12" t="str">
        <f>IFERROR(IF(COUNTA(A632:H632)=0,"",IF(OR(A632="",B632="",C632="",D632="",E632="",F632=""),"FALTA CAMPO",IF(COUNTIFS($A$6:$A$1005,A632,$B$6:$B$1005,B632)&gt;1,"DUPLICADO FECHA-SKU",IF(COUNTIF(CATALOGO!$A$6:$A$105,B632)&lt;&gt;1,"SKU NO VALIDO",IF(OR(A632&lt;DATE(1900,1,1),A632&gt;DATE(2100,12,31),A632&gt;CONFIG!$B$5,C632&lt;0,C632&gt;1000000,D632&lt;0,D632&gt;1000000,E632&lt;0,E632&gt;1000000,E632&gt;D632,ABS(F632)&gt;1000000000,ABS(G632)&gt;1000000000,ROUND(F632,2)&lt;&gt;F632,AND(G632&lt;&gt;"",ROUND(G632,2)&lt;&gt;G632)),"REVISAR VALOR","OK"))))),"REVISAR VALOR")</f>
        <v/>
      </c>
    </row>
    <row r="633" spans="1:9" x14ac:dyDescent="0.45">
      <c r="A633" s="4"/>
      <c r="B633" s="8"/>
      <c r="C633" s="5"/>
      <c r="D633" s="5"/>
      <c r="E633" s="5"/>
      <c r="F633" s="7"/>
      <c r="G633" s="7"/>
      <c r="H633" s="8"/>
      <c r="I633" s="12" t="str">
        <f>IFERROR(IF(COUNTA(A633:H633)=0,"",IF(OR(A633="",B633="",C633="",D633="",E633="",F633=""),"FALTA CAMPO",IF(COUNTIFS($A$6:$A$1005,A633,$B$6:$B$1005,B633)&gt;1,"DUPLICADO FECHA-SKU",IF(COUNTIF(CATALOGO!$A$6:$A$105,B633)&lt;&gt;1,"SKU NO VALIDO",IF(OR(A633&lt;DATE(1900,1,1),A633&gt;DATE(2100,12,31),A633&gt;CONFIG!$B$5,C633&lt;0,C633&gt;1000000,D633&lt;0,D633&gt;1000000,E633&lt;0,E633&gt;1000000,E633&gt;D633,ABS(F633)&gt;1000000000,ABS(G633)&gt;1000000000,ROUND(F633,2)&lt;&gt;F633,AND(G633&lt;&gt;"",ROUND(G633,2)&lt;&gt;G633)),"REVISAR VALOR","OK"))))),"REVISAR VALOR")</f>
        <v/>
      </c>
    </row>
    <row r="634" spans="1:9" x14ac:dyDescent="0.45">
      <c r="A634" s="4"/>
      <c r="B634" s="8"/>
      <c r="C634" s="5"/>
      <c r="D634" s="5"/>
      <c r="E634" s="5"/>
      <c r="F634" s="7"/>
      <c r="G634" s="7"/>
      <c r="H634" s="8"/>
      <c r="I634" s="12" t="str">
        <f>IFERROR(IF(COUNTA(A634:H634)=0,"",IF(OR(A634="",B634="",C634="",D634="",E634="",F634=""),"FALTA CAMPO",IF(COUNTIFS($A$6:$A$1005,A634,$B$6:$B$1005,B634)&gt;1,"DUPLICADO FECHA-SKU",IF(COUNTIF(CATALOGO!$A$6:$A$105,B634)&lt;&gt;1,"SKU NO VALIDO",IF(OR(A634&lt;DATE(1900,1,1),A634&gt;DATE(2100,12,31),A634&gt;CONFIG!$B$5,C634&lt;0,C634&gt;1000000,D634&lt;0,D634&gt;1000000,E634&lt;0,E634&gt;1000000,E634&gt;D634,ABS(F634)&gt;1000000000,ABS(G634)&gt;1000000000,ROUND(F634,2)&lt;&gt;F634,AND(G634&lt;&gt;"",ROUND(G634,2)&lt;&gt;G634)),"REVISAR VALOR","OK"))))),"REVISAR VALOR")</f>
        <v/>
      </c>
    </row>
    <row r="635" spans="1:9" x14ac:dyDescent="0.45">
      <c r="A635" s="4"/>
      <c r="B635" s="8"/>
      <c r="C635" s="5"/>
      <c r="D635" s="5"/>
      <c r="E635" s="5"/>
      <c r="F635" s="7"/>
      <c r="G635" s="7"/>
      <c r="H635" s="8"/>
      <c r="I635" s="12" t="str">
        <f>IFERROR(IF(COUNTA(A635:H635)=0,"",IF(OR(A635="",B635="",C635="",D635="",E635="",F635=""),"FALTA CAMPO",IF(COUNTIFS($A$6:$A$1005,A635,$B$6:$B$1005,B635)&gt;1,"DUPLICADO FECHA-SKU",IF(COUNTIF(CATALOGO!$A$6:$A$105,B635)&lt;&gt;1,"SKU NO VALIDO",IF(OR(A635&lt;DATE(1900,1,1),A635&gt;DATE(2100,12,31),A635&gt;CONFIG!$B$5,C635&lt;0,C635&gt;1000000,D635&lt;0,D635&gt;1000000,E635&lt;0,E635&gt;1000000,E635&gt;D635,ABS(F635)&gt;1000000000,ABS(G635)&gt;1000000000,ROUND(F635,2)&lt;&gt;F635,AND(G635&lt;&gt;"",ROUND(G635,2)&lt;&gt;G635)),"REVISAR VALOR","OK"))))),"REVISAR VALOR")</f>
        <v/>
      </c>
    </row>
    <row r="636" spans="1:9" x14ac:dyDescent="0.45">
      <c r="A636" s="4"/>
      <c r="B636" s="8"/>
      <c r="C636" s="5"/>
      <c r="D636" s="5"/>
      <c r="E636" s="5"/>
      <c r="F636" s="7"/>
      <c r="G636" s="7"/>
      <c r="H636" s="8"/>
      <c r="I636" s="12" t="str">
        <f>IFERROR(IF(COUNTA(A636:H636)=0,"",IF(OR(A636="",B636="",C636="",D636="",E636="",F636=""),"FALTA CAMPO",IF(COUNTIFS($A$6:$A$1005,A636,$B$6:$B$1005,B636)&gt;1,"DUPLICADO FECHA-SKU",IF(COUNTIF(CATALOGO!$A$6:$A$105,B636)&lt;&gt;1,"SKU NO VALIDO",IF(OR(A636&lt;DATE(1900,1,1),A636&gt;DATE(2100,12,31),A636&gt;CONFIG!$B$5,C636&lt;0,C636&gt;1000000,D636&lt;0,D636&gt;1000000,E636&lt;0,E636&gt;1000000,E636&gt;D636,ABS(F636)&gt;1000000000,ABS(G636)&gt;1000000000,ROUND(F636,2)&lt;&gt;F636,AND(G636&lt;&gt;"",ROUND(G636,2)&lt;&gt;G636)),"REVISAR VALOR","OK"))))),"REVISAR VALOR")</f>
        <v/>
      </c>
    </row>
    <row r="637" spans="1:9" x14ac:dyDescent="0.45">
      <c r="A637" s="4"/>
      <c r="B637" s="8"/>
      <c r="C637" s="5"/>
      <c r="D637" s="5"/>
      <c r="E637" s="5"/>
      <c r="F637" s="7"/>
      <c r="G637" s="7"/>
      <c r="H637" s="8"/>
      <c r="I637" s="12" t="str">
        <f>IFERROR(IF(COUNTA(A637:H637)=0,"",IF(OR(A637="",B637="",C637="",D637="",E637="",F637=""),"FALTA CAMPO",IF(COUNTIFS($A$6:$A$1005,A637,$B$6:$B$1005,B637)&gt;1,"DUPLICADO FECHA-SKU",IF(COUNTIF(CATALOGO!$A$6:$A$105,B637)&lt;&gt;1,"SKU NO VALIDO",IF(OR(A637&lt;DATE(1900,1,1),A637&gt;DATE(2100,12,31),A637&gt;CONFIG!$B$5,C637&lt;0,C637&gt;1000000,D637&lt;0,D637&gt;1000000,E637&lt;0,E637&gt;1000000,E637&gt;D637,ABS(F637)&gt;1000000000,ABS(G637)&gt;1000000000,ROUND(F637,2)&lt;&gt;F637,AND(G637&lt;&gt;"",ROUND(G637,2)&lt;&gt;G637)),"REVISAR VALOR","OK"))))),"REVISAR VALOR")</f>
        <v/>
      </c>
    </row>
    <row r="638" spans="1:9" x14ac:dyDescent="0.45">
      <c r="A638" s="4"/>
      <c r="B638" s="8"/>
      <c r="C638" s="5"/>
      <c r="D638" s="5"/>
      <c r="E638" s="5"/>
      <c r="F638" s="7"/>
      <c r="G638" s="7"/>
      <c r="H638" s="8"/>
      <c r="I638" s="12" t="str">
        <f>IFERROR(IF(COUNTA(A638:H638)=0,"",IF(OR(A638="",B638="",C638="",D638="",E638="",F638=""),"FALTA CAMPO",IF(COUNTIFS($A$6:$A$1005,A638,$B$6:$B$1005,B638)&gt;1,"DUPLICADO FECHA-SKU",IF(COUNTIF(CATALOGO!$A$6:$A$105,B638)&lt;&gt;1,"SKU NO VALIDO",IF(OR(A638&lt;DATE(1900,1,1),A638&gt;DATE(2100,12,31),A638&gt;CONFIG!$B$5,C638&lt;0,C638&gt;1000000,D638&lt;0,D638&gt;1000000,E638&lt;0,E638&gt;1000000,E638&gt;D638,ABS(F638)&gt;1000000000,ABS(G638)&gt;1000000000,ROUND(F638,2)&lt;&gt;F638,AND(G638&lt;&gt;"",ROUND(G638,2)&lt;&gt;G638)),"REVISAR VALOR","OK"))))),"REVISAR VALOR")</f>
        <v/>
      </c>
    </row>
    <row r="639" spans="1:9" x14ac:dyDescent="0.45">
      <c r="A639" s="4"/>
      <c r="B639" s="8"/>
      <c r="C639" s="5"/>
      <c r="D639" s="5"/>
      <c r="E639" s="5"/>
      <c r="F639" s="7"/>
      <c r="G639" s="7"/>
      <c r="H639" s="8"/>
      <c r="I639" s="12" t="str">
        <f>IFERROR(IF(COUNTA(A639:H639)=0,"",IF(OR(A639="",B639="",C639="",D639="",E639="",F639=""),"FALTA CAMPO",IF(COUNTIFS($A$6:$A$1005,A639,$B$6:$B$1005,B639)&gt;1,"DUPLICADO FECHA-SKU",IF(COUNTIF(CATALOGO!$A$6:$A$105,B639)&lt;&gt;1,"SKU NO VALIDO",IF(OR(A639&lt;DATE(1900,1,1),A639&gt;DATE(2100,12,31),A639&gt;CONFIG!$B$5,C639&lt;0,C639&gt;1000000,D639&lt;0,D639&gt;1000000,E639&lt;0,E639&gt;1000000,E639&gt;D639,ABS(F639)&gt;1000000000,ABS(G639)&gt;1000000000,ROUND(F639,2)&lt;&gt;F639,AND(G639&lt;&gt;"",ROUND(G639,2)&lt;&gt;G639)),"REVISAR VALOR","OK"))))),"REVISAR VALOR")</f>
        <v/>
      </c>
    </row>
    <row r="640" spans="1:9" x14ac:dyDescent="0.45">
      <c r="A640" s="4"/>
      <c r="B640" s="8"/>
      <c r="C640" s="5"/>
      <c r="D640" s="5"/>
      <c r="E640" s="5"/>
      <c r="F640" s="7"/>
      <c r="G640" s="7"/>
      <c r="H640" s="8"/>
      <c r="I640" s="12" t="str">
        <f>IFERROR(IF(COUNTA(A640:H640)=0,"",IF(OR(A640="",B640="",C640="",D640="",E640="",F640=""),"FALTA CAMPO",IF(COUNTIFS($A$6:$A$1005,A640,$B$6:$B$1005,B640)&gt;1,"DUPLICADO FECHA-SKU",IF(COUNTIF(CATALOGO!$A$6:$A$105,B640)&lt;&gt;1,"SKU NO VALIDO",IF(OR(A640&lt;DATE(1900,1,1),A640&gt;DATE(2100,12,31),A640&gt;CONFIG!$B$5,C640&lt;0,C640&gt;1000000,D640&lt;0,D640&gt;1000000,E640&lt;0,E640&gt;1000000,E640&gt;D640,ABS(F640)&gt;1000000000,ABS(G640)&gt;1000000000,ROUND(F640,2)&lt;&gt;F640,AND(G640&lt;&gt;"",ROUND(G640,2)&lt;&gt;G640)),"REVISAR VALOR","OK"))))),"REVISAR VALOR")</f>
        <v/>
      </c>
    </row>
    <row r="641" spans="1:9" x14ac:dyDescent="0.45">
      <c r="A641" s="4"/>
      <c r="B641" s="8"/>
      <c r="C641" s="5"/>
      <c r="D641" s="5"/>
      <c r="E641" s="5"/>
      <c r="F641" s="7"/>
      <c r="G641" s="7"/>
      <c r="H641" s="8"/>
      <c r="I641" s="12" t="str">
        <f>IFERROR(IF(COUNTA(A641:H641)=0,"",IF(OR(A641="",B641="",C641="",D641="",E641="",F641=""),"FALTA CAMPO",IF(COUNTIFS($A$6:$A$1005,A641,$B$6:$B$1005,B641)&gt;1,"DUPLICADO FECHA-SKU",IF(COUNTIF(CATALOGO!$A$6:$A$105,B641)&lt;&gt;1,"SKU NO VALIDO",IF(OR(A641&lt;DATE(1900,1,1),A641&gt;DATE(2100,12,31),A641&gt;CONFIG!$B$5,C641&lt;0,C641&gt;1000000,D641&lt;0,D641&gt;1000000,E641&lt;0,E641&gt;1000000,E641&gt;D641,ABS(F641)&gt;1000000000,ABS(G641)&gt;1000000000,ROUND(F641,2)&lt;&gt;F641,AND(G641&lt;&gt;"",ROUND(G641,2)&lt;&gt;G641)),"REVISAR VALOR","OK"))))),"REVISAR VALOR")</f>
        <v/>
      </c>
    </row>
    <row r="642" spans="1:9" x14ac:dyDescent="0.45">
      <c r="A642" s="4"/>
      <c r="B642" s="8"/>
      <c r="C642" s="5"/>
      <c r="D642" s="5"/>
      <c r="E642" s="5"/>
      <c r="F642" s="7"/>
      <c r="G642" s="7"/>
      <c r="H642" s="8"/>
      <c r="I642" s="12" t="str">
        <f>IFERROR(IF(COUNTA(A642:H642)=0,"",IF(OR(A642="",B642="",C642="",D642="",E642="",F642=""),"FALTA CAMPO",IF(COUNTIFS($A$6:$A$1005,A642,$B$6:$B$1005,B642)&gt;1,"DUPLICADO FECHA-SKU",IF(COUNTIF(CATALOGO!$A$6:$A$105,B642)&lt;&gt;1,"SKU NO VALIDO",IF(OR(A642&lt;DATE(1900,1,1),A642&gt;DATE(2100,12,31),A642&gt;CONFIG!$B$5,C642&lt;0,C642&gt;1000000,D642&lt;0,D642&gt;1000000,E642&lt;0,E642&gt;1000000,E642&gt;D642,ABS(F642)&gt;1000000000,ABS(G642)&gt;1000000000,ROUND(F642,2)&lt;&gt;F642,AND(G642&lt;&gt;"",ROUND(G642,2)&lt;&gt;G642)),"REVISAR VALOR","OK"))))),"REVISAR VALOR")</f>
        <v/>
      </c>
    </row>
    <row r="643" spans="1:9" x14ac:dyDescent="0.45">
      <c r="A643" s="4"/>
      <c r="B643" s="8"/>
      <c r="C643" s="5"/>
      <c r="D643" s="5"/>
      <c r="E643" s="5"/>
      <c r="F643" s="7"/>
      <c r="G643" s="7"/>
      <c r="H643" s="8"/>
      <c r="I643" s="12" t="str">
        <f>IFERROR(IF(COUNTA(A643:H643)=0,"",IF(OR(A643="",B643="",C643="",D643="",E643="",F643=""),"FALTA CAMPO",IF(COUNTIFS($A$6:$A$1005,A643,$B$6:$B$1005,B643)&gt;1,"DUPLICADO FECHA-SKU",IF(COUNTIF(CATALOGO!$A$6:$A$105,B643)&lt;&gt;1,"SKU NO VALIDO",IF(OR(A643&lt;DATE(1900,1,1),A643&gt;DATE(2100,12,31),A643&gt;CONFIG!$B$5,C643&lt;0,C643&gt;1000000,D643&lt;0,D643&gt;1000000,E643&lt;0,E643&gt;1000000,E643&gt;D643,ABS(F643)&gt;1000000000,ABS(G643)&gt;1000000000,ROUND(F643,2)&lt;&gt;F643,AND(G643&lt;&gt;"",ROUND(G643,2)&lt;&gt;G643)),"REVISAR VALOR","OK"))))),"REVISAR VALOR")</f>
        <v/>
      </c>
    </row>
    <row r="644" spans="1:9" x14ac:dyDescent="0.45">
      <c r="A644" s="4"/>
      <c r="B644" s="8"/>
      <c r="C644" s="5"/>
      <c r="D644" s="5"/>
      <c r="E644" s="5"/>
      <c r="F644" s="7"/>
      <c r="G644" s="7"/>
      <c r="H644" s="8"/>
      <c r="I644" s="12" t="str">
        <f>IFERROR(IF(COUNTA(A644:H644)=0,"",IF(OR(A644="",B644="",C644="",D644="",E644="",F644=""),"FALTA CAMPO",IF(COUNTIFS($A$6:$A$1005,A644,$B$6:$B$1005,B644)&gt;1,"DUPLICADO FECHA-SKU",IF(COUNTIF(CATALOGO!$A$6:$A$105,B644)&lt;&gt;1,"SKU NO VALIDO",IF(OR(A644&lt;DATE(1900,1,1),A644&gt;DATE(2100,12,31),A644&gt;CONFIG!$B$5,C644&lt;0,C644&gt;1000000,D644&lt;0,D644&gt;1000000,E644&lt;0,E644&gt;1000000,E644&gt;D644,ABS(F644)&gt;1000000000,ABS(G644)&gt;1000000000,ROUND(F644,2)&lt;&gt;F644,AND(G644&lt;&gt;"",ROUND(G644,2)&lt;&gt;G644)),"REVISAR VALOR","OK"))))),"REVISAR VALOR")</f>
        <v/>
      </c>
    </row>
    <row r="645" spans="1:9" x14ac:dyDescent="0.45">
      <c r="A645" s="4"/>
      <c r="B645" s="8"/>
      <c r="C645" s="5"/>
      <c r="D645" s="5"/>
      <c r="E645" s="5"/>
      <c r="F645" s="7"/>
      <c r="G645" s="7"/>
      <c r="H645" s="8"/>
      <c r="I645" s="12" t="str">
        <f>IFERROR(IF(COUNTA(A645:H645)=0,"",IF(OR(A645="",B645="",C645="",D645="",E645="",F645=""),"FALTA CAMPO",IF(COUNTIFS($A$6:$A$1005,A645,$B$6:$B$1005,B645)&gt;1,"DUPLICADO FECHA-SKU",IF(COUNTIF(CATALOGO!$A$6:$A$105,B645)&lt;&gt;1,"SKU NO VALIDO",IF(OR(A645&lt;DATE(1900,1,1),A645&gt;DATE(2100,12,31),A645&gt;CONFIG!$B$5,C645&lt;0,C645&gt;1000000,D645&lt;0,D645&gt;1000000,E645&lt;0,E645&gt;1000000,E645&gt;D645,ABS(F645)&gt;1000000000,ABS(G645)&gt;1000000000,ROUND(F645,2)&lt;&gt;F645,AND(G645&lt;&gt;"",ROUND(G645,2)&lt;&gt;G645)),"REVISAR VALOR","OK"))))),"REVISAR VALOR")</f>
        <v/>
      </c>
    </row>
    <row r="646" spans="1:9" x14ac:dyDescent="0.45">
      <c r="A646" s="4"/>
      <c r="B646" s="8"/>
      <c r="C646" s="5"/>
      <c r="D646" s="5"/>
      <c r="E646" s="5"/>
      <c r="F646" s="7"/>
      <c r="G646" s="7"/>
      <c r="H646" s="8"/>
      <c r="I646" s="12" t="str">
        <f>IFERROR(IF(COUNTA(A646:H646)=0,"",IF(OR(A646="",B646="",C646="",D646="",E646="",F646=""),"FALTA CAMPO",IF(COUNTIFS($A$6:$A$1005,A646,$B$6:$B$1005,B646)&gt;1,"DUPLICADO FECHA-SKU",IF(COUNTIF(CATALOGO!$A$6:$A$105,B646)&lt;&gt;1,"SKU NO VALIDO",IF(OR(A646&lt;DATE(1900,1,1),A646&gt;DATE(2100,12,31),A646&gt;CONFIG!$B$5,C646&lt;0,C646&gt;1000000,D646&lt;0,D646&gt;1000000,E646&lt;0,E646&gt;1000000,E646&gt;D646,ABS(F646)&gt;1000000000,ABS(G646)&gt;1000000000,ROUND(F646,2)&lt;&gt;F646,AND(G646&lt;&gt;"",ROUND(G646,2)&lt;&gt;G646)),"REVISAR VALOR","OK"))))),"REVISAR VALOR")</f>
        <v/>
      </c>
    </row>
    <row r="647" spans="1:9" x14ac:dyDescent="0.45">
      <c r="A647" s="4"/>
      <c r="B647" s="8"/>
      <c r="C647" s="5"/>
      <c r="D647" s="5"/>
      <c r="E647" s="5"/>
      <c r="F647" s="7"/>
      <c r="G647" s="7"/>
      <c r="H647" s="8"/>
      <c r="I647" s="12" t="str">
        <f>IFERROR(IF(COUNTA(A647:H647)=0,"",IF(OR(A647="",B647="",C647="",D647="",E647="",F647=""),"FALTA CAMPO",IF(COUNTIFS($A$6:$A$1005,A647,$B$6:$B$1005,B647)&gt;1,"DUPLICADO FECHA-SKU",IF(COUNTIF(CATALOGO!$A$6:$A$105,B647)&lt;&gt;1,"SKU NO VALIDO",IF(OR(A647&lt;DATE(1900,1,1),A647&gt;DATE(2100,12,31),A647&gt;CONFIG!$B$5,C647&lt;0,C647&gt;1000000,D647&lt;0,D647&gt;1000000,E647&lt;0,E647&gt;1000000,E647&gt;D647,ABS(F647)&gt;1000000000,ABS(G647)&gt;1000000000,ROUND(F647,2)&lt;&gt;F647,AND(G647&lt;&gt;"",ROUND(G647,2)&lt;&gt;G647)),"REVISAR VALOR","OK"))))),"REVISAR VALOR")</f>
        <v/>
      </c>
    </row>
    <row r="648" spans="1:9" x14ac:dyDescent="0.45">
      <c r="A648" s="4"/>
      <c r="B648" s="8"/>
      <c r="C648" s="5"/>
      <c r="D648" s="5"/>
      <c r="E648" s="5"/>
      <c r="F648" s="7"/>
      <c r="G648" s="7"/>
      <c r="H648" s="8"/>
      <c r="I648" s="12" t="str">
        <f>IFERROR(IF(COUNTA(A648:H648)=0,"",IF(OR(A648="",B648="",C648="",D648="",E648="",F648=""),"FALTA CAMPO",IF(COUNTIFS($A$6:$A$1005,A648,$B$6:$B$1005,B648)&gt;1,"DUPLICADO FECHA-SKU",IF(COUNTIF(CATALOGO!$A$6:$A$105,B648)&lt;&gt;1,"SKU NO VALIDO",IF(OR(A648&lt;DATE(1900,1,1),A648&gt;DATE(2100,12,31),A648&gt;CONFIG!$B$5,C648&lt;0,C648&gt;1000000,D648&lt;0,D648&gt;1000000,E648&lt;0,E648&gt;1000000,E648&gt;D648,ABS(F648)&gt;1000000000,ABS(G648)&gt;1000000000,ROUND(F648,2)&lt;&gt;F648,AND(G648&lt;&gt;"",ROUND(G648,2)&lt;&gt;G648)),"REVISAR VALOR","OK"))))),"REVISAR VALOR")</f>
        <v/>
      </c>
    </row>
    <row r="649" spans="1:9" x14ac:dyDescent="0.45">
      <c r="A649" s="4"/>
      <c r="B649" s="8"/>
      <c r="C649" s="5"/>
      <c r="D649" s="5"/>
      <c r="E649" s="5"/>
      <c r="F649" s="7"/>
      <c r="G649" s="7"/>
      <c r="H649" s="8"/>
      <c r="I649" s="12" t="str">
        <f>IFERROR(IF(COUNTA(A649:H649)=0,"",IF(OR(A649="",B649="",C649="",D649="",E649="",F649=""),"FALTA CAMPO",IF(COUNTIFS($A$6:$A$1005,A649,$B$6:$B$1005,B649)&gt;1,"DUPLICADO FECHA-SKU",IF(COUNTIF(CATALOGO!$A$6:$A$105,B649)&lt;&gt;1,"SKU NO VALIDO",IF(OR(A649&lt;DATE(1900,1,1),A649&gt;DATE(2100,12,31),A649&gt;CONFIG!$B$5,C649&lt;0,C649&gt;1000000,D649&lt;0,D649&gt;1000000,E649&lt;0,E649&gt;1000000,E649&gt;D649,ABS(F649)&gt;1000000000,ABS(G649)&gt;1000000000,ROUND(F649,2)&lt;&gt;F649,AND(G649&lt;&gt;"",ROUND(G649,2)&lt;&gt;G649)),"REVISAR VALOR","OK"))))),"REVISAR VALOR")</f>
        <v/>
      </c>
    </row>
    <row r="650" spans="1:9" x14ac:dyDescent="0.45">
      <c r="A650" s="4"/>
      <c r="B650" s="8"/>
      <c r="C650" s="5"/>
      <c r="D650" s="5"/>
      <c r="E650" s="5"/>
      <c r="F650" s="7"/>
      <c r="G650" s="7"/>
      <c r="H650" s="8"/>
      <c r="I650" s="12" t="str">
        <f>IFERROR(IF(COUNTA(A650:H650)=0,"",IF(OR(A650="",B650="",C650="",D650="",E650="",F650=""),"FALTA CAMPO",IF(COUNTIFS($A$6:$A$1005,A650,$B$6:$B$1005,B650)&gt;1,"DUPLICADO FECHA-SKU",IF(COUNTIF(CATALOGO!$A$6:$A$105,B650)&lt;&gt;1,"SKU NO VALIDO",IF(OR(A650&lt;DATE(1900,1,1),A650&gt;DATE(2100,12,31),A650&gt;CONFIG!$B$5,C650&lt;0,C650&gt;1000000,D650&lt;0,D650&gt;1000000,E650&lt;0,E650&gt;1000000,E650&gt;D650,ABS(F650)&gt;1000000000,ABS(G650)&gt;1000000000,ROUND(F650,2)&lt;&gt;F650,AND(G650&lt;&gt;"",ROUND(G650,2)&lt;&gt;G650)),"REVISAR VALOR","OK"))))),"REVISAR VALOR")</f>
        <v/>
      </c>
    </row>
    <row r="651" spans="1:9" x14ac:dyDescent="0.45">
      <c r="A651" s="4"/>
      <c r="B651" s="8"/>
      <c r="C651" s="5"/>
      <c r="D651" s="5"/>
      <c r="E651" s="5"/>
      <c r="F651" s="7"/>
      <c r="G651" s="7"/>
      <c r="H651" s="8"/>
      <c r="I651" s="12" t="str">
        <f>IFERROR(IF(COUNTA(A651:H651)=0,"",IF(OR(A651="",B651="",C651="",D651="",E651="",F651=""),"FALTA CAMPO",IF(COUNTIFS($A$6:$A$1005,A651,$B$6:$B$1005,B651)&gt;1,"DUPLICADO FECHA-SKU",IF(COUNTIF(CATALOGO!$A$6:$A$105,B651)&lt;&gt;1,"SKU NO VALIDO",IF(OR(A651&lt;DATE(1900,1,1),A651&gt;DATE(2100,12,31),A651&gt;CONFIG!$B$5,C651&lt;0,C651&gt;1000000,D651&lt;0,D651&gt;1000000,E651&lt;0,E651&gt;1000000,E651&gt;D651,ABS(F651)&gt;1000000000,ABS(G651)&gt;1000000000,ROUND(F651,2)&lt;&gt;F651,AND(G651&lt;&gt;"",ROUND(G651,2)&lt;&gt;G651)),"REVISAR VALOR","OK"))))),"REVISAR VALOR")</f>
        <v/>
      </c>
    </row>
    <row r="652" spans="1:9" x14ac:dyDescent="0.45">
      <c r="A652" s="4"/>
      <c r="B652" s="8"/>
      <c r="C652" s="5"/>
      <c r="D652" s="5"/>
      <c r="E652" s="5"/>
      <c r="F652" s="7"/>
      <c r="G652" s="7"/>
      <c r="H652" s="8"/>
      <c r="I652" s="12" t="str">
        <f>IFERROR(IF(COUNTA(A652:H652)=0,"",IF(OR(A652="",B652="",C652="",D652="",E652="",F652=""),"FALTA CAMPO",IF(COUNTIFS($A$6:$A$1005,A652,$B$6:$B$1005,B652)&gt;1,"DUPLICADO FECHA-SKU",IF(COUNTIF(CATALOGO!$A$6:$A$105,B652)&lt;&gt;1,"SKU NO VALIDO",IF(OR(A652&lt;DATE(1900,1,1),A652&gt;DATE(2100,12,31),A652&gt;CONFIG!$B$5,C652&lt;0,C652&gt;1000000,D652&lt;0,D652&gt;1000000,E652&lt;0,E652&gt;1000000,E652&gt;D652,ABS(F652)&gt;1000000000,ABS(G652)&gt;1000000000,ROUND(F652,2)&lt;&gt;F652,AND(G652&lt;&gt;"",ROUND(G652,2)&lt;&gt;G652)),"REVISAR VALOR","OK"))))),"REVISAR VALOR")</f>
        <v/>
      </c>
    </row>
    <row r="653" spans="1:9" x14ac:dyDescent="0.45">
      <c r="A653" s="4"/>
      <c r="B653" s="8"/>
      <c r="C653" s="5"/>
      <c r="D653" s="5"/>
      <c r="E653" s="5"/>
      <c r="F653" s="7"/>
      <c r="G653" s="7"/>
      <c r="H653" s="8"/>
      <c r="I653" s="12" t="str">
        <f>IFERROR(IF(COUNTA(A653:H653)=0,"",IF(OR(A653="",B653="",C653="",D653="",E653="",F653=""),"FALTA CAMPO",IF(COUNTIFS($A$6:$A$1005,A653,$B$6:$B$1005,B653)&gt;1,"DUPLICADO FECHA-SKU",IF(COUNTIF(CATALOGO!$A$6:$A$105,B653)&lt;&gt;1,"SKU NO VALIDO",IF(OR(A653&lt;DATE(1900,1,1),A653&gt;DATE(2100,12,31),A653&gt;CONFIG!$B$5,C653&lt;0,C653&gt;1000000,D653&lt;0,D653&gt;1000000,E653&lt;0,E653&gt;1000000,E653&gt;D653,ABS(F653)&gt;1000000000,ABS(G653)&gt;1000000000,ROUND(F653,2)&lt;&gt;F653,AND(G653&lt;&gt;"",ROUND(G653,2)&lt;&gt;G653)),"REVISAR VALOR","OK"))))),"REVISAR VALOR")</f>
        <v/>
      </c>
    </row>
    <row r="654" spans="1:9" x14ac:dyDescent="0.45">
      <c r="A654" s="4"/>
      <c r="B654" s="8"/>
      <c r="C654" s="5"/>
      <c r="D654" s="5"/>
      <c r="E654" s="5"/>
      <c r="F654" s="7"/>
      <c r="G654" s="7"/>
      <c r="H654" s="8"/>
      <c r="I654" s="12" t="str">
        <f>IFERROR(IF(COUNTA(A654:H654)=0,"",IF(OR(A654="",B654="",C654="",D654="",E654="",F654=""),"FALTA CAMPO",IF(COUNTIFS($A$6:$A$1005,A654,$B$6:$B$1005,B654)&gt;1,"DUPLICADO FECHA-SKU",IF(COUNTIF(CATALOGO!$A$6:$A$105,B654)&lt;&gt;1,"SKU NO VALIDO",IF(OR(A654&lt;DATE(1900,1,1),A654&gt;DATE(2100,12,31),A654&gt;CONFIG!$B$5,C654&lt;0,C654&gt;1000000,D654&lt;0,D654&gt;1000000,E654&lt;0,E654&gt;1000000,E654&gt;D654,ABS(F654)&gt;1000000000,ABS(G654)&gt;1000000000,ROUND(F654,2)&lt;&gt;F654,AND(G654&lt;&gt;"",ROUND(G654,2)&lt;&gt;G654)),"REVISAR VALOR","OK"))))),"REVISAR VALOR")</f>
        <v/>
      </c>
    </row>
    <row r="655" spans="1:9" x14ac:dyDescent="0.45">
      <c r="A655" s="4"/>
      <c r="B655" s="8"/>
      <c r="C655" s="5"/>
      <c r="D655" s="5"/>
      <c r="E655" s="5"/>
      <c r="F655" s="7"/>
      <c r="G655" s="7"/>
      <c r="H655" s="8"/>
      <c r="I655" s="12" t="str">
        <f>IFERROR(IF(COUNTA(A655:H655)=0,"",IF(OR(A655="",B655="",C655="",D655="",E655="",F655=""),"FALTA CAMPO",IF(COUNTIFS($A$6:$A$1005,A655,$B$6:$B$1005,B655)&gt;1,"DUPLICADO FECHA-SKU",IF(COUNTIF(CATALOGO!$A$6:$A$105,B655)&lt;&gt;1,"SKU NO VALIDO",IF(OR(A655&lt;DATE(1900,1,1),A655&gt;DATE(2100,12,31),A655&gt;CONFIG!$B$5,C655&lt;0,C655&gt;1000000,D655&lt;0,D655&gt;1000000,E655&lt;0,E655&gt;1000000,E655&gt;D655,ABS(F655)&gt;1000000000,ABS(G655)&gt;1000000000,ROUND(F655,2)&lt;&gt;F655,AND(G655&lt;&gt;"",ROUND(G655,2)&lt;&gt;G655)),"REVISAR VALOR","OK"))))),"REVISAR VALOR")</f>
        <v/>
      </c>
    </row>
    <row r="656" spans="1:9" x14ac:dyDescent="0.45">
      <c r="A656" s="4"/>
      <c r="B656" s="8"/>
      <c r="C656" s="5"/>
      <c r="D656" s="5"/>
      <c r="E656" s="5"/>
      <c r="F656" s="7"/>
      <c r="G656" s="7"/>
      <c r="H656" s="8"/>
      <c r="I656" s="12" t="str">
        <f>IFERROR(IF(COUNTA(A656:H656)=0,"",IF(OR(A656="",B656="",C656="",D656="",E656="",F656=""),"FALTA CAMPO",IF(COUNTIFS($A$6:$A$1005,A656,$B$6:$B$1005,B656)&gt;1,"DUPLICADO FECHA-SKU",IF(COUNTIF(CATALOGO!$A$6:$A$105,B656)&lt;&gt;1,"SKU NO VALIDO",IF(OR(A656&lt;DATE(1900,1,1),A656&gt;DATE(2100,12,31),A656&gt;CONFIG!$B$5,C656&lt;0,C656&gt;1000000,D656&lt;0,D656&gt;1000000,E656&lt;0,E656&gt;1000000,E656&gt;D656,ABS(F656)&gt;1000000000,ABS(G656)&gt;1000000000,ROUND(F656,2)&lt;&gt;F656,AND(G656&lt;&gt;"",ROUND(G656,2)&lt;&gt;G656)),"REVISAR VALOR","OK"))))),"REVISAR VALOR")</f>
        <v/>
      </c>
    </row>
    <row r="657" spans="1:9" x14ac:dyDescent="0.45">
      <c r="A657" s="4"/>
      <c r="B657" s="8"/>
      <c r="C657" s="5"/>
      <c r="D657" s="5"/>
      <c r="E657" s="5"/>
      <c r="F657" s="7"/>
      <c r="G657" s="7"/>
      <c r="H657" s="8"/>
      <c r="I657" s="12" t="str">
        <f>IFERROR(IF(COUNTA(A657:H657)=0,"",IF(OR(A657="",B657="",C657="",D657="",E657="",F657=""),"FALTA CAMPO",IF(COUNTIFS($A$6:$A$1005,A657,$B$6:$B$1005,B657)&gt;1,"DUPLICADO FECHA-SKU",IF(COUNTIF(CATALOGO!$A$6:$A$105,B657)&lt;&gt;1,"SKU NO VALIDO",IF(OR(A657&lt;DATE(1900,1,1),A657&gt;DATE(2100,12,31),A657&gt;CONFIG!$B$5,C657&lt;0,C657&gt;1000000,D657&lt;0,D657&gt;1000000,E657&lt;0,E657&gt;1000000,E657&gt;D657,ABS(F657)&gt;1000000000,ABS(G657)&gt;1000000000,ROUND(F657,2)&lt;&gt;F657,AND(G657&lt;&gt;"",ROUND(G657,2)&lt;&gt;G657)),"REVISAR VALOR","OK"))))),"REVISAR VALOR")</f>
        <v/>
      </c>
    </row>
    <row r="658" spans="1:9" x14ac:dyDescent="0.45">
      <c r="A658" s="4"/>
      <c r="B658" s="8"/>
      <c r="C658" s="5"/>
      <c r="D658" s="5"/>
      <c r="E658" s="5"/>
      <c r="F658" s="7"/>
      <c r="G658" s="7"/>
      <c r="H658" s="8"/>
      <c r="I658" s="12" t="str">
        <f>IFERROR(IF(COUNTA(A658:H658)=0,"",IF(OR(A658="",B658="",C658="",D658="",E658="",F658=""),"FALTA CAMPO",IF(COUNTIFS($A$6:$A$1005,A658,$B$6:$B$1005,B658)&gt;1,"DUPLICADO FECHA-SKU",IF(COUNTIF(CATALOGO!$A$6:$A$105,B658)&lt;&gt;1,"SKU NO VALIDO",IF(OR(A658&lt;DATE(1900,1,1),A658&gt;DATE(2100,12,31),A658&gt;CONFIG!$B$5,C658&lt;0,C658&gt;1000000,D658&lt;0,D658&gt;1000000,E658&lt;0,E658&gt;1000000,E658&gt;D658,ABS(F658)&gt;1000000000,ABS(G658)&gt;1000000000,ROUND(F658,2)&lt;&gt;F658,AND(G658&lt;&gt;"",ROUND(G658,2)&lt;&gt;G658)),"REVISAR VALOR","OK"))))),"REVISAR VALOR")</f>
        <v/>
      </c>
    </row>
    <row r="659" spans="1:9" x14ac:dyDescent="0.45">
      <c r="A659" s="4"/>
      <c r="B659" s="8"/>
      <c r="C659" s="5"/>
      <c r="D659" s="5"/>
      <c r="E659" s="5"/>
      <c r="F659" s="7"/>
      <c r="G659" s="7"/>
      <c r="H659" s="8"/>
      <c r="I659" s="12" t="str">
        <f>IFERROR(IF(COUNTA(A659:H659)=0,"",IF(OR(A659="",B659="",C659="",D659="",E659="",F659=""),"FALTA CAMPO",IF(COUNTIFS($A$6:$A$1005,A659,$B$6:$B$1005,B659)&gt;1,"DUPLICADO FECHA-SKU",IF(COUNTIF(CATALOGO!$A$6:$A$105,B659)&lt;&gt;1,"SKU NO VALIDO",IF(OR(A659&lt;DATE(1900,1,1),A659&gt;DATE(2100,12,31),A659&gt;CONFIG!$B$5,C659&lt;0,C659&gt;1000000,D659&lt;0,D659&gt;1000000,E659&lt;0,E659&gt;1000000,E659&gt;D659,ABS(F659)&gt;1000000000,ABS(G659)&gt;1000000000,ROUND(F659,2)&lt;&gt;F659,AND(G659&lt;&gt;"",ROUND(G659,2)&lt;&gt;G659)),"REVISAR VALOR","OK"))))),"REVISAR VALOR")</f>
        <v/>
      </c>
    </row>
    <row r="660" spans="1:9" x14ac:dyDescent="0.45">
      <c r="A660" s="4"/>
      <c r="B660" s="8"/>
      <c r="C660" s="5"/>
      <c r="D660" s="5"/>
      <c r="E660" s="5"/>
      <c r="F660" s="7"/>
      <c r="G660" s="7"/>
      <c r="H660" s="8"/>
      <c r="I660" s="12" t="str">
        <f>IFERROR(IF(COUNTA(A660:H660)=0,"",IF(OR(A660="",B660="",C660="",D660="",E660="",F660=""),"FALTA CAMPO",IF(COUNTIFS($A$6:$A$1005,A660,$B$6:$B$1005,B660)&gt;1,"DUPLICADO FECHA-SKU",IF(COUNTIF(CATALOGO!$A$6:$A$105,B660)&lt;&gt;1,"SKU NO VALIDO",IF(OR(A660&lt;DATE(1900,1,1),A660&gt;DATE(2100,12,31),A660&gt;CONFIG!$B$5,C660&lt;0,C660&gt;1000000,D660&lt;0,D660&gt;1000000,E660&lt;0,E660&gt;1000000,E660&gt;D660,ABS(F660)&gt;1000000000,ABS(G660)&gt;1000000000,ROUND(F660,2)&lt;&gt;F660,AND(G660&lt;&gt;"",ROUND(G660,2)&lt;&gt;G660)),"REVISAR VALOR","OK"))))),"REVISAR VALOR")</f>
        <v/>
      </c>
    </row>
    <row r="661" spans="1:9" x14ac:dyDescent="0.45">
      <c r="A661" s="4"/>
      <c r="B661" s="8"/>
      <c r="C661" s="5"/>
      <c r="D661" s="5"/>
      <c r="E661" s="5"/>
      <c r="F661" s="7"/>
      <c r="G661" s="7"/>
      <c r="H661" s="8"/>
      <c r="I661" s="12" t="str">
        <f>IFERROR(IF(COUNTA(A661:H661)=0,"",IF(OR(A661="",B661="",C661="",D661="",E661="",F661=""),"FALTA CAMPO",IF(COUNTIFS($A$6:$A$1005,A661,$B$6:$B$1005,B661)&gt;1,"DUPLICADO FECHA-SKU",IF(COUNTIF(CATALOGO!$A$6:$A$105,B661)&lt;&gt;1,"SKU NO VALIDO",IF(OR(A661&lt;DATE(1900,1,1),A661&gt;DATE(2100,12,31),A661&gt;CONFIG!$B$5,C661&lt;0,C661&gt;1000000,D661&lt;0,D661&gt;1000000,E661&lt;0,E661&gt;1000000,E661&gt;D661,ABS(F661)&gt;1000000000,ABS(G661)&gt;1000000000,ROUND(F661,2)&lt;&gt;F661,AND(G661&lt;&gt;"",ROUND(G661,2)&lt;&gt;G661)),"REVISAR VALOR","OK"))))),"REVISAR VALOR")</f>
        <v/>
      </c>
    </row>
    <row r="662" spans="1:9" x14ac:dyDescent="0.45">
      <c r="A662" s="4"/>
      <c r="B662" s="8"/>
      <c r="C662" s="5"/>
      <c r="D662" s="5"/>
      <c r="E662" s="5"/>
      <c r="F662" s="7"/>
      <c r="G662" s="7"/>
      <c r="H662" s="8"/>
      <c r="I662" s="12" t="str">
        <f>IFERROR(IF(COUNTA(A662:H662)=0,"",IF(OR(A662="",B662="",C662="",D662="",E662="",F662=""),"FALTA CAMPO",IF(COUNTIFS($A$6:$A$1005,A662,$B$6:$B$1005,B662)&gt;1,"DUPLICADO FECHA-SKU",IF(COUNTIF(CATALOGO!$A$6:$A$105,B662)&lt;&gt;1,"SKU NO VALIDO",IF(OR(A662&lt;DATE(1900,1,1),A662&gt;DATE(2100,12,31),A662&gt;CONFIG!$B$5,C662&lt;0,C662&gt;1000000,D662&lt;0,D662&gt;1000000,E662&lt;0,E662&gt;1000000,E662&gt;D662,ABS(F662)&gt;1000000000,ABS(G662)&gt;1000000000,ROUND(F662,2)&lt;&gt;F662,AND(G662&lt;&gt;"",ROUND(G662,2)&lt;&gt;G662)),"REVISAR VALOR","OK"))))),"REVISAR VALOR")</f>
        <v/>
      </c>
    </row>
    <row r="663" spans="1:9" x14ac:dyDescent="0.45">
      <c r="A663" s="4"/>
      <c r="B663" s="8"/>
      <c r="C663" s="5"/>
      <c r="D663" s="5"/>
      <c r="E663" s="5"/>
      <c r="F663" s="7"/>
      <c r="G663" s="7"/>
      <c r="H663" s="8"/>
      <c r="I663" s="12" t="str">
        <f>IFERROR(IF(COUNTA(A663:H663)=0,"",IF(OR(A663="",B663="",C663="",D663="",E663="",F663=""),"FALTA CAMPO",IF(COUNTIFS($A$6:$A$1005,A663,$B$6:$B$1005,B663)&gt;1,"DUPLICADO FECHA-SKU",IF(COUNTIF(CATALOGO!$A$6:$A$105,B663)&lt;&gt;1,"SKU NO VALIDO",IF(OR(A663&lt;DATE(1900,1,1),A663&gt;DATE(2100,12,31),A663&gt;CONFIG!$B$5,C663&lt;0,C663&gt;1000000,D663&lt;0,D663&gt;1000000,E663&lt;0,E663&gt;1000000,E663&gt;D663,ABS(F663)&gt;1000000000,ABS(G663)&gt;1000000000,ROUND(F663,2)&lt;&gt;F663,AND(G663&lt;&gt;"",ROUND(G663,2)&lt;&gt;G663)),"REVISAR VALOR","OK"))))),"REVISAR VALOR")</f>
        <v/>
      </c>
    </row>
    <row r="664" spans="1:9" x14ac:dyDescent="0.45">
      <c r="A664" s="4"/>
      <c r="B664" s="8"/>
      <c r="C664" s="5"/>
      <c r="D664" s="5"/>
      <c r="E664" s="5"/>
      <c r="F664" s="7"/>
      <c r="G664" s="7"/>
      <c r="H664" s="8"/>
      <c r="I664" s="12" t="str">
        <f>IFERROR(IF(COUNTA(A664:H664)=0,"",IF(OR(A664="",B664="",C664="",D664="",E664="",F664=""),"FALTA CAMPO",IF(COUNTIFS($A$6:$A$1005,A664,$B$6:$B$1005,B664)&gt;1,"DUPLICADO FECHA-SKU",IF(COUNTIF(CATALOGO!$A$6:$A$105,B664)&lt;&gt;1,"SKU NO VALIDO",IF(OR(A664&lt;DATE(1900,1,1),A664&gt;DATE(2100,12,31),A664&gt;CONFIG!$B$5,C664&lt;0,C664&gt;1000000,D664&lt;0,D664&gt;1000000,E664&lt;0,E664&gt;1000000,E664&gt;D664,ABS(F664)&gt;1000000000,ABS(G664)&gt;1000000000,ROUND(F664,2)&lt;&gt;F664,AND(G664&lt;&gt;"",ROUND(G664,2)&lt;&gt;G664)),"REVISAR VALOR","OK"))))),"REVISAR VALOR")</f>
        <v/>
      </c>
    </row>
    <row r="665" spans="1:9" x14ac:dyDescent="0.45">
      <c r="A665" s="4"/>
      <c r="B665" s="8"/>
      <c r="C665" s="5"/>
      <c r="D665" s="5"/>
      <c r="E665" s="5"/>
      <c r="F665" s="7"/>
      <c r="G665" s="7"/>
      <c r="H665" s="8"/>
      <c r="I665" s="12" t="str">
        <f>IFERROR(IF(COUNTA(A665:H665)=0,"",IF(OR(A665="",B665="",C665="",D665="",E665="",F665=""),"FALTA CAMPO",IF(COUNTIFS($A$6:$A$1005,A665,$B$6:$B$1005,B665)&gt;1,"DUPLICADO FECHA-SKU",IF(COUNTIF(CATALOGO!$A$6:$A$105,B665)&lt;&gt;1,"SKU NO VALIDO",IF(OR(A665&lt;DATE(1900,1,1),A665&gt;DATE(2100,12,31),A665&gt;CONFIG!$B$5,C665&lt;0,C665&gt;1000000,D665&lt;0,D665&gt;1000000,E665&lt;0,E665&gt;1000000,E665&gt;D665,ABS(F665)&gt;1000000000,ABS(G665)&gt;1000000000,ROUND(F665,2)&lt;&gt;F665,AND(G665&lt;&gt;"",ROUND(G665,2)&lt;&gt;G665)),"REVISAR VALOR","OK"))))),"REVISAR VALOR")</f>
        <v/>
      </c>
    </row>
    <row r="666" spans="1:9" x14ac:dyDescent="0.45">
      <c r="A666" s="4"/>
      <c r="B666" s="8"/>
      <c r="C666" s="5"/>
      <c r="D666" s="5"/>
      <c r="E666" s="5"/>
      <c r="F666" s="7"/>
      <c r="G666" s="7"/>
      <c r="H666" s="8"/>
      <c r="I666" s="12" t="str">
        <f>IFERROR(IF(COUNTA(A666:H666)=0,"",IF(OR(A666="",B666="",C666="",D666="",E666="",F666=""),"FALTA CAMPO",IF(COUNTIFS($A$6:$A$1005,A666,$B$6:$B$1005,B666)&gt;1,"DUPLICADO FECHA-SKU",IF(COUNTIF(CATALOGO!$A$6:$A$105,B666)&lt;&gt;1,"SKU NO VALIDO",IF(OR(A666&lt;DATE(1900,1,1),A666&gt;DATE(2100,12,31),A666&gt;CONFIG!$B$5,C666&lt;0,C666&gt;1000000,D666&lt;0,D666&gt;1000000,E666&lt;0,E666&gt;1000000,E666&gt;D666,ABS(F666)&gt;1000000000,ABS(G666)&gt;1000000000,ROUND(F666,2)&lt;&gt;F666,AND(G666&lt;&gt;"",ROUND(G666,2)&lt;&gt;G666)),"REVISAR VALOR","OK"))))),"REVISAR VALOR")</f>
        <v/>
      </c>
    </row>
    <row r="667" spans="1:9" x14ac:dyDescent="0.45">
      <c r="A667" s="4"/>
      <c r="B667" s="8"/>
      <c r="C667" s="5"/>
      <c r="D667" s="5"/>
      <c r="E667" s="5"/>
      <c r="F667" s="7"/>
      <c r="G667" s="7"/>
      <c r="H667" s="8"/>
      <c r="I667" s="12" t="str">
        <f>IFERROR(IF(COUNTA(A667:H667)=0,"",IF(OR(A667="",B667="",C667="",D667="",E667="",F667=""),"FALTA CAMPO",IF(COUNTIFS($A$6:$A$1005,A667,$B$6:$B$1005,B667)&gt;1,"DUPLICADO FECHA-SKU",IF(COUNTIF(CATALOGO!$A$6:$A$105,B667)&lt;&gt;1,"SKU NO VALIDO",IF(OR(A667&lt;DATE(1900,1,1),A667&gt;DATE(2100,12,31),A667&gt;CONFIG!$B$5,C667&lt;0,C667&gt;1000000,D667&lt;0,D667&gt;1000000,E667&lt;0,E667&gt;1000000,E667&gt;D667,ABS(F667)&gt;1000000000,ABS(G667)&gt;1000000000,ROUND(F667,2)&lt;&gt;F667,AND(G667&lt;&gt;"",ROUND(G667,2)&lt;&gt;G667)),"REVISAR VALOR","OK"))))),"REVISAR VALOR")</f>
        <v/>
      </c>
    </row>
    <row r="668" spans="1:9" x14ac:dyDescent="0.45">
      <c r="A668" s="4"/>
      <c r="B668" s="8"/>
      <c r="C668" s="5"/>
      <c r="D668" s="5"/>
      <c r="E668" s="5"/>
      <c r="F668" s="7"/>
      <c r="G668" s="7"/>
      <c r="H668" s="8"/>
      <c r="I668" s="12" t="str">
        <f>IFERROR(IF(COUNTA(A668:H668)=0,"",IF(OR(A668="",B668="",C668="",D668="",E668="",F668=""),"FALTA CAMPO",IF(COUNTIFS($A$6:$A$1005,A668,$B$6:$B$1005,B668)&gt;1,"DUPLICADO FECHA-SKU",IF(COUNTIF(CATALOGO!$A$6:$A$105,B668)&lt;&gt;1,"SKU NO VALIDO",IF(OR(A668&lt;DATE(1900,1,1),A668&gt;DATE(2100,12,31),A668&gt;CONFIG!$B$5,C668&lt;0,C668&gt;1000000,D668&lt;0,D668&gt;1000000,E668&lt;0,E668&gt;1000000,E668&gt;D668,ABS(F668)&gt;1000000000,ABS(G668)&gt;1000000000,ROUND(F668,2)&lt;&gt;F668,AND(G668&lt;&gt;"",ROUND(G668,2)&lt;&gt;G668)),"REVISAR VALOR","OK"))))),"REVISAR VALOR")</f>
        <v/>
      </c>
    </row>
    <row r="669" spans="1:9" x14ac:dyDescent="0.45">
      <c r="A669" s="4"/>
      <c r="B669" s="8"/>
      <c r="C669" s="5"/>
      <c r="D669" s="5"/>
      <c r="E669" s="5"/>
      <c r="F669" s="7"/>
      <c r="G669" s="7"/>
      <c r="H669" s="8"/>
      <c r="I669" s="12" t="str">
        <f>IFERROR(IF(COUNTA(A669:H669)=0,"",IF(OR(A669="",B669="",C669="",D669="",E669="",F669=""),"FALTA CAMPO",IF(COUNTIFS($A$6:$A$1005,A669,$B$6:$B$1005,B669)&gt;1,"DUPLICADO FECHA-SKU",IF(COUNTIF(CATALOGO!$A$6:$A$105,B669)&lt;&gt;1,"SKU NO VALIDO",IF(OR(A669&lt;DATE(1900,1,1),A669&gt;DATE(2100,12,31),A669&gt;CONFIG!$B$5,C669&lt;0,C669&gt;1000000,D669&lt;0,D669&gt;1000000,E669&lt;0,E669&gt;1000000,E669&gt;D669,ABS(F669)&gt;1000000000,ABS(G669)&gt;1000000000,ROUND(F669,2)&lt;&gt;F669,AND(G669&lt;&gt;"",ROUND(G669,2)&lt;&gt;G669)),"REVISAR VALOR","OK"))))),"REVISAR VALOR")</f>
        <v/>
      </c>
    </row>
    <row r="670" spans="1:9" x14ac:dyDescent="0.45">
      <c r="A670" s="4"/>
      <c r="B670" s="8"/>
      <c r="C670" s="5"/>
      <c r="D670" s="5"/>
      <c r="E670" s="5"/>
      <c r="F670" s="7"/>
      <c r="G670" s="7"/>
      <c r="H670" s="8"/>
      <c r="I670" s="12" t="str">
        <f>IFERROR(IF(COUNTA(A670:H670)=0,"",IF(OR(A670="",B670="",C670="",D670="",E670="",F670=""),"FALTA CAMPO",IF(COUNTIFS($A$6:$A$1005,A670,$B$6:$B$1005,B670)&gt;1,"DUPLICADO FECHA-SKU",IF(COUNTIF(CATALOGO!$A$6:$A$105,B670)&lt;&gt;1,"SKU NO VALIDO",IF(OR(A670&lt;DATE(1900,1,1),A670&gt;DATE(2100,12,31),A670&gt;CONFIG!$B$5,C670&lt;0,C670&gt;1000000,D670&lt;0,D670&gt;1000000,E670&lt;0,E670&gt;1000000,E670&gt;D670,ABS(F670)&gt;1000000000,ABS(G670)&gt;1000000000,ROUND(F670,2)&lt;&gt;F670,AND(G670&lt;&gt;"",ROUND(G670,2)&lt;&gt;G670)),"REVISAR VALOR","OK"))))),"REVISAR VALOR")</f>
        <v/>
      </c>
    </row>
    <row r="671" spans="1:9" x14ac:dyDescent="0.45">
      <c r="A671" s="4"/>
      <c r="B671" s="8"/>
      <c r="C671" s="5"/>
      <c r="D671" s="5"/>
      <c r="E671" s="5"/>
      <c r="F671" s="7"/>
      <c r="G671" s="7"/>
      <c r="H671" s="8"/>
      <c r="I671" s="12" t="str">
        <f>IFERROR(IF(COUNTA(A671:H671)=0,"",IF(OR(A671="",B671="",C671="",D671="",E671="",F671=""),"FALTA CAMPO",IF(COUNTIFS($A$6:$A$1005,A671,$B$6:$B$1005,B671)&gt;1,"DUPLICADO FECHA-SKU",IF(COUNTIF(CATALOGO!$A$6:$A$105,B671)&lt;&gt;1,"SKU NO VALIDO",IF(OR(A671&lt;DATE(1900,1,1),A671&gt;DATE(2100,12,31),A671&gt;CONFIG!$B$5,C671&lt;0,C671&gt;1000000,D671&lt;0,D671&gt;1000000,E671&lt;0,E671&gt;1000000,E671&gt;D671,ABS(F671)&gt;1000000000,ABS(G671)&gt;1000000000,ROUND(F671,2)&lt;&gt;F671,AND(G671&lt;&gt;"",ROUND(G671,2)&lt;&gt;G671)),"REVISAR VALOR","OK"))))),"REVISAR VALOR")</f>
        <v/>
      </c>
    </row>
    <row r="672" spans="1:9" x14ac:dyDescent="0.45">
      <c r="A672" s="4"/>
      <c r="B672" s="8"/>
      <c r="C672" s="5"/>
      <c r="D672" s="5"/>
      <c r="E672" s="5"/>
      <c r="F672" s="7"/>
      <c r="G672" s="7"/>
      <c r="H672" s="8"/>
      <c r="I672" s="12" t="str">
        <f>IFERROR(IF(COUNTA(A672:H672)=0,"",IF(OR(A672="",B672="",C672="",D672="",E672="",F672=""),"FALTA CAMPO",IF(COUNTIFS($A$6:$A$1005,A672,$B$6:$B$1005,B672)&gt;1,"DUPLICADO FECHA-SKU",IF(COUNTIF(CATALOGO!$A$6:$A$105,B672)&lt;&gt;1,"SKU NO VALIDO",IF(OR(A672&lt;DATE(1900,1,1),A672&gt;DATE(2100,12,31),A672&gt;CONFIG!$B$5,C672&lt;0,C672&gt;1000000,D672&lt;0,D672&gt;1000000,E672&lt;0,E672&gt;1000000,E672&gt;D672,ABS(F672)&gt;1000000000,ABS(G672)&gt;1000000000,ROUND(F672,2)&lt;&gt;F672,AND(G672&lt;&gt;"",ROUND(G672,2)&lt;&gt;G672)),"REVISAR VALOR","OK"))))),"REVISAR VALOR")</f>
        <v/>
      </c>
    </row>
    <row r="673" spans="1:9" x14ac:dyDescent="0.45">
      <c r="A673" s="4"/>
      <c r="B673" s="8"/>
      <c r="C673" s="5"/>
      <c r="D673" s="5"/>
      <c r="E673" s="5"/>
      <c r="F673" s="7"/>
      <c r="G673" s="7"/>
      <c r="H673" s="8"/>
      <c r="I673" s="12" t="str">
        <f>IFERROR(IF(COUNTA(A673:H673)=0,"",IF(OR(A673="",B673="",C673="",D673="",E673="",F673=""),"FALTA CAMPO",IF(COUNTIFS($A$6:$A$1005,A673,$B$6:$B$1005,B673)&gt;1,"DUPLICADO FECHA-SKU",IF(COUNTIF(CATALOGO!$A$6:$A$105,B673)&lt;&gt;1,"SKU NO VALIDO",IF(OR(A673&lt;DATE(1900,1,1),A673&gt;DATE(2100,12,31),A673&gt;CONFIG!$B$5,C673&lt;0,C673&gt;1000000,D673&lt;0,D673&gt;1000000,E673&lt;0,E673&gt;1000000,E673&gt;D673,ABS(F673)&gt;1000000000,ABS(G673)&gt;1000000000,ROUND(F673,2)&lt;&gt;F673,AND(G673&lt;&gt;"",ROUND(G673,2)&lt;&gt;G673)),"REVISAR VALOR","OK"))))),"REVISAR VALOR")</f>
        <v/>
      </c>
    </row>
    <row r="674" spans="1:9" x14ac:dyDescent="0.45">
      <c r="A674" s="4"/>
      <c r="B674" s="8"/>
      <c r="C674" s="5"/>
      <c r="D674" s="5"/>
      <c r="E674" s="5"/>
      <c r="F674" s="7"/>
      <c r="G674" s="7"/>
      <c r="H674" s="8"/>
      <c r="I674" s="12" t="str">
        <f>IFERROR(IF(COUNTA(A674:H674)=0,"",IF(OR(A674="",B674="",C674="",D674="",E674="",F674=""),"FALTA CAMPO",IF(COUNTIFS($A$6:$A$1005,A674,$B$6:$B$1005,B674)&gt;1,"DUPLICADO FECHA-SKU",IF(COUNTIF(CATALOGO!$A$6:$A$105,B674)&lt;&gt;1,"SKU NO VALIDO",IF(OR(A674&lt;DATE(1900,1,1),A674&gt;DATE(2100,12,31),A674&gt;CONFIG!$B$5,C674&lt;0,C674&gt;1000000,D674&lt;0,D674&gt;1000000,E674&lt;0,E674&gt;1000000,E674&gt;D674,ABS(F674)&gt;1000000000,ABS(G674)&gt;1000000000,ROUND(F674,2)&lt;&gt;F674,AND(G674&lt;&gt;"",ROUND(G674,2)&lt;&gt;G674)),"REVISAR VALOR","OK"))))),"REVISAR VALOR")</f>
        <v/>
      </c>
    </row>
    <row r="675" spans="1:9" x14ac:dyDescent="0.45">
      <c r="A675" s="4"/>
      <c r="B675" s="8"/>
      <c r="C675" s="5"/>
      <c r="D675" s="5"/>
      <c r="E675" s="5"/>
      <c r="F675" s="7"/>
      <c r="G675" s="7"/>
      <c r="H675" s="8"/>
      <c r="I675" s="12" t="str">
        <f>IFERROR(IF(COUNTA(A675:H675)=0,"",IF(OR(A675="",B675="",C675="",D675="",E675="",F675=""),"FALTA CAMPO",IF(COUNTIFS($A$6:$A$1005,A675,$B$6:$B$1005,B675)&gt;1,"DUPLICADO FECHA-SKU",IF(COUNTIF(CATALOGO!$A$6:$A$105,B675)&lt;&gt;1,"SKU NO VALIDO",IF(OR(A675&lt;DATE(1900,1,1),A675&gt;DATE(2100,12,31),A675&gt;CONFIG!$B$5,C675&lt;0,C675&gt;1000000,D675&lt;0,D675&gt;1000000,E675&lt;0,E675&gt;1000000,E675&gt;D675,ABS(F675)&gt;1000000000,ABS(G675)&gt;1000000000,ROUND(F675,2)&lt;&gt;F675,AND(G675&lt;&gt;"",ROUND(G675,2)&lt;&gt;G675)),"REVISAR VALOR","OK"))))),"REVISAR VALOR")</f>
        <v/>
      </c>
    </row>
    <row r="676" spans="1:9" x14ac:dyDescent="0.45">
      <c r="A676" s="4"/>
      <c r="B676" s="8"/>
      <c r="C676" s="5"/>
      <c r="D676" s="5"/>
      <c r="E676" s="5"/>
      <c r="F676" s="7"/>
      <c r="G676" s="7"/>
      <c r="H676" s="8"/>
      <c r="I676" s="12" t="str">
        <f>IFERROR(IF(COUNTA(A676:H676)=0,"",IF(OR(A676="",B676="",C676="",D676="",E676="",F676=""),"FALTA CAMPO",IF(COUNTIFS($A$6:$A$1005,A676,$B$6:$B$1005,B676)&gt;1,"DUPLICADO FECHA-SKU",IF(COUNTIF(CATALOGO!$A$6:$A$105,B676)&lt;&gt;1,"SKU NO VALIDO",IF(OR(A676&lt;DATE(1900,1,1),A676&gt;DATE(2100,12,31),A676&gt;CONFIG!$B$5,C676&lt;0,C676&gt;1000000,D676&lt;0,D676&gt;1000000,E676&lt;0,E676&gt;1000000,E676&gt;D676,ABS(F676)&gt;1000000000,ABS(G676)&gt;1000000000,ROUND(F676,2)&lt;&gt;F676,AND(G676&lt;&gt;"",ROUND(G676,2)&lt;&gt;G676)),"REVISAR VALOR","OK"))))),"REVISAR VALOR")</f>
        <v/>
      </c>
    </row>
    <row r="677" spans="1:9" x14ac:dyDescent="0.45">
      <c r="A677" s="4"/>
      <c r="B677" s="8"/>
      <c r="C677" s="5"/>
      <c r="D677" s="5"/>
      <c r="E677" s="5"/>
      <c r="F677" s="7"/>
      <c r="G677" s="7"/>
      <c r="H677" s="8"/>
      <c r="I677" s="12" t="str">
        <f>IFERROR(IF(COUNTA(A677:H677)=0,"",IF(OR(A677="",B677="",C677="",D677="",E677="",F677=""),"FALTA CAMPO",IF(COUNTIFS($A$6:$A$1005,A677,$B$6:$B$1005,B677)&gt;1,"DUPLICADO FECHA-SKU",IF(COUNTIF(CATALOGO!$A$6:$A$105,B677)&lt;&gt;1,"SKU NO VALIDO",IF(OR(A677&lt;DATE(1900,1,1),A677&gt;DATE(2100,12,31),A677&gt;CONFIG!$B$5,C677&lt;0,C677&gt;1000000,D677&lt;0,D677&gt;1000000,E677&lt;0,E677&gt;1000000,E677&gt;D677,ABS(F677)&gt;1000000000,ABS(G677)&gt;1000000000,ROUND(F677,2)&lt;&gt;F677,AND(G677&lt;&gt;"",ROUND(G677,2)&lt;&gt;G677)),"REVISAR VALOR","OK"))))),"REVISAR VALOR")</f>
        <v/>
      </c>
    </row>
    <row r="678" spans="1:9" x14ac:dyDescent="0.45">
      <c r="A678" s="4"/>
      <c r="B678" s="8"/>
      <c r="C678" s="5"/>
      <c r="D678" s="5"/>
      <c r="E678" s="5"/>
      <c r="F678" s="7"/>
      <c r="G678" s="7"/>
      <c r="H678" s="8"/>
      <c r="I678" s="12" t="str">
        <f>IFERROR(IF(COUNTA(A678:H678)=0,"",IF(OR(A678="",B678="",C678="",D678="",E678="",F678=""),"FALTA CAMPO",IF(COUNTIFS($A$6:$A$1005,A678,$B$6:$B$1005,B678)&gt;1,"DUPLICADO FECHA-SKU",IF(COUNTIF(CATALOGO!$A$6:$A$105,B678)&lt;&gt;1,"SKU NO VALIDO",IF(OR(A678&lt;DATE(1900,1,1),A678&gt;DATE(2100,12,31),A678&gt;CONFIG!$B$5,C678&lt;0,C678&gt;1000000,D678&lt;0,D678&gt;1000000,E678&lt;0,E678&gt;1000000,E678&gt;D678,ABS(F678)&gt;1000000000,ABS(G678)&gt;1000000000,ROUND(F678,2)&lt;&gt;F678,AND(G678&lt;&gt;"",ROUND(G678,2)&lt;&gt;G678)),"REVISAR VALOR","OK"))))),"REVISAR VALOR")</f>
        <v/>
      </c>
    </row>
    <row r="679" spans="1:9" x14ac:dyDescent="0.45">
      <c r="A679" s="4"/>
      <c r="B679" s="8"/>
      <c r="C679" s="5"/>
      <c r="D679" s="5"/>
      <c r="E679" s="5"/>
      <c r="F679" s="7"/>
      <c r="G679" s="7"/>
      <c r="H679" s="8"/>
      <c r="I679" s="12" t="str">
        <f>IFERROR(IF(COUNTA(A679:H679)=0,"",IF(OR(A679="",B679="",C679="",D679="",E679="",F679=""),"FALTA CAMPO",IF(COUNTIFS($A$6:$A$1005,A679,$B$6:$B$1005,B679)&gt;1,"DUPLICADO FECHA-SKU",IF(COUNTIF(CATALOGO!$A$6:$A$105,B679)&lt;&gt;1,"SKU NO VALIDO",IF(OR(A679&lt;DATE(1900,1,1),A679&gt;DATE(2100,12,31),A679&gt;CONFIG!$B$5,C679&lt;0,C679&gt;1000000,D679&lt;0,D679&gt;1000000,E679&lt;0,E679&gt;1000000,E679&gt;D679,ABS(F679)&gt;1000000000,ABS(G679)&gt;1000000000,ROUND(F679,2)&lt;&gt;F679,AND(G679&lt;&gt;"",ROUND(G679,2)&lt;&gt;G679)),"REVISAR VALOR","OK"))))),"REVISAR VALOR")</f>
        <v/>
      </c>
    </row>
    <row r="680" spans="1:9" x14ac:dyDescent="0.45">
      <c r="A680" s="4"/>
      <c r="B680" s="8"/>
      <c r="C680" s="5"/>
      <c r="D680" s="5"/>
      <c r="E680" s="5"/>
      <c r="F680" s="7"/>
      <c r="G680" s="7"/>
      <c r="H680" s="8"/>
      <c r="I680" s="12" t="str">
        <f>IFERROR(IF(COUNTA(A680:H680)=0,"",IF(OR(A680="",B680="",C680="",D680="",E680="",F680=""),"FALTA CAMPO",IF(COUNTIFS($A$6:$A$1005,A680,$B$6:$B$1005,B680)&gt;1,"DUPLICADO FECHA-SKU",IF(COUNTIF(CATALOGO!$A$6:$A$105,B680)&lt;&gt;1,"SKU NO VALIDO",IF(OR(A680&lt;DATE(1900,1,1),A680&gt;DATE(2100,12,31),A680&gt;CONFIG!$B$5,C680&lt;0,C680&gt;1000000,D680&lt;0,D680&gt;1000000,E680&lt;0,E680&gt;1000000,E680&gt;D680,ABS(F680)&gt;1000000000,ABS(G680)&gt;1000000000,ROUND(F680,2)&lt;&gt;F680,AND(G680&lt;&gt;"",ROUND(G680,2)&lt;&gt;G680)),"REVISAR VALOR","OK"))))),"REVISAR VALOR")</f>
        <v/>
      </c>
    </row>
    <row r="681" spans="1:9" x14ac:dyDescent="0.45">
      <c r="A681" s="4"/>
      <c r="B681" s="8"/>
      <c r="C681" s="5"/>
      <c r="D681" s="5"/>
      <c r="E681" s="5"/>
      <c r="F681" s="7"/>
      <c r="G681" s="7"/>
      <c r="H681" s="8"/>
      <c r="I681" s="12" t="str">
        <f>IFERROR(IF(COUNTA(A681:H681)=0,"",IF(OR(A681="",B681="",C681="",D681="",E681="",F681=""),"FALTA CAMPO",IF(COUNTIFS($A$6:$A$1005,A681,$B$6:$B$1005,B681)&gt;1,"DUPLICADO FECHA-SKU",IF(COUNTIF(CATALOGO!$A$6:$A$105,B681)&lt;&gt;1,"SKU NO VALIDO",IF(OR(A681&lt;DATE(1900,1,1),A681&gt;DATE(2100,12,31),A681&gt;CONFIG!$B$5,C681&lt;0,C681&gt;1000000,D681&lt;0,D681&gt;1000000,E681&lt;0,E681&gt;1000000,E681&gt;D681,ABS(F681)&gt;1000000000,ABS(G681)&gt;1000000000,ROUND(F681,2)&lt;&gt;F681,AND(G681&lt;&gt;"",ROUND(G681,2)&lt;&gt;G681)),"REVISAR VALOR","OK"))))),"REVISAR VALOR")</f>
        <v/>
      </c>
    </row>
    <row r="682" spans="1:9" x14ac:dyDescent="0.45">
      <c r="A682" s="4"/>
      <c r="B682" s="8"/>
      <c r="C682" s="5"/>
      <c r="D682" s="5"/>
      <c r="E682" s="5"/>
      <c r="F682" s="7"/>
      <c r="G682" s="7"/>
      <c r="H682" s="8"/>
      <c r="I682" s="12" t="str">
        <f>IFERROR(IF(COUNTA(A682:H682)=0,"",IF(OR(A682="",B682="",C682="",D682="",E682="",F682=""),"FALTA CAMPO",IF(COUNTIFS($A$6:$A$1005,A682,$B$6:$B$1005,B682)&gt;1,"DUPLICADO FECHA-SKU",IF(COUNTIF(CATALOGO!$A$6:$A$105,B682)&lt;&gt;1,"SKU NO VALIDO",IF(OR(A682&lt;DATE(1900,1,1),A682&gt;DATE(2100,12,31),A682&gt;CONFIG!$B$5,C682&lt;0,C682&gt;1000000,D682&lt;0,D682&gt;1000000,E682&lt;0,E682&gt;1000000,E682&gt;D682,ABS(F682)&gt;1000000000,ABS(G682)&gt;1000000000,ROUND(F682,2)&lt;&gt;F682,AND(G682&lt;&gt;"",ROUND(G682,2)&lt;&gt;G682)),"REVISAR VALOR","OK"))))),"REVISAR VALOR")</f>
        <v/>
      </c>
    </row>
    <row r="683" spans="1:9" x14ac:dyDescent="0.45">
      <c r="A683" s="4"/>
      <c r="B683" s="8"/>
      <c r="C683" s="5"/>
      <c r="D683" s="5"/>
      <c r="E683" s="5"/>
      <c r="F683" s="7"/>
      <c r="G683" s="7"/>
      <c r="H683" s="8"/>
      <c r="I683" s="12" t="str">
        <f>IFERROR(IF(COUNTA(A683:H683)=0,"",IF(OR(A683="",B683="",C683="",D683="",E683="",F683=""),"FALTA CAMPO",IF(COUNTIFS($A$6:$A$1005,A683,$B$6:$B$1005,B683)&gt;1,"DUPLICADO FECHA-SKU",IF(COUNTIF(CATALOGO!$A$6:$A$105,B683)&lt;&gt;1,"SKU NO VALIDO",IF(OR(A683&lt;DATE(1900,1,1),A683&gt;DATE(2100,12,31),A683&gt;CONFIG!$B$5,C683&lt;0,C683&gt;1000000,D683&lt;0,D683&gt;1000000,E683&lt;0,E683&gt;1000000,E683&gt;D683,ABS(F683)&gt;1000000000,ABS(G683)&gt;1000000000,ROUND(F683,2)&lt;&gt;F683,AND(G683&lt;&gt;"",ROUND(G683,2)&lt;&gt;G683)),"REVISAR VALOR","OK"))))),"REVISAR VALOR")</f>
        <v/>
      </c>
    </row>
    <row r="684" spans="1:9" x14ac:dyDescent="0.45">
      <c r="A684" s="4"/>
      <c r="B684" s="8"/>
      <c r="C684" s="5"/>
      <c r="D684" s="5"/>
      <c r="E684" s="5"/>
      <c r="F684" s="7"/>
      <c r="G684" s="7"/>
      <c r="H684" s="8"/>
      <c r="I684" s="12" t="str">
        <f>IFERROR(IF(COUNTA(A684:H684)=0,"",IF(OR(A684="",B684="",C684="",D684="",E684="",F684=""),"FALTA CAMPO",IF(COUNTIFS($A$6:$A$1005,A684,$B$6:$B$1005,B684)&gt;1,"DUPLICADO FECHA-SKU",IF(COUNTIF(CATALOGO!$A$6:$A$105,B684)&lt;&gt;1,"SKU NO VALIDO",IF(OR(A684&lt;DATE(1900,1,1),A684&gt;DATE(2100,12,31),A684&gt;CONFIG!$B$5,C684&lt;0,C684&gt;1000000,D684&lt;0,D684&gt;1000000,E684&lt;0,E684&gt;1000000,E684&gt;D684,ABS(F684)&gt;1000000000,ABS(G684)&gt;1000000000,ROUND(F684,2)&lt;&gt;F684,AND(G684&lt;&gt;"",ROUND(G684,2)&lt;&gt;G684)),"REVISAR VALOR","OK"))))),"REVISAR VALOR")</f>
        <v/>
      </c>
    </row>
    <row r="685" spans="1:9" x14ac:dyDescent="0.45">
      <c r="A685" s="4"/>
      <c r="B685" s="8"/>
      <c r="C685" s="5"/>
      <c r="D685" s="5"/>
      <c r="E685" s="5"/>
      <c r="F685" s="7"/>
      <c r="G685" s="7"/>
      <c r="H685" s="8"/>
      <c r="I685" s="12" t="str">
        <f>IFERROR(IF(COUNTA(A685:H685)=0,"",IF(OR(A685="",B685="",C685="",D685="",E685="",F685=""),"FALTA CAMPO",IF(COUNTIFS($A$6:$A$1005,A685,$B$6:$B$1005,B685)&gt;1,"DUPLICADO FECHA-SKU",IF(COUNTIF(CATALOGO!$A$6:$A$105,B685)&lt;&gt;1,"SKU NO VALIDO",IF(OR(A685&lt;DATE(1900,1,1),A685&gt;DATE(2100,12,31),A685&gt;CONFIG!$B$5,C685&lt;0,C685&gt;1000000,D685&lt;0,D685&gt;1000000,E685&lt;0,E685&gt;1000000,E685&gt;D685,ABS(F685)&gt;1000000000,ABS(G685)&gt;1000000000,ROUND(F685,2)&lt;&gt;F685,AND(G685&lt;&gt;"",ROUND(G685,2)&lt;&gt;G685)),"REVISAR VALOR","OK"))))),"REVISAR VALOR")</f>
        <v/>
      </c>
    </row>
    <row r="686" spans="1:9" x14ac:dyDescent="0.45">
      <c r="A686" s="4"/>
      <c r="B686" s="8"/>
      <c r="C686" s="5"/>
      <c r="D686" s="5"/>
      <c r="E686" s="5"/>
      <c r="F686" s="7"/>
      <c r="G686" s="7"/>
      <c r="H686" s="8"/>
      <c r="I686" s="12" t="str">
        <f>IFERROR(IF(COUNTA(A686:H686)=0,"",IF(OR(A686="",B686="",C686="",D686="",E686="",F686=""),"FALTA CAMPO",IF(COUNTIFS($A$6:$A$1005,A686,$B$6:$B$1005,B686)&gt;1,"DUPLICADO FECHA-SKU",IF(COUNTIF(CATALOGO!$A$6:$A$105,B686)&lt;&gt;1,"SKU NO VALIDO",IF(OR(A686&lt;DATE(1900,1,1),A686&gt;DATE(2100,12,31),A686&gt;CONFIG!$B$5,C686&lt;0,C686&gt;1000000,D686&lt;0,D686&gt;1000000,E686&lt;0,E686&gt;1000000,E686&gt;D686,ABS(F686)&gt;1000000000,ABS(G686)&gt;1000000000,ROUND(F686,2)&lt;&gt;F686,AND(G686&lt;&gt;"",ROUND(G686,2)&lt;&gt;G686)),"REVISAR VALOR","OK"))))),"REVISAR VALOR")</f>
        <v/>
      </c>
    </row>
    <row r="687" spans="1:9" x14ac:dyDescent="0.45">
      <c r="A687" s="4"/>
      <c r="B687" s="8"/>
      <c r="C687" s="5"/>
      <c r="D687" s="5"/>
      <c r="E687" s="5"/>
      <c r="F687" s="7"/>
      <c r="G687" s="7"/>
      <c r="H687" s="8"/>
      <c r="I687" s="12" t="str">
        <f>IFERROR(IF(COUNTA(A687:H687)=0,"",IF(OR(A687="",B687="",C687="",D687="",E687="",F687=""),"FALTA CAMPO",IF(COUNTIFS($A$6:$A$1005,A687,$B$6:$B$1005,B687)&gt;1,"DUPLICADO FECHA-SKU",IF(COUNTIF(CATALOGO!$A$6:$A$105,B687)&lt;&gt;1,"SKU NO VALIDO",IF(OR(A687&lt;DATE(1900,1,1),A687&gt;DATE(2100,12,31),A687&gt;CONFIG!$B$5,C687&lt;0,C687&gt;1000000,D687&lt;0,D687&gt;1000000,E687&lt;0,E687&gt;1000000,E687&gt;D687,ABS(F687)&gt;1000000000,ABS(G687)&gt;1000000000,ROUND(F687,2)&lt;&gt;F687,AND(G687&lt;&gt;"",ROUND(G687,2)&lt;&gt;G687)),"REVISAR VALOR","OK"))))),"REVISAR VALOR")</f>
        <v/>
      </c>
    </row>
    <row r="688" spans="1:9" x14ac:dyDescent="0.45">
      <c r="A688" s="4"/>
      <c r="B688" s="8"/>
      <c r="C688" s="5"/>
      <c r="D688" s="5"/>
      <c r="E688" s="5"/>
      <c r="F688" s="7"/>
      <c r="G688" s="7"/>
      <c r="H688" s="8"/>
      <c r="I688" s="12" t="str">
        <f>IFERROR(IF(COUNTA(A688:H688)=0,"",IF(OR(A688="",B688="",C688="",D688="",E688="",F688=""),"FALTA CAMPO",IF(COUNTIFS($A$6:$A$1005,A688,$B$6:$B$1005,B688)&gt;1,"DUPLICADO FECHA-SKU",IF(COUNTIF(CATALOGO!$A$6:$A$105,B688)&lt;&gt;1,"SKU NO VALIDO",IF(OR(A688&lt;DATE(1900,1,1),A688&gt;DATE(2100,12,31),A688&gt;CONFIG!$B$5,C688&lt;0,C688&gt;1000000,D688&lt;0,D688&gt;1000000,E688&lt;0,E688&gt;1000000,E688&gt;D688,ABS(F688)&gt;1000000000,ABS(G688)&gt;1000000000,ROUND(F688,2)&lt;&gt;F688,AND(G688&lt;&gt;"",ROUND(G688,2)&lt;&gt;G688)),"REVISAR VALOR","OK"))))),"REVISAR VALOR")</f>
        <v/>
      </c>
    </row>
    <row r="689" spans="1:9" x14ac:dyDescent="0.45">
      <c r="A689" s="4"/>
      <c r="B689" s="8"/>
      <c r="C689" s="5"/>
      <c r="D689" s="5"/>
      <c r="E689" s="5"/>
      <c r="F689" s="7"/>
      <c r="G689" s="7"/>
      <c r="H689" s="8"/>
      <c r="I689" s="12" t="str">
        <f>IFERROR(IF(COUNTA(A689:H689)=0,"",IF(OR(A689="",B689="",C689="",D689="",E689="",F689=""),"FALTA CAMPO",IF(COUNTIFS($A$6:$A$1005,A689,$B$6:$B$1005,B689)&gt;1,"DUPLICADO FECHA-SKU",IF(COUNTIF(CATALOGO!$A$6:$A$105,B689)&lt;&gt;1,"SKU NO VALIDO",IF(OR(A689&lt;DATE(1900,1,1),A689&gt;DATE(2100,12,31),A689&gt;CONFIG!$B$5,C689&lt;0,C689&gt;1000000,D689&lt;0,D689&gt;1000000,E689&lt;0,E689&gt;1000000,E689&gt;D689,ABS(F689)&gt;1000000000,ABS(G689)&gt;1000000000,ROUND(F689,2)&lt;&gt;F689,AND(G689&lt;&gt;"",ROUND(G689,2)&lt;&gt;G689)),"REVISAR VALOR","OK"))))),"REVISAR VALOR")</f>
        <v/>
      </c>
    </row>
    <row r="690" spans="1:9" x14ac:dyDescent="0.45">
      <c r="A690" s="4"/>
      <c r="B690" s="8"/>
      <c r="C690" s="5"/>
      <c r="D690" s="5"/>
      <c r="E690" s="5"/>
      <c r="F690" s="7"/>
      <c r="G690" s="7"/>
      <c r="H690" s="8"/>
      <c r="I690" s="12" t="str">
        <f>IFERROR(IF(COUNTA(A690:H690)=0,"",IF(OR(A690="",B690="",C690="",D690="",E690="",F690=""),"FALTA CAMPO",IF(COUNTIFS($A$6:$A$1005,A690,$B$6:$B$1005,B690)&gt;1,"DUPLICADO FECHA-SKU",IF(COUNTIF(CATALOGO!$A$6:$A$105,B690)&lt;&gt;1,"SKU NO VALIDO",IF(OR(A690&lt;DATE(1900,1,1),A690&gt;DATE(2100,12,31),A690&gt;CONFIG!$B$5,C690&lt;0,C690&gt;1000000,D690&lt;0,D690&gt;1000000,E690&lt;0,E690&gt;1000000,E690&gt;D690,ABS(F690)&gt;1000000000,ABS(G690)&gt;1000000000,ROUND(F690,2)&lt;&gt;F690,AND(G690&lt;&gt;"",ROUND(G690,2)&lt;&gt;G690)),"REVISAR VALOR","OK"))))),"REVISAR VALOR")</f>
        <v/>
      </c>
    </row>
    <row r="691" spans="1:9" x14ac:dyDescent="0.45">
      <c r="A691" s="4"/>
      <c r="B691" s="8"/>
      <c r="C691" s="5"/>
      <c r="D691" s="5"/>
      <c r="E691" s="5"/>
      <c r="F691" s="7"/>
      <c r="G691" s="7"/>
      <c r="H691" s="8"/>
      <c r="I691" s="12" t="str">
        <f>IFERROR(IF(COUNTA(A691:H691)=0,"",IF(OR(A691="",B691="",C691="",D691="",E691="",F691=""),"FALTA CAMPO",IF(COUNTIFS($A$6:$A$1005,A691,$B$6:$B$1005,B691)&gt;1,"DUPLICADO FECHA-SKU",IF(COUNTIF(CATALOGO!$A$6:$A$105,B691)&lt;&gt;1,"SKU NO VALIDO",IF(OR(A691&lt;DATE(1900,1,1),A691&gt;DATE(2100,12,31),A691&gt;CONFIG!$B$5,C691&lt;0,C691&gt;1000000,D691&lt;0,D691&gt;1000000,E691&lt;0,E691&gt;1000000,E691&gt;D691,ABS(F691)&gt;1000000000,ABS(G691)&gt;1000000000,ROUND(F691,2)&lt;&gt;F691,AND(G691&lt;&gt;"",ROUND(G691,2)&lt;&gt;G691)),"REVISAR VALOR","OK"))))),"REVISAR VALOR")</f>
        <v/>
      </c>
    </row>
    <row r="692" spans="1:9" x14ac:dyDescent="0.45">
      <c r="A692" s="4"/>
      <c r="B692" s="8"/>
      <c r="C692" s="5"/>
      <c r="D692" s="5"/>
      <c r="E692" s="5"/>
      <c r="F692" s="7"/>
      <c r="G692" s="7"/>
      <c r="H692" s="8"/>
      <c r="I692" s="12" t="str">
        <f>IFERROR(IF(COUNTA(A692:H692)=0,"",IF(OR(A692="",B692="",C692="",D692="",E692="",F692=""),"FALTA CAMPO",IF(COUNTIFS($A$6:$A$1005,A692,$B$6:$B$1005,B692)&gt;1,"DUPLICADO FECHA-SKU",IF(COUNTIF(CATALOGO!$A$6:$A$105,B692)&lt;&gt;1,"SKU NO VALIDO",IF(OR(A692&lt;DATE(1900,1,1),A692&gt;DATE(2100,12,31),A692&gt;CONFIG!$B$5,C692&lt;0,C692&gt;1000000,D692&lt;0,D692&gt;1000000,E692&lt;0,E692&gt;1000000,E692&gt;D692,ABS(F692)&gt;1000000000,ABS(G692)&gt;1000000000,ROUND(F692,2)&lt;&gt;F692,AND(G692&lt;&gt;"",ROUND(G692,2)&lt;&gt;G692)),"REVISAR VALOR","OK"))))),"REVISAR VALOR")</f>
        <v/>
      </c>
    </row>
    <row r="693" spans="1:9" x14ac:dyDescent="0.45">
      <c r="A693" s="4"/>
      <c r="B693" s="8"/>
      <c r="C693" s="5"/>
      <c r="D693" s="5"/>
      <c r="E693" s="5"/>
      <c r="F693" s="7"/>
      <c r="G693" s="7"/>
      <c r="H693" s="8"/>
      <c r="I693" s="12" t="str">
        <f>IFERROR(IF(COUNTA(A693:H693)=0,"",IF(OR(A693="",B693="",C693="",D693="",E693="",F693=""),"FALTA CAMPO",IF(COUNTIFS($A$6:$A$1005,A693,$B$6:$B$1005,B693)&gt;1,"DUPLICADO FECHA-SKU",IF(COUNTIF(CATALOGO!$A$6:$A$105,B693)&lt;&gt;1,"SKU NO VALIDO",IF(OR(A693&lt;DATE(1900,1,1),A693&gt;DATE(2100,12,31),A693&gt;CONFIG!$B$5,C693&lt;0,C693&gt;1000000,D693&lt;0,D693&gt;1000000,E693&lt;0,E693&gt;1000000,E693&gt;D693,ABS(F693)&gt;1000000000,ABS(G693)&gt;1000000000,ROUND(F693,2)&lt;&gt;F693,AND(G693&lt;&gt;"",ROUND(G693,2)&lt;&gt;G693)),"REVISAR VALOR","OK"))))),"REVISAR VALOR")</f>
        <v/>
      </c>
    </row>
    <row r="694" spans="1:9" x14ac:dyDescent="0.45">
      <c r="A694" s="4"/>
      <c r="B694" s="8"/>
      <c r="C694" s="5"/>
      <c r="D694" s="5"/>
      <c r="E694" s="5"/>
      <c r="F694" s="7"/>
      <c r="G694" s="7"/>
      <c r="H694" s="8"/>
      <c r="I694" s="12" t="str">
        <f>IFERROR(IF(COUNTA(A694:H694)=0,"",IF(OR(A694="",B694="",C694="",D694="",E694="",F694=""),"FALTA CAMPO",IF(COUNTIFS($A$6:$A$1005,A694,$B$6:$B$1005,B694)&gt;1,"DUPLICADO FECHA-SKU",IF(COUNTIF(CATALOGO!$A$6:$A$105,B694)&lt;&gt;1,"SKU NO VALIDO",IF(OR(A694&lt;DATE(1900,1,1),A694&gt;DATE(2100,12,31),A694&gt;CONFIG!$B$5,C694&lt;0,C694&gt;1000000,D694&lt;0,D694&gt;1000000,E694&lt;0,E694&gt;1000000,E694&gt;D694,ABS(F694)&gt;1000000000,ABS(G694)&gt;1000000000,ROUND(F694,2)&lt;&gt;F694,AND(G694&lt;&gt;"",ROUND(G694,2)&lt;&gt;G694)),"REVISAR VALOR","OK"))))),"REVISAR VALOR")</f>
        <v/>
      </c>
    </row>
    <row r="695" spans="1:9" x14ac:dyDescent="0.45">
      <c r="A695" s="4"/>
      <c r="B695" s="8"/>
      <c r="C695" s="5"/>
      <c r="D695" s="5"/>
      <c r="E695" s="5"/>
      <c r="F695" s="7"/>
      <c r="G695" s="7"/>
      <c r="H695" s="8"/>
      <c r="I695" s="12" t="str">
        <f>IFERROR(IF(COUNTA(A695:H695)=0,"",IF(OR(A695="",B695="",C695="",D695="",E695="",F695=""),"FALTA CAMPO",IF(COUNTIFS($A$6:$A$1005,A695,$B$6:$B$1005,B695)&gt;1,"DUPLICADO FECHA-SKU",IF(COUNTIF(CATALOGO!$A$6:$A$105,B695)&lt;&gt;1,"SKU NO VALIDO",IF(OR(A695&lt;DATE(1900,1,1),A695&gt;DATE(2100,12,31),A695&gt;CONFIG!$B$5,C695&lt;0,C695&gt;1000000,D695&lt;0,D695&gt;1000000,E695&lt;0,E695&gt;1000000,E695&gt;D695,ABS(F695)&gt;1000000000,ABS(G695)&gt;1000000000,ROUND(F695,2)&lt;&gt;F695,AND(G695&lt;&gt;"",ROUND(G695,2)&lt;&gt;G695)),"REVISAR VALOR","OK"))))),"REVISAR VALOR")</f>
        <v/>
      </c>
    </row>
    <row r="696" spans="1:9" x14ac:dyDescent="0.45">
      <c r="A696" s="4"/>
      <c r="B696" s="8"/>
      <c r="C696" s="5"/>
      <c r="D696" s="5"/>
      <c r="E696" s="5"/>
      <c r="F696" s="7"/>
      <c r="G696" s="7"/>
      <c r="H696" s="8"/>
      <c r="I696" s="12" t="str">
        <f>IFERROR(IF(COUNTA(A696:H696)=0,"",IF(OR(A696="",B696="",C696="",D696="",E696="",F696=""),"FALTA CAMPO",IF(COUNTIFS($A$6:$A$1005,A696,$B$6:$B$1005,B696)&gt;1,"DUPLICADO FECHA-SKU",IF(COUNTIF(CATALOGO!$A$6:$A$105,B696)&lt;&gt;1,"SKU NO VALIDO",IF(OR(A696&lt;DATE(1900,1,1),A696&gt;DATE(2100,12,31),A696&gt;CONFIG!$B$5,C696&lt;0,C696&gt;1000000,D696&lt;0,D696&gt;1000000,E696&lt;0,E696&gt;1000000,E696&gt;D696,ABS(F696)&gt;1000000000,ABS(G696)&gt;1000000000,ROUND(F696,2)&lt;&gt;F696,AND(G696&lt;&gt;"",ROUND(G696,2)&lt;&gt;G696)),"REVISAR VALOR","OK"))))),"REVISAR VALOR")</f>
        <v/>
      </c>
    </row>
    <row r="697" spans="1:9" x14ac:dyDescent="0.45">
      <c r="A697" s="4"/>
      <c r="B697" s="8"/>
      <c r="C697" s="5"/>
      <c r="D697" s="5"/>
      <c r="E697" s="5"/>
      <c r="F697" s="7"/>
      <c r="G697" s="7"/>
      <c r="H697" s="8"/>
      <c r="I697" s="12" t="str">
        <f>IFERROR(IF(COUNTA(A697:H697)=0,"",IF(OR(A697="",B697="",C697="",D697="",E697="",F697=""),"FALTA CAMPO",IF(COUNTIFS($A$6:$A$1005,A697,$B$6:$B$1005,B697)&gt;1,"DUPLICADO FECHA-SKU",IF(COUNTIF(CATALOGO!$A$6:$A$105,B697)&lt;&gt;1,"SKU NO VALIDO",IF(OR(A697&lt;DATE(1900,1,1),A697&gt;DATE(2100,12,31),A697&gt;CONFIG!$B$5,C697&lt;0,C697&gt;1000000,D697&lt;0,D697&gt;1000000,E697&lt;0,E697&gt;1000000,E697&gt;D697,ABS(F697)&gt;1000000000,ABS(G697)&gt;1000000000,ROUND(F697,2)&lt;&gt;F697,AND(G697&lt;&gt;"",ROUND(G697,2)&lt;&gt;G697)),"REVISAR VALOR","OK"))))),"REVISAR VALOR")</f>
        <v/>
      </c>
    </row>
    <row r="698" spans="1:9" x14ac:dyDescent="0.45">
      <c r="A698" s="4"/>
      <c r="B698" s="8"/>
      <c r="C698" s="5"/>
      <c r="D698" s="5"/>
      <c r="E698" s="5"/>
      <c r="F698" s="7"/>
      <c r="G698" s="7"/>
      <c r="H698" s="8"/>
      <c r="I698" s="12" t="str">
        <f>IFERROR(IF(COUNTA(A698:H698)=0,"",IF(OR(A698="",B698="",C698="",D698="",E698="",F698=""),"FALTA CAMPO",IF(COUNTIFS($A$6:$A$1005,A698,$B$6:$B$1005,B698)&gt;1,"DUPLICADO FECHA-SKU",IF(COUNTIF(CATALOGO!$A$6:$A$105,B698)&lt;&gt;1,"SKU NO VALIDO",IF(OR(A698&lt;DATE(1900,1,1),A698&gt;DATE(2100,12,31),A698&gt;CONFIG!$B$5,C698&lt;0,C698&gt;1000000,D698&lt;0,D698&gt;1000000,E698&lt;0,E698&gt;1000000,E698&gt;D698,ABS(F698)&gt;1000000000,ABS(G698)&gt;1000000000,ROUND(F698,2)&lt;&gt;F698,AND(G698&lt;&gt;"",ROUND(G698,2)&lt;&gt;G698)),"REVISAR VALOR","OK"))))),"REVISAR VALOR")</f>
        <v/>
      </c>
    </row>
    <row r="699" spans="1:9" x14ac:dyDescent="0.45">
      <c r="A699" s="4"/>
      <c r="B699" s="8"/>
      <c r="C699" s="5"/>
      <c r="D699" s="5"/>
      <c r="E699" s="5"/>
      <c r="F699" s="7"/>
      <c r="G699" s="7"/>
      <c r="H699" s="8"/>
      <c r="I699" s="12" t="str">
        <f>IFERROR(IF(COUNTA(A699:H699)=0,"",IF(OR(A699="",B699="",C699="",D699="",E699="",F699=""),"FALTA CAMPO",IF(COUNTIFS($A$6:$A$1005,A699,$B$6:$B$1005,B699)&gt;1,"DUPLICADO FECHA-SKU",IF(COUNTIF(CATALOGO!$A$6:$A$105,B699)&lt;&gt;1,"SKU NO VALIDO",IF(OR(A699&lt;DATE(1900,1,1),A699&gt;DATE(2100,12,31),A699&gt;CONFIG!$B$5,C699&lt;0,C699&gt;1000000,D699&lt;0,D699&gt;1000000,E699&lt;0,E699&gt;1000000,E699&gt;D699,ABS(F699)&gt;1000000000,ABS(G699)&gt;1000000000,ROUND(F699,2)&lt;&gt;F699,AND(G699&lt;&gt;"",ROUND(G699,2)&lt;&gt;G699)),"REVISAR VALOR","OK"))))),"REVISAR VALOR")</f>
        <v/>
      </c>
    </row>
    <row r="700" spans="1:9" x14ac:dyDescent="0.45">
      <c r="A700" s="4"/>
      <c r="B700" s="8"/>
      <c r="C700" s="5"/>
      <c r="D700" s="5"/>
      <c r="E700" s="5"/>
      <c r="F700" s="7"/>
      <c r="G700" s="7"/>
      <c r="H700" s="8"/>
      <c r="I700" s="12" t="str">
        <f>IFERROR(IF(COUNTA(A700:H700)=0,"",IF(OR(A700="",B700="",C700="",D700="",E700="",F700=""),"FALTA CAMPO",IF(COUNTIFS($A$6:$A$1005,A700,$B$6:$B$1005,B700)&gt;1,"DUPLICADO FECHA-SKU",IF(COUNTIF(CATALOGO!$A$6:$A$105,B700)&lt;&gt;1,"SKU NO VALIDO",IF(OR(A700&lt;DATE(1900,1,1),A700&gt;DATE(2100,12,31),A700&gt;CONFIG!$B$5,C700&lt;0,C700&gt;1000000,D700&lt;0,D700&gt;1000000,E700&lt;0,E700&gt;1000000,E700&gt;D700,ABS(F700)&gt;1000000000,ABS(G700)&gt;1000000000,ROUND(F700,2)&lt;&gt;F700,AND(G700&lt;&gt;"",ROUND(G700,2)&lt;&gt;G700)),"REVISAR VALOR","OK"))))),"REVISAR VALOR")</f>
        <v/>
      </c>
    </row>
    <row r="701" spans="1:9" x14ac:dyDescent="0.45">
      <c r="A701" s="4"/>
      <c r="B701" s="8"/>
      <c r="C701" s="5"/>
      <c r="D701" s="5"/>
      <c r="E701" s="5"/>
      <c r="F701" s="7"/>
      <c r="G701" s="7"/>
      <c r="H701" s="8"/>
      <c r="I701" s="12" t="str">
        <f>IFERROR(IF(COUNTA(A701:H701)=0,"",IF(OR(A701="",B701="",C701="",D701="",E701="",F701=""),"FALTA CAMPO",IF(COUNTIFS($A$6:$A$1005,A701,$B$6:$B$1005,B701)&gt;1,"DUPLICADO FECHA-SKU",IF(COUNTIF(CATALOGO!$A$6:$A$105,B701)&lt;&gt;1,"SKU NO VALIDO",IF(OR(A701&lt;DATE(1900,1,1),A701&gt;DATE(2100,12,31),A701&gt;CONFIG!$B$5,C701&lt;0,C701&gt;1000000,D701&lt;0,D701&gt;1000000,E701&lt;0,E701&gt;1000000,E701&gt;D701,ABS(F701)&gt;1000000000,ABS(G701)&gt;1000000000,ROUND(F701,2)&lt;&gt;F701,AND(G701&lt;&gt;"",ROUND(G701,2)&lt;&gt;G701)),"REVISAR VALOR","OK"))))),"REVISAR VALOR")</f>
        <v/>
      </c>
    </row>
    <row r="702" spans="1:9" x14ac:dyDescent="0.45">
      <c r="A702" s="4"/>
      <c r="B702" s="8"/>
      <c r="C702" s="5"/>
      <c r="D702" s="5"/>
      <c r="E702" s="5"/>
      <c r="F702" s="7"/>
      <c r="G702" s="7"/>
      <c r="H702" s="8"/>
      <c r="I702" s="12" t="str">
        <f>IFERROR(IF(COUNTA(A702:H702)=0,"",IF(OR(A702="",B702="",C702="",D702="",E702="",F702=""),"FALTA CAMPO",IF(COUNTIFS($A$6:$A$1005,A702,$B$6:$B$1005,B702)&gt;1,"DUPLICADO FECHA-SKU",IF(COUNTIF(CATALOGO!$A$6:$A$105,B702)&lt;&gt;1,"SKU NO VALIDO",IF(OR(A702&lt;DATE(1900,1,1),A702&gt;DATE(2100,12,31),A702&gt;CONFIG!$B$5,C702&lt;0,C702&gt;1000000,D702&lt;0,D702&gt;1000000,E702&lt;0,E702&gt;1000000,E702&gt;D702,ABS(F702)&gt;1000000000,ABS(G702)&gt;1000000000,ROUND(F702,2)&lt;&gt;F702,AND(G702&lt;&gt;"",ROUND(G702,2)&lt;&gt;G702)),"REVISAR VALOR","OK"))))),"REVISAR VALOR")</f>
        <v/>
      </c>
    </row>
    <row r="703" spans="1:9" x14ac:dyDescent="0.45">
      <c r="A703" s="4"/>
      <c r="B703" s="8"/>
      <c r="C703" s="5"/>
      <c r="D703" s="5"/>
      <c r="E703" s="5"/>
      <c r="F703" s="7"/>
      <c r="G703" s="7"/>
      <c r="H703" s="8"/>
      <c r="I703" s="12" t="str">
        <f>IFERROR(IF(COUNTA(A703:H703)=0,"",IF(OR(A703="",B703="",C703="",D703="",E703="",F703=""),"FALTA CAMPO",IF(COUNTIFS($A$6:$A$1005,A703,$B$6:$B$1005,B703)&gt;1,"DUPLICADO FECHA-SKU",IF(COUNTIF(CATALOGO!$A$6:$A$105,B703)&lt;&gt;1,"SKU NO VALIDO",IF(OR(A703&lt;DATE(1900,1,1),A703&gt;DATE(2100,12,31),A703&gt;CONFIG!$B$5,C703&lt;0,C703&gt;1000000,D703&lt;0,D703&gt;1000000,E703&lt;0,E703&gt;1000000,E703&gt;D703,ABS(F703)&gt;1000000000,ABS(G703)&gt;1000000000,ROUND(F703,2)&lt;&gt;F703,AND(G703&lt;&gt;"",ROUND(G703,2)&lt;&gt;G703)),"REVISAR VALOR","OK"))))),"REVISAR VALOR")</f>
        <v/>
      </c>
    </row>
    <row r="704" spans="1:9" x14ac:dyDescent="0.45">
      <c r="A704" s="4"/>
      <c r="B704" s="8"/>
      <c r="C704" s="5"/>
      <c r="D704" s="5"/>
      <c r="E704" s="5"/>
      <c r="F704" s="7"/>
      <c r="G704" s="7"/>
      <c r="H704" s="8"/>
      <c r="I704" s="12" t="str">
        <f>IFERROR(IF(COUNTA(A704:H704)=0,"",IF(OR(A704="",B704="",C704="",D704="",E704="",F704=""),"FALTA CAMPO",IF(COUNTIFS($A$6:$A$1005,A704,$B$6:$B$1005,B704)&gt;1,"DUPLICADO FECHA-SKU",IF(COUNTIF(CATALOGO!$A$6:$A$105,B704)&lt;&gt;1,"SKU NO VALIDO",IF(OR(A704&lt;DATE(1900,1,1),A704&gt;DATE(2100,12,31),A704&gt;CONFIG!$B$5,C704&lt;0,C704&gt;1000000,D704&lt;0,D704&gt;1000000,E704&lt;0,E704&gt;1000000,E704&gt;D704,ABS(F704)&gt;1000000000,ABS(G704)&gt;1000000000,ROUND(F704,2)&lt;&gt;F704,AND(G704&lt;&gt;"",ROUND(G704,2)&lt;&gt;G704)),"REVISAR VALOR","OK"))))),"REVISAR VALOR")</f>
        <v/>
      </c>
    </row>
    <row r="705" spans="1:9" x14ac:dyDescent="0.45">
      <c r="A705" s="4"/>
      <c r="B705" s="8"/>
      <c r="C705" s="5"/>
      <c r="D705" s="5"/>
      <c r="E705" s="5"/>
      <c r="F705" s="7"/>
      <c r="G705" s="7"/>
      <c r="H705" s="8"/>
      <c r="I705" s="12" t="str">
        <f>IFERROR(IF(COUNTA(A705:H705)=0,"",IF(OR(A705="",B705="",C705="",D705="",E705="",F705=""),"FALTA CAMPO",IF(COUNTIFS($A$6:$A$1005,A705,$B$6:$B$1005,B705)&gt;1,"DUPLICADO FECHA-SKU",IF(COUNTIF(CATALOGO!$A$6:$A$105,B705)&lt;&gt;1,"SKU NO VALIDO",IF(OR(A705&lt;DATE(1900,1,1),A705&gt;DATE(2100,12,31),A705&gt;CONFIG!$B$5,C705&lt;0,C705&gt;1000000,D705&lt;0,D705&gt;1000000,E705&lt;0,E705&gt;1000000,E705&gt;D705,ABS(F705)&gt;1000000000,ABS(G705)&gt;1000000000,ROUND(F705,2)&lt;&gt;F705,AND(G705&lt;&gt;"",ROUND(G705,2)&lt;&gt;G705)),"REVISAR VALOR","OK"))))),"REVISAR VALOR")</f>
        <v/>
      </c>
    </row>
    <row r="706" spans="1:9" x14ac:dyDescent="0.45">
      <c r="A706" s="4"/>
      <c r="B706" s="8"/>
      <c r="C706" s="5"/>
      <c r="D706" s="5"/>
      <c r="E706" s="5"/>
      <c r="F706" s="7"/>
      <c r="G706" s="7"/>
      <c r="H706" s="8"/>
      <c r="I706" s="12" t="str">
        <f>IFERROR(IF(COUNTA(A706:H706)=0,"",IF(OR(A706="",B706="",C706="",D706="",E706="",F706=""),"FALTA CAMPO",IF(COUNTIFS($A$6:$A$1005,A706,$B$6:$B$1005,B706)&gt;1,"DUPLICADO FECHA-SKU",IF(COUNTIF(CATALOGO!$A$6:$A$105,B706)&lt;&gt;1,"SKU NO VALIDO",IF(OR(A706&lt;DATE(1900,1,1),A706&gt;DATE(2100,12,31),A706&gt;CONFIG!$B$5,C706&lt;0,C706&gt;1000000,D706&lt;0,D706&gt;1000000,E706&lt;0,E706&gt;1000000,E706&gt;D706,ABS(F706)&gt;1000000000,ABS(G706)&gt;1000000000,ROUND(F706,2)&lt;&gt;F706,AND(G706&lt;&gt;"",ROUND(G706,2)&lt;&gt;G706)),"REVISAR VALOR","OK"))))),"REVISAR VALOR")</f>
        <v/>
      </c>
    </row>
    <row r="707" spans="1:9" x14ac:dyDescent="0.45">
      <c r="A707" s="4"/>
      <c r="B707" s="8"/>
      <c r="C707" s="5"/>
      <c r="D707" s="5"/>
      <c r="E707" s="5"/>
      <c r="F707" s="7"/>
      <c r="G707" s="7"/>
      <c r="H707" s="8"/>
      <c r="I707" s="12" t="str">
        <f>IFERROR(IF(COUNTA(A707:H707)=0,"",IF(OR(A707="",B707="",C707="",D707="",E707="",F707=""),"FALTA CAMPO",IF(COUNTIFS($A$6:$A$1005,A707,$B$6:$B$1005,B707)&gt;1,"DUPLICADO FECHA-SKU",IF(COUNTIF(CATALOGO!$A$6:$A$105,B707)&lt;&gt;1,"SKU NO VALIDO",IF(OR(A707&lt;DATE(1900,1,1),A707&gt;DATE(2100,12,31),A707&gt;CONFIG!$B$5,C707&lt;0,C707&gt;1000000,D707&lt;0,D707&gt;1000000,E707&lt;0,E707&gt;1000000,E707&gt;D707,ABS(F707)&gt;1000000000,ABS(G707)&gt;1000000000,ROUND(F707,2)&lt;&gt;F707,AND(G707&lt;&gt;"",ROUND(G707,2)&lt;&gt;G707)),"REVISAR VALOR","OK"))))),"REVISAR VALOR")</f>
        <v/>
      </c>
    </row>
    <row r="708" spans="1:9" x14ac:dyDescent="0.45">
      <c r="A708" s="4"/>
      <c r="B708" s="8"/>
      <c r="C708" s="5"/>
      <c r="D708" s="5"/>
      <c r="E708" s="5"/>
      <c r="F708" s="7"/>
      <c r="G708" s="7"/>
      <c r="H708" s="8"/>
      <c r="I708" s="12" t="str">
        <f>IFERROR(IF(COUNTA(A708:H708)=0,"",IF(OR(A708="",B708="",C708="",D708="",E708="",F708=""),"FALTA CAMPO",IF(COUNTIFS($A$6:$A$1005,A708,$B$6:$B$1005,B708)&gt;1,"DUPLICADO FECHA-SKU",IF(COUNTIF(CATALOGO!$A$6:$A$105,B708)&lt;&gt;1,"SKU NO VALIDO",IF(OR(A708&lt;DATE(1900,1,1),A708&gt;DATE(2100,12,31),A708&gt;CONFIG!$B$5,C708&lt;0,C708&gt;1000000,D708&lt;0,D708&gt;1000000,E708&lt;0,E708&gt;1000000,E708&gt;D708,ABS(F708)&gt;1000000000,ABS(G708)&gt;1000000000,ROUND(F708,2)&lt;&gt;F708,AND(G708&lt;&gt;"",ROUND(G708,2)&lt;&gt;G708)),"REVISAR VALOR","OK"))))),"REVISAR VALOR")</f>
        <v/>
      </c>
    </row>
    <row r="709" spans="1:9" x14ac:dyDescent="0.45">
      <c r="A709" s="4"/>
      <c r="B709" s="8"/>
      <c r="C709" s="5"/>
      <c r="D709" s="5"/>
      <c r="E709" s="5"/>
      <c r="F709" s="7"/>
      <c r="G709" s="7"/>
      <c r="H709" s="8"/>
      <c r="I709" s="12" t="str">
        <f>IFERROR(IF(COUNTA(A709:H709)=0,"",IF(OR(A709="",B709="",C709="",D709="",E709="",F709=""),"FALTA CAMPO",IF(COUNTIFS($A$6:$A$1005,A709,$B$6:$B$1005,B709)&gt;1,"DUPLICADO FECHA-SKU",IF(COUNTIF(CATALOGO!$A$6:$A$105,B709)&lt;&gt;1,"SKU NO VALIDO",IF(OR(A709&lt;DATE(1900,1,1),A709&gt;DATE(2100,12,31),A709&gt;CONFIG!$B$5,C709&lt;0,C709&gt;1000000,D709&lt;0,D709&gt;1000000,E709&lt;0,E709&gt;1000000,E709&gt;D709,ABS(F709)&gt;1000000000,ABS(G709)&gt;1000000000,ROUND(F709,2)&lt;&gt;F709,AND(G709&lt;&gt;"",ROUND(G709,2)&lt;&gt;G709)),"REVISAR VALOR","OK"))))),"REVISAR VALOR")</f>
        <v/>
      </c>
    </row>
    <row r="710" spans="1:9" x14ac:dyDescent="0.45">
      <c r="A710" s="4"/>
      <c r="B710" s="8"/>
      <c r="C710" s="5"/>
      <c r="D710" s="5"/>
      <c r="E710" s="5"/>
      <c r="F710" s="7"/>
      <c r="G710" s="7"/>
      <c r="H710" s="8"/>
      <c r="I710" s="12" t="str">
        <f>IFERROR(IF(COUNTA(A710:H710)=0,"",IF(OR(A710="",B710="",C710="",D710="",E710="",F710=""),"FALTA CAMPO",IF(COUNTIFS($A$6:$A$1005,A710,$B$6:$B$1005,B710)&gt;1,"DUPLICADO FECHA-SKU",IF(COUNTIF(CATALOGO!$A$6:$A$105,B710)&lt;&gt;1,"SKU NO VALIDO",IF(OR(A710&lt;DATE(1900,1,1),A710&gt;DATE(2100,12,31),A710&gt;CONFIG!$B$5,C710&lt;0,C710&gt;1000000,D710&lt;0,D710&gt;1000000,E710&lt;0,E710&gt;1000000,E710&gt;D710,ABS(F710)&gt;1000000000,ABS(G710)&gt;1000000000,ROUND(F710,2)&lt;&gt;F710,AND(G710&lt;&gt;"",ROUND(G710,2)&lt;&gt;G710)),"REVISAR VALOR","OK"))))),"REVISAR VALOR")</f>
        <v/>
      </c>
    </row>
    <row r="711" spans="1:9" x14ac:dyDescent="0.45">
      <c r="A711" s="4"/>
      <c r="B711" s="8"/>
      <c r="C711" s="5"/>
      <c r="D711" s="5"/>
      <c r="E711" s="5"/>
      <c r="F711" s="7"/>
      <c r="G711" s="7"/>
      <c r="H711" s="8"/>
      <c r="I711" s="12" t="str">
        <f>IFERROR(IF(COUNTA(A711:H711)=0,"",IF(OR(A711="",B711="",C711="",D711="",E711="",F711=""),"FALTA CAMPO",IF(COUNTIFS($A$6:$A$1005,A711,$B$6:$B$1005,B711)&gt;1,"DUPLICADO FECHA-SKU",IF(COUNTIF(CATALOGO!$A$6:$A$105,B711)&lt;&gt;1,"SKU NO VALIDO",IF(OR(A711&lt;DATE(1900,1,1),A711&gt;DATE(2100,12,31),A711&gt;CONFIG!$B$5,C711&lt;0,C711&gt;1000000,D711&lt;0,D711&gt;1000000,E711&lt;0,E711&gt;1000000,E711&gt;D711,ABS(F711)&gt;1000000000,ABS(G711)&gt;1000000000,ROUND(F711,2)&lt;&gt;F711,AND(G711&lt;&gt;"",ROUND(G711,2)&lt;&gt;G711)),"REVISAR VALOR","OK"))))),"REVISAR VALOR")</f>
        <v/>
      </c>
    </row>
    <row r="712" spans="1:9" x14ac:dyDescent="0.45">
      <c r="A712" s="4"/>
      <c r="B712" s="8"/>
      <c r="C712" s="5"/>
      <c r="D712" s="5"/>
      <c r="E712" s="5"/>
      <c r="F712" s="7"/>
      <c r="G712" s="7"/>
      <c r="H712" s="8"/>
      <c r="I712" s="12" t="str">
        <f>IFERROR(IF(COUNTA(A712:H712)=0,"",IF(OR(A712="",B712="",C712="",D712="",E712="",F712=""),"FALTA CAMPO",IF(COUNTIFS($A$6:$A$1005,A712,$B$6:$B$1005,B712)&gt;1,"DUPLICADO FECHA-SKU",IF(COUNTIF(CATALOGO!$A$6:$A$105,B712)&lt;&gt;1,"SKU NO VALIDO",IF(OR(A712&lt;DATE(1900,1,1),A712&gt;DATE(2100,12,31),A712&gt;CONFIG!$B$5,C712&lt;0,C712&gt;1000000,D712&lt;0,D712&gt;1000000,E712&lt;0,E712&gt;1000000,E712&gt;D712,ABS(F712)&gt;1000000000,ABS(G712)&gt;1000000000,ROUND(F712,2)&lt;&gt;F712,AND(G712&lt;&gt;"",ROUND(G712,2)&lt;&gt;G712)),"REVISAR VALOR","OK"))))),"REVISAR VALOR")</f>
        <v/>
      </c>
    </row>
    <row r="713" spans="1:9" x14ac:dyDescent="0.45">
      <c r="A713" s="4"/>
      <c r="B713" s="8"/>
      <c r="C713" s="5"/>
      <c r="D713" s="5"/>
      <c r="E713" s="5"/>
      <c r="F713" s="7"/>
      <c r="G713" s="7"/>
      <c r="H713" s="8"/>
      <c r="I713" s="12" t="str">
        <f>IFERROR(IF(COUNTA(A713:H713)=0,"",IF(OR(A713="",B713="",C713="",D713="",E713="",F713=""),"FALTA CAMPO",IF(COUNTIFS($A$6:$A$1005,A713,$B$6:$B$1005,B713)&gt;1,"DUPLICADO FECHA-SKU",IF(COUNTIF(CATALOGO!$A$6:$A$105,B713)&lt;&gt;1,"SKU NO VALIDO",IF(OR(A713&lt;DATE(1900,1,1),A713&gt;DATE(2100,12,31),A713&gt;CONFIG!$B$5,C713&lt;0,C713&gt;1000000,D713&lt;0,D713&gt;1000000,E713&lt;0,E713&gt;1000000,E713&gt;D713,ABS(F713)&gt;1000000000,ABS(G713)&gt;1000000000,ROUND(F713,2)&lt;&gt;F713,AND(G713&lt;&gt;"",ROUND(G713,2)&lt;&gt;G713)),"REVISAR VALOR","OK"))))),"REVISAR VALOR")</f>
        <v/>
      </c>
    </row>
    <row r="714" spans="1:9" x14ac:dyDescent="0.45">
      <c r="A714" s="4"/>
      <c r="B714" s="8"/>
      <c r="C714" s="5"/>
      <c r="D714" s="5"/>
      <c r="E714" s="5"/>
      <c r="F714" s="7"/>
      <c r="G714" s="7"/>
      <c r="H714" s="8"/>
      <c r="I714" s="12" t="str">
        <f>IFERROR(IF(COUNTA(A714:H714)=0,"",IF(OR(A714="",B714="",C714="",D714="",E714="",F714=""),"FALTA CAMPO",IF(COUNTIFS($A$6:$A$1005,A714,$B$6:$B$1005,B714)&gt;1,"DUPLICADO FECHA-SKU",IF(COUNTIF(CATALOGO!$A$6:$A$105,B714)&lt;&gt;1,"SKU NO VALIDO",IF(OR(A714&lt;DATE(1900,1,1),A714&gt;DATE(2100,12,31),A714&gt;CONFIG!$B$5,C714&lt;0,C714&gt;1000000,D714&lt;0,D714&gt;1000000,E714&lt;0,E714&gt;1000000,E714&gt;D714,ABS(F714)&gt;1000000000,ABS(G714)&gt;1000000000,ROUND(F714,2)&lt;&gt;F714,AND(G714&lt;&gt;"",ROUND(G714,2)&lt;&gt;G714)),"REVISAR VALOR","OK"))))),"REVISAR VALOR")</f>
        <v/>
      </c>
    </row>
    <row r="715" spans="1:9" x14ac:dyDescent="0.45">
      <c r="A715" s="4"/>
      <c r="B715" s="8"/>
      <c r="C715" s="5"/>
      <c r="D715" s="5"/>
      <c r="E715" s="5"/>
      <c r="F715" s="7"/>
      <c r="G715" s="7"/>
      <c r="H715" s="8"/>
      <c r="I715" s="12" t="str">
        <f>IFERROR(IF(COUNTA(A715:H715)=0,"",IF(OR(A715="",B715="",C715="",D715="",E715="",F715=""),"FALTA CAMPO",IF(COUNTIFS($A$6:$A$1005,A715,$B$6:$B$1005,B715)&gt;1,"DUPLICADO FECHA-SKU",IF(COUNTIF(CATALOGO!$A$6:$A$105,B715)&lt;&gt;1,"SKU NO VALIDO",IF(OR(A715&lt;DATE(1900,1,1),A715&gt;DATE(2100,12,31),A715&gt;CONFIG!$B$5,C715&lt;0,C715&gt;1000000,D715&lt;0,D715&gt;1000000,E715&lt;0,E715&gt;1000000,E715&gt;D715,ABS(F715)&gt;1000000000,ABS(G715)&gt;1000000000,ROUND(F715,2)&lt;&gt;F715,AND(G715&lt;&gt;"",ROUND(G715,2)&lt;&gt;G715)),"REVISAR VALOR","OK"))))),"REVISAR VALOR")</f>
        <v/>
      </c>
    </row>
    <row r="716" spans="1:9" x14ac:dyDescent="0.45">
      <c r="A716" s="4"/>
      <c r="B716" s="8"/>
      <c r="C716" s="5"/>
      <c r="D716" s="5"/>
      <c r="E716" s="5"/>
      <c r="F716" s="7"/>
      <c r="G716" s="7"/>
      <c r="H716" s="8"/>
      <c r="I716" s="12" t="str">
        <f>IFERROR(IF(COUNTA(A716:H716)=0,"",IF(OR(A716="",B716="",C716="",D716="",E716="",F716=""),"FALTA CAMPO",IF(COUNTIFS($A$6:$A$1005,A716,$B$6:$B$1005,B716)&gt;1,"DUPLICADO FECHA-SKU",IF(COUNTIF(CATALOGO!$A$6:$A$105,B716)&lt;&gt;1,"SKU NO VALIDO",IF(OR(A716&lt;DATE(1900,1,1),A716&gt;DATE(2100,12,31),A716&gt;CONFIG!$B$5,C716&lt;0,C716&gt;1000000,D716&lt;0,D716&gt;1000000,E716&lt;0,E716&gt;1000000,E716&gt;D716,ABS(F716)&gt;1000000000,ABS(G716)&gt;1000000000,ROUND(F716,2)&lt;&gt;F716,AND(G716&lt;&gt;"",ROUND(G716,2)&lt;&gt;G716)),"REVISAR VALOR","OK"))))),"REVISAR VALOR")</f>
        <v/>
      </c>
    </row>
    <row r="717" spans="1:9" x14ac:dyDescent="0.45">
      <c r="A717" s="4"/>
      <c r="B717" s="8"/>
      <c r="C717" s="5"/>
      <c r="D717" s="5"/>
      <c r="E717" s="5"/>
      <c r="F717" s="7"/>
      <c r="G717" s="7"/>
      <c r="H717" s="8"/>
      <c r="I717" s="12" t="str">
        <f>IFERROR(IF(COUNTA(A717:H717)=0,"",IF(OR(A717="",B717="",C717="",D717="",E717="",F717=""),"FALTA CAMPO",IF(COUNTIFS($A$6:$A$1005,A717,$B$6:$B$1005,B717)&gt;1,"DUPLICADO FECHA-SKU",IF(COUNTIF(CATALOGO!$A$6:$A$105,B717)&lt;&gt;1,"SKU NO VALIDO",IF(OR(A717&lt;DATE(1900,1,1),A717&gt;DATE(2100,12,31),A717&gt;CONFIG!$B$5,C717&lt;0,C717&gt;1000000,D717&lt;0,D717&gt;1000000,E717&lt;0,E717&gt;1000000,E717&gt;D717,ABS(F717)&gt;1000000000,ABS(G717)&gt;1000000000,ROUND(F717,2)&lt;&gt;F717,AND(G717&lt;&gt;"",ROUND(G717,2)&lt;&gt;G717)),"REVISAR VALOR","OK"))))),"REVISAR VALOR")</f>
        <v/>
      </c>
    </row>
    <row r="718" spans="1:9" x14ac:dyDescent="0.45">
      <c r="A718" s="4"/>
      <c r="B718" s="8"/>
      <c r="C718" s="5"/>
      <c r="D718" s="5"/>
      <c r="E718" s="5"/>
      <c r="F718" s="7"/>
      <c r="G718" s="7"/>
      <c r="H718" s="8"/>
      <c r="I718" s="12" t="str">
        <f>IFERROR(IF(COUNTA(A718:H718)=0,"",IF(OR(A718="",B718="",C718="",D718="",E718="",F718=""),"FALTA CAMPO",IF(COUNTIFS($A$6:$A$1005,A718,$B$6:$B$1005,B718)&gt;1,"DUPLICADO FECHA-SKU",IF(COUNTIF(CATALOGO!$A$6:$A$105,B718)&lt;&gt;1,"SKU NO VALIDO",IF(OR(A718&lt;DATE(1900,1,1),A718&gt;DATE(2100,12,31),A718&gt;CONFIG!$B$5,C718&lt;0,C718&gt;1000000,D718&lt;0,D718&gt;1000000,E718&lt;0,E718&gt;1000000,E718&gt;D718,ABS(F718)&gt;1000000000,ABS(G718)&gt;1000000000,ROUND(F718,2)&lt;&gt;F718,AND(G718&lt;&gt;"",ROUND(G718,2)&lt;&gt;G718)),"REVISAR VALOR","OK"))))),"REVISAR VALOR")</f>
        <v/>
      </c>
    </row>
    <row r="719" spans="1:9" x14ac:dyDescent="0.45">
      <c r="A719" s="4"/>
      <c r="B719" s="8"/>
      <c r="C719" s="5"/>
      <c r="D719" s="5"/>
      <c r="E719" s="5"/>
      <c r="F719" s="7"/>
      <c r="G719" s="7"/>
      <c r="H719" s="8"/>
      <c r="I719" s="12" t="str">
        <f>IFERROR(IF(COUNTA(A719:H719)=0,"",IF(OR(A719="",B719="",C719="",D719="",E719="",F719=""),"FALTA CAMPO",IF(COUNTIFS($A$6:$A$1005,A719,$B$6:$B$1005,B719)&gt;1,"DUPLICADO FECHA-SKU",IF(COUNTIF(CATALOGO!$A$6:$A$105,B719)&lt;&gt;1,"SKU NO VALIDO",IF(OR(A719&lt;DATE(1900,1,1),A719&gt;DATE(2100,12,31),A719&gt;CONFIG!$B$5,C719&lt;0,C719&gt;1000000,D719&lt;0,D719&gt;1000000,E719&lt;0,E719&gt;1000000,E719&gt;D719,ABS(F719)&gt;1000000000,ABS(G719)&gt;1000000000,ROUND(F719,2)&lt;&gt;F719,AND(G719&lt;&gt;"",ROUND(G719,2)&lt;&gt;G719)),"REVISAR VALOR","OK"))))),"REVISAR VALOR")</f>
        <v/>
      </c>
    </row>
    <row r="720" spans="1:9" x14ac:dyDescent="0.45">
      <c r="A720" s="4"/>
      <c r="B720" s="8"/>
      <c r="C720" s="5"/>
      <c r="D720" s="5"/>
      <c r="E720" s="5"/>
      <c r="F720" s="7"/>
      <c r="G720" s="7"/>
      <c r="H720" s="8"/>
      <c r="I720" s="12" t="str">
        <f>IFERROR(IF(COUNTA(A720:H720)=0,"",IF(OR(A720="",B720="",C720="",D720="",E720="",F720=""),"FALTA CAMPO",IF(COUNTIFS($A$6:$A$1005,A720,$B$6:$B$1005,B720)&gt;1,"DUPLICADO FECHA-SKU",IF(COUNTIF(CATALOGO!$A$6:$A$105,B720)&lt;&gt;1,"SKU NO VALIDO",IF(OR(A720&lt;DATE(1900,1,1),A720&gt;DATE(2100,12,31),A720&gt;CONFIG!$B$5,C720&lt;0,C720&gt;1000000,D720&lt;0,D720&gt;1000000,E720&lt;0,E720&gt;1000000,E720&gt;D720,ABS(F720)&gt;1000000000,ABS(G720)&gt;1000000000,ROUND(F720,2)&lt;&gt;F720,AND(G720&lt;&gt;"",ROUND(G720,2)&lt;&gt;G720)),"REVISAR VALOR","OK"))))),"REVISAR VALOR")</f>
        <v/>
      </c>
    </row>
    <row r="721" spans="1:9" x14ac:dyDescent="0.45">
      <c r="A721" s="4"/>
      <c r="B721" s="8"/>
      <c r="C721" s="5"/>
      <c r="D721" s="5"/>
      <c r="E721" s="5"/>
      <c r="F721" s="7"/>
      <c r="G721" s="7"/>
      <c r="H721" s="8"/>
      <c r="I721" s="12" t="str">
        <f>IFERROR(IF(COUNTA(A721:H721)=0,"",IF(OR(A721="",B721="",C721="",D721="",E721="",F721=""),"FALTA CAMPO",IF(COUNTIFS($A$6:$A$1005,A721,$B$6:$B$1005,B721)&gt;1,"DUPLICADO FECHA-SKU",IF(COUNTIF(CATALOGO!$A$6:$A$105,B721)&lt;&gt;1,"SKU NO VALIDO",IF(OR(A721&lt;DATE(1900,1,1),A721&gt;DATE(2100,12,31),A721&gt;CONFIG!$B$5,C721&lt;0,C721&gt;1000000,D721&lt;0,D721&gt;1000000,E721&lt;0,E721&gt;1000000,E721&gt;D721,ABS(F721)&gt;1000000000,ABS(G721)&gt;1000000000,ROUND(F721,2)&lt;&gt;F721,AND(G721&lt;&gt;"",ROUND(G721,2)&lt;&gt;G721)),"REVISAR VALOR","OK"))))),"REVISAR VALOR")</f>
        <v/>
      </c>
    </row>
    <row r="722" spans="1:9" x14ac:dyDescent="0.45">
      <c r="A722" s="4"/>
      <c r="B722" s="8"/>
      <c r="C722" s="5"/>
      <c r="D722" s="5"/>
      <c r="E722" s="5"/>
      <c r="F722" s="7"/>
      <c r="G722" s="7"/>
      <c r="H722" s="8"/>
      <c r="I722" s="12" t="str">
        <f>IFERROR(IF(COUNTA(A722:H722)=0,"",IF(OR(A722="",B722="",C722="",D722="",E722="",F722=""),"FALTA CAMPO",IF(COUNTIFS($A$6:$A$1005,A722,$B$6:$B$1005,B722)&gt;1,"DUPLICADO FECHA-SKU",IF(COUNTIF(CATALOGO!$A$6:$A$105,B722)&lt;&gt;1,"SKU NO VALIDO",IF(OR(A722&lt;DATE(1900,1,1),A722&gt;DATE(2100,12,31),A722&gt;CONFIG!$B$5,C722&lt;0,C722&gt;1000000,D722&lt;0,D722&gt;1000000,E722&lt;0,E722&gt;1000000,E722&gt;D722,ABS(F722)&gt;1000000000,ABS(G722)&gt;1000000000,ROUND(F722,2)&lt;&gt;F722,AND(G722&lt;&gt;"",ROUND(G722,2)&lt;&gt;G722)),"REVISAR VALOR","OK"))))),"REVISAR VALOR")</f>
        <v/>
      </c>
    </row>
    <row r="723" spans="1:9" x14ac:dyDescent="0.45">
      <c r="A723" s="4"/>
      <c r="B723" s="8"/>
      <c r="C723" s="5"/>
      <c r="D723" s="5"/>
      <c r="E723" s="5"/>
      <c r="F723" s="7"/>
      <c r="G723" s="7"/>
      <c r="H723" s="8"/>
      <c r="I723" s="12" t="str">
        <f>IFERROR(IF(COUNTA(A723:H723)=0,"",IF(OR(A723="",B723="",C723="",D723="",E723="",F723=""),"FALTA CAMPO",IF(COUNTIFS($A$6:$A$1005,A723,$B$6:$B$1005,B723)&gt;1,"DUPLICADO FECHA-SKU",IF(COUNTIF(CATALOGO!$A$6:$A$105,B723)&lt;&gt;1,"SKU NO VALIDO",IF(OR(A723&lt;DATE(1900,1,1),A723&gt;DATE(2100,12,31),A723&gt;CONFIG!$B$5,C723&lt;0,C723&gt;1000000,D723&lt;0,D723&gt;1000000,E723&lt;0,E723&gt;1000000,E723&gt;D723,ABS(F723)&gt;1000000000,ABS(G723)&gt;1000000000,ROUND(F723,2)&lt;&gt;F723,AND(G723&lt;&gt;"",ROUND(G723,2)&lt;&gt;G723)),"REVISAR VALOR","OK"))))),"REVISAR VALOR")</f>
        <v/>
      </c>
    </row>
    <row r="724" spans="1:9" x14ac:dyDescent="0.45">
      <c r="A724" s="4"/>
      <c r="B724" s="8"/>
      <c r="C724" s="5"/>
      <c r="D724" s="5"/>
      <c r="E724" s="5"/>
      <c r="F724" s="7"/>
      <c r="G724" s="7"/>
      <c r="H724" s="8"/>
      <c r="I724" s="12" t="str">
        <f>IFERROR(IF(COUNTA(A724:H724)=0,"",IF(OR(A724="",B724="",C724="",D724="",E724="",F724=""),"FALTA CAMPO",IF(COUNTIFS($A$6:$A$1005,A724,$B$6:$B$1005,B724)&gt;1,"DUPLICADO FECHA-SKU",IF(COUNTIF(CATALOGO!$A$6:$A$105,B724)&lt;&gt;1,"SKU NO VALIDO",IF(OR(A724&lt;DATE(1900,1,1),A724&gt;DATE(2100,12,31),A724&gt;CONFIG!$B$5,C724&lt;0,C724&gt;1000000,D724&lt;0,D724&gt;1000000,E724&lt;0,E724&gt;1000000,E724&gt;D724,ABS(F724)&gt;1000000000,ABS(G724)&gt;1000000000,ROUND(F724,2)&lt;&gt;F724,AND(G724&lt;&gt;"",ROUND(G724,2)&lt;&gt;G724)),"REVISAR VALOR","OK"))))),"REVISAR VALOR")</f>
        <v/>
      </c>
    </row>
    <row r="725" spans="1:9" x14ac:dyDescent="0.45">
      <c r="A725" s="4"/>
      <c r="B725" s="8"/>
      <c r="C725" s="5"/>
      <c r="D725" s="5"/>
      <c r="E725" s="5"/>
      <c r="F725" s="7"/>
      <c r="G725" s="7"/>
      <c r="H725" s="8"/>
      <c r="I725" s="12" t="str">
        <f>IFERROR(IF(COUNTA(A725:H725)=0,"",IF(OR(A725="",B725="",C725="",D725="",E725="",F725=""),"FALTA CAMPO",IF(COUNTIFS($A$6:$A$1005,A725,$B$6:$B$1005,B725)&gt;1,"DUPLICADO FECHA-SKU",IF(COUNTIF(CATALOGO!$A$6:$A$105,B725)&lt;&gt;1,"SKU NO VALIDO",IF(OR(A725&lt;DATE(1900,1,1),A725&gt;DATE(2100,12,31),A725&gt;CONFIG!$B$5,C725&lt;0,C725&gt;1000000,D725&lt;0,D725&gt;1000000,E725&lt;0,E725&gt;1000000,E725&gt;D725,ABS(F725)&gt;1000000000,ABS(G725)&gt;1000000000,ROUND(F725,2)&lt;&gt;F725,AND(G725&lt;&gt;"",ROUND(G725,2)&lt;&gt;G725)),"REVISAR VALOR","OK"))))),"REVISAR VALOR")</f>
        <v/>
      </c>
    </row>
    <row r="726" spans="1:9" x14ac:dyDescent="0.45">
      <c r="A726" s="4"/>
      <c r="B726" s="8"/>
      <c r="C726" s="5"/>
      <c r="D726" s="5"/>
      <c r="E726" s="5"/>
      <c r="F726" s="7"/>
      <c r="G726" s="7"/>
      <c r="H726" s="8"/>
      <c r="I726" s="12" t="str">
        <f>IFERROR(IF(COUNTA(A726:H726)=0,"",IF(OR(A726="",B726="",C726="",D726="",E726="",F726=""),"FALTA CAMPO",IF(COUNTIFS($A$6:$A$1005,A726,$B$6:$B$1005,B726)&gt;1,"DUPLICADO FECHA-SKU",IF(COUNTIF(CATALOGO!$A$6:$A$105,B726)&lt;&gt;1,"SKU NO VALIDO",IF(OR(A726&lt;DATE(1900,1,1),A726&gt;DATE(2100,12,31),A726&gt;CONFIG!$B$5,C726&lt;0,C726&gt;1000000,D726&lt;0,D726&gt;1000000,E726&lt;0,E726&gt;1000000,E726&gt;D726,ABS(F726)&gt;1000000000,ABS(G726)&gt;1000000000,ROUND(F726,2)&lt;&gt;F726,AND(G726&lt;&gt;"",ROUND(G726,2)&lt;&gt;G726)),"REVISAR VALOR","OK"))))),"REVISAR VALOR")</f>
        <v/>
      </c>
    </row>
    <row r="727" spans="1:9" x14ac:dyDescent="0.45">
      <c r="A727" s="4"/>
      <c r="B727" s="8"/>
      <c r="C727" s="5"/>
      <c r="D727" s="5"/>
      <c r="E727" s="5"/>
      <c r="F727" s="7"/>
      <c r="G727" s="7"/>
      <c r="H727" s="8"/>
      <c r="I727" s="12" t="str">
        <f>IFERROR(IF(COUNTA(A727:H727)=0,"",IF(OR(A727="",B727="",C727="",D727="",E727="",F727=""),"FALTA CAMPO",IF(COUNTIFS($A$6:$A$1005,A727,$B$6:$B$1005,B727)&gt;1,"DUPLICADO FECHA-SKU",IF(COUNTIF(CATALOGO!$A$6:$A$105,B727)&lt;&gt;1,"SKU NO VALIDO",IF(OR(A727&lt;DATE(1900,1,1),A727&gt;DATE(2100,12,31),A727&gt;CONFIG!$B$5,C727&lt;0,C727&gt;1000000,D727&lt;0,D727&gt;1000000,E727&lt;0,E727&gt;1000000,E727&gt;D727,ABS(F727)&gt;1000000000,ABS(G727)&gt;1000000000,ROUND(F727,2)&lt;&gt;F727,AND(G727&lt;&gt;"",ROUND(G727,2)&lt;&gt;G727)),"REVISAR VALOR","OK"))))),"REVISAR VALOR")</f>
        <v/>
      </c>
    </row>
    <row r="728" spans="1:9" x14ac:dyDescent="0.45">
      <c r="A728" s="4"/>
      <c r="B728" s="8"/>
      <c r="C728" s="5"/>
      <c r="D728" s="5"/>
      <c r="E728" s="5"/>
      <c r="F728" s="7"/>
      <c r="G728" s="7"/>
      <c r="H728" s="8"/>
      <c r="I728" s="12" t="str">
        <f>IFERROR(IF(COUNTA(A728:H728)=0,"",IF(OR(A728="",B728="",C728="",D728="",E728="",F728=""),"FALTA CAMPO",IF(COUNTIFS($A$6:$A$1005,A728,$B$6:$B$1005,B728)&gt;1,"DUPLICADO FECHA-SKU",IF(COUNTIF(CATALOGO!$A$6:$A$105,B728)&lt;&gt;1,"SKU NO VALIDO",IF(OR(A728&lt;DATE(1900,1,1),A728&gt;DATE(2100,12,31),A728&gt;CONFIG!$B$5,C728&lt;0,C728&gt;1000000,D728&lt;0,D728&gt;1000000,E728&lt;0,E728&gt;1000000,E728&gt;D728,ABS(F728)&gt;1000000000,ABS(G728)&gt;1000000000,ROUND(F728,2)&lt;&gt;F728,AND(G728&lt;&gt;"",ROUND(G728,2)&lt;&gt;G728)),"REVISAR VALOR","OK"))))),"REVISAR VALOR")</f>
        <v/>
      </c>
    </row>
    <row r="729" spans="1:9" x14ac:dyDescent="0.45">
      <c r="A729" s="4"/>
      <c r="B729" s="8"/>
      <c r="C729" s="5"/>
      <c r="D729" s="5"/>
      <c r="E729" s="5"/>
      <c r="F729" s="7"/>
      <c r="G729" s="7"/>
      <c r="H729" s="8"/>
      <c r="I729" s="12" t="str">
        <f>IFERROR(IF(COUNTA(A729:H729)=0,"",IF(OR(A729="",B729="",C729="",D729="",E729="",F729=""),"FALTA CAMPO",IF(COUNTIFS($A$6:$A$1005,A729,$B$6:$B$1005,B729)&gt;1,"DUPLICADO FECHA-SKU",IF(COUNTIF(CATALOGO!$A$6:$A$105,B729)&lt;&gt;1,"SKU NO VALIDO",IF(OR(A729&lt;DATE(1900,1,1),A729&gt;DATE(2100,12,31),A729&gt;CONFIG!$B$5,C729&lt;0,C729&gt;1000000,D729&lt;0,D729&gt;1000000,E729&lt;0,E729&gt;1000000,E729&gt;D729,ABS(F729)&gt;1000000000,ABS(G729)&gt;1000000000,ROUND(F729,2)&lt;&gt;F729,AND(G729&lt;&gt;"",ROUND(G729,2)&lt;&gt;G729)),"REVISAR VALOR","OK"))))),"REVISAR VALOR")</f>
        <v/>
      </c>
    </row>
    <row r="730" spans="1:9" x14ac:dyDescent="0.45">
      <c r="A730" s="4"/>
      <c r="B730" s="8"/>
      <c r="C730" s="5"/>
      <c r="D730" s="5"/>
      <c r="E730" s="5"/>
      <c r="F730" s="7"/>
      <c r="G730" s="7"/>
      <c r="H730" s="8"/>
      <c r="I730" s="12" t="str">
        <f>IFERROR(IF(COUNTA(A730:H730)=0,"",IF(OR(A730="",B730="",C730="",D730="",E730="",F730=""),"FALTA CAMPO",IF(COUNTIFS($A$6:$A$1005,A730,$B$6:$B$1005,B730)&gt;1,"DUPLICADO FECHA-SKU",IF(COUNTIF(CATALOGO!$A$6:$A$105,B730)&lt;&gt;1,"SKU NO VALIDO",IF(OR(A730&lt;DATE(1900,1,1),A730&gt;DATE(2100,12,31),A730&gt;CONFIG!$B$5,C730&lt;0,C730&gt;1000000,D730&lt;0,D730&gt;1000000,E730&lt;0,E730&gt;1000000,E730&gt;D730,ABS(F730)&gt;1000000000,ABS(G730)&gt;1000000000,ROUND(F730,2)&lt;&gt;F730,AND(G730&lt;&gt;"",ROUND(G730,2)&lt;&gt;G730)),"REVISAR VALOR","OK"))))),"REVISAR VALOR")</f>
        <v/>
      </c>
    </row>
    <row r="731" spans="1:9" x14ac:dyDescent="0.45">
      <c r="A731" s="4"/>
      <c r="B731" s="8"/>
      <c r="C731" s="5"/>
      <c r="D731" s="5"/>
      <c r="E731" s="5"/>
      <c r="F731" s="7"/>
      <c r="G731" s="7"/>
      <c r="H731" s="8"/>
      <c r="I731" s="12" t="str">
        <f>IFERROR(IF(COUNTA(A731:H731)=0,"",IF(OR(A731="",B731="",C731="",D731="",E731="",F731=""),"FALTA CAMPO",IF(COUNTIFS($A$6:$A$1005,A731,$B$6:$B$1005,B731)&gt;1,"DUPLICADO FECHA-SKU",IF(COUNTIF(CATALOGO!$A$6:$A$105,B731)&lt;&gt;1,"SKU NO VALIDO",IF(OR(A731&lt;DATE(1900,1,1),A731&gt;DATE(2100,12,31),A731&gt;CONFIG!$B$5,C731&lt;0,C731&gt;1000000,D731&lt;0,D731&gt;1000000,E731&lt;0,E731&gt;1000000,E731&gt;D731,ABS(F731)&gt;1000000000,ABS(G731)&gt;1000000000,ROUND(F731,2)&lt;&gt;F731,AND(G731&lt;&gt;"",ROUND(G731,2)&lt;&gt;G731)),"REVISAR VALOR","OK"))))),"REVISAR VALOR")</f>
        <v/>
      </c>
    </row>
    <row r="732" spans="1:9" x14ac:dyDescent="0.45">
      <c r="A732" s="4"/>
      <c r="B732" s="8"/>
      <c r="C732" s="5"/>
      <c r="D732" s="5"/>
      <c r="E732" s="5"/>
      <c r="F732" s="7"/>
      <c r="G732" s="7"/>
      <c r="H732" s="8"/>
      <c r="I732" s="12" t="str">
        <f>IFERROR(IF(COUNTA(A732:H732)=0,"",IF(OR(A732="",B732="",C732="",D732="",E732="",F732=""),"FALTA CAMPO",IF(COUNTIFS($A$6:$A$1005,A732,$B$6:$B$1005,B732)&gt;1,"DUPLICADO FECHA-SKU",IF(COUNTIF(CATALOGO!$A$6:$A$105,B732)&lt;&gt;1,"SKU NO VALIDO",IF(OR(A732&lt;DATE(1900,1,1),A732&gt;DATE(2100,12,31),A732&gt;CONFIG!$B$5,C732&lt;0,C732&gt;1000000,D732&lt;0,D732&gt;1000000,E732&lt;0,E732&gt;1000000,E732&gt;D732,ABS(F732)&gt;1000000000,ABS(G732)&gt;1000000000,ROUND(F732,2)&lt;&gt;F732,AND(G732&lt;&gt;"",ROUND(G732,2)&lt;&gt;G732)),"REVISAR VALOR","OK"))))),"REVISAR VALOR")</f>
        <v/>
      </c>
    </row>
    <row r="733" spans="1:9" x14ac:dyDescent="0.45">
      <c r="A733" s="4"/>
      <c r="B733" s="8"/>
      <c r="C733" s="5"/>
      <c r="D733" s="5"/>
      <c r="E733" s="5"/>
      <c r="F733" s="7"/>
      <c r="G733" s="7"/>
      <c r="H733" s="8"/>
      <c r="I733" s="12" t="str">
        <f>IFERROR(IF(COUNTA(A733:H733)=0,"",IF(OR(A733="",B733="",C733="",D733="",E733="",F733=""),"FALTA CAMPO",IF(COUNTIFS($A$6:$A$1005,A733,$B$6:$B$1005,B733)&gt;1,"DUPLICADO FECHA-SKU",IF(COUNTIF(CATALOGO!$A$6:$A$105,B733)&lt;&gt;1,"SKU NO VALIDO",IF(OR(A733&lt;DATE(1900,1,1),A733&gt;DATE(2100,12,31),A733&gt;CONFIG!$B$5,C733&lt;0,C733&gt;1000000,D733&lt;0,D733&gt;1000000,E733&lt;0,E733&gt;1000000,E733&gt;D733,ABS(F733)&gt;1000000000,ABS(G733)&gt;1000000000,ROUND(F733,2)&lt;&gt;F733,AND(G733&lt;&gt;"",ROUND(G733,2)&lt;&gt;G733)),"REVISAR VALOR","OK"))))),"REVISAR VALOR")</f>
        <v/>
      </c>
    </row>
    <row r="734" spans="1:9" x14ac:dyDescent="0.45">
      <c r="A734" s="4"/>
      <c r="B734" s="8"/>
      <c r="C734" s="5"/>
      <c r="D734" s="5"/>
      <c r="E734" s="5"/>
      <c r="F734" s="7"/>
      <c r="G734" s="7"/>
      <c r="H734" s="8"/>
      <c r="I734" s="12" t="str">
        <f>IFERROR(IF(COUNTA(A734:H734)=0,"",IF(OR(A734="",B734="",C734="",D734="",E734="",F734=""),"FALTA CAMPO",IF(COUNTIFS($A$6:$A$1005,A734,$B$6:$B$1005,B734)&gt;1,"DUPLICADO FECHA-SKU",IF(COUNTIF(CATALOGO!$A$6:$A$105,B734)&lt;&gt;1,"SKU NO VALIDO",IF(OR(A734&lt;DATE(1900,1,1),A734&gt;DATE(2100,12,31),A734&gt;CONFIG!$B$5,C734&lt;0,C734&gt;1000000,D734&lt;0,D734&gt;1000000,E734&lt;0,E734&gt;1000000,E734&gt;D734,ABS(F734)&gt;1000000000,ABS(G734)&gt;1000000000,ROUND(F734,2)&lt;&gt;F734,AND(G734&lt;&gt;"",ROUND(G734,2)&lt;&gt;G734)),"REVISAR VALOR","OK"))))),"REVISAR VALOR")</f>
        <v/>
      </c>
    </row>
    <row r="735" spans="1:9" x14ac:dyDescent="0.45">
      <c r="A735" s="4"/>
      <c r="B735" s="8"/>
      <c r="C735" s="5"/>
      <c r="D735" s="5"/>
      <c r="E735" s="5"/>
      <c r="F735" s="7"/>
      <c r="G735" s="7"/>
      <c r="H735" s="8"/>
      <c r="I735" s="12" t="str">
        <f>IFERROR(IF(COUNTA(A735:H735)=0,"",IF(OR(A735="",B735="",C735="",D735="",E735="",F735=""),"FALTA CAMPO",IF(COUNTIFS($A$6:$A$1005,A735,$B$6:$B$1005,B735)&gt;1,"DUPLICADO FECHA-SKU",IF(COUNTIF(CATALOGO!$A$6:$A$105,B735)&lt;&gt;1,"SKU NO VALIDO",IF(OR(A735&lt;DATE(1900,1,1),A735&gt;DATE(2100,12,31),A735&gt;CONFIG!$B$5,C735&lt;0,C735&gt;1000000,D735&lt;0,D735&gt;1000000,E735&lt;0,E735&gt;1000000,E735&gt;D735,ABS(F735)&gt;1000000000,ABS(G735)&gt;1000000000,ROUND(F735,2)&lt;&gt;F735,AND(G735&lt;&gt;"",ROUND(G735,2)&lt;&gt;G735)),"REVISAR VALOR","OK"))))),"REVISAR VALOR")</f>
        <v/>
      </c>
    </row>
    <row r="736" spans="1:9" x14ac:dyDescent="0.45">
      <c r="A736" s="4"/>
      <c r="B736" s="8"/>
      <c r="C736" s="5"/>
      <c r="D736" s="5"/>
      <c r="E736" s="5"/>
      <c r="F736" s="7"/>
      <c r="G736" s="7"/>
      <c r="H736" s="8"/>
      <c r="I736" s="12" t="str">
        <f>IFERROR(IF(COUNTA(A736:H736)=0,"",IF(OR(A736="",B736="",C736="",D736="",E736="",F736=""),"FALTA CAMPO",IF(COUNTIFS($A$6:$A$1005,A736,$B$6:$B$1005,B736)&gt;1,"DUPLICADO FECHA-SKU",IF(COUNTIF(CATALOGO!$A$6:$A$105,B736)&lt;&gt;1,"SKU NO VALIDO",IF(OR(A736&lt;DATE(1900,1,1),A736&gt;DATE(2100,12,31),A736&gt;CONFIG!$B$5,C736&lt;0,C736&gt;1000000,D736&lt;0,D736&gt;1000000,E736&lt;0,E736&gt;1000000,E736&gt;D736,ABS(F736)&gt;1000000000,ABS(G736)&gt;1000000000,ROUND(F736,2)&lt;&gt;F736,AND(G736&lt;&gt;"",ROUND(G736,2)&lt;&gt;G736)),"REVISAR VALOR","OK"))))),"REVISAR VALOR")</f>
        <v/>
      </c>
    </row>
    <row r="737" spans="1:9" x14ac:dyDescent="0.45">
      <c r="A737" s="4"/>
      <c r="B737" s="8"/>
      <c r="C737" s="5"/>
      <c r="D737" s="5"/>
      <c r="E737" s="5"/>
      <c r="F737" s="7"/>
      <c r="G737" s="7"/>
      <c r="H737" s="8"/>
      <c r="I737" s="12" t="str">
        <f>IFERROR(IF(COUNTA(A737:H737)=0,"",IF(OR(A737="",B737="",C737="",D737="",E737="",F737=""),"FALTA CAMPO",IF(COUNTIFS($A$6:$A$1005,A737,$B$6:$B$1005,B737)&gt;1,"DUPLICADO FECHA-SKU",IF(COUNTIF(CATALOGO!$A$6:$A$105,B737)&lt;&gt;1,"SKU NO VALIDO",IF(OR(A737&lt;DATE(1900,1,1),A737&gt;DATE(2100,12,31),A737&gt;CONFIG!$B$5,C737&lt;0,C737&gt;1000000,D737&lt;0,D737&gt;1000000,E737&lt;0,E737&gt;1000000,E737&gt;D737,ABS(F737)&gt;1000000000,ABS(G737)&gt;1000000000,ROUND(F737,2)&lt;&gt;F737,AND(G737&lt;&gt;"",ROUND(G737,2)&lt;&gt;G737)),"REVISAR VALOR","OK"))))),"REVISAR VALOR")</f>
        <v/>
      </c>
    </row>
    <row r="738" spans="1:9" x14ac:dyDescent="0.45">
      <c r="A738" s="4"/>
      <c r="B738" s="8"/>
      <c r="C738" s="5"/>
      <c r="D738" s="5"/>
      <c r="E738" s="5"/>
      <c r="F738" s="7"/>
      <c r="G738" s="7"/>
      <c r="H738" s="8"/>
      <c r="I738" s="12" t="str">
        <f>IFERROR(IF(COUNTA(A738:H738)=0,"",IF(OR(A738="",B738="",C738="",D738="",E738="",F738=""),"FALTA CAMPO",IF(COUNTIFS($A$6:$A$1005,A738,$B$6:$B$1005,B738)&gt;1,"DUPLICADO FECHA-SKU",IF(COUNTIF(CATALOGO!$A$6:$A$105,B738)&lt;&gt;1,"SKU NO VALIDO",IF(OR(A738&lt;DATE(1900,1,1),A738&gt;DATE(2100,12,31),A738&gt;CONFIG!$B$5,C738&lt;0,C738&gt;1000000,D738&lt;0,D738&gt;1000000,E738&lt;0,E738&gt;1000000,E738&gt;D738,ABS(F738)&gt;1000000000,ABS(G738)&gt;1000000000,ROUND(F738,2)&lt;&gt;F738,AND(G738&lt;&gt;"",ROUND(G738,2)&lt;&gt;G738)),"REVISAR VALOR","OK"))))),"REVISAR VALOR")</f>
        <v/>
      </c>
    </row>
    <row r="739" spans="1:9" x14ac:dyDescent="0.45">
      <c r="A739" s="4"/>
      <c r="B739" s="8"/>
      <c r="C739" s="5"/>
      <c r="D739" s="5"/>
      <c r="E739" s="5"/>
      <c r="F739" s="7"/>
      <c r="G739" s="7"/>
      <c r="H739" s="8"/>
      <c r="I739" s="12" t="str">
        <f>IFERROR(IF(COUNTA(A739:H739)=0,"",IF(OR(A739="",B739="",C739="",D739="",E739="",F739=""),"FALTA CAMPO",IF(COUNTIFS($A$6:$A$1005,A739,$B$6:$B$1005,B739)&gt;1,"DUPLICADO FECHA-SKU",IF(COUNTIF(CATALOGO!$A$6:$A$105,B739)&lt;&gt;1,"SKU NO VALIDO",IF(OR(A739&lt;DATE(1900,1,1),A739&gt;DATE(2100,12,31),A739&gt;CONFIG!$B$5,C739&lt;0,C739&gt;1000000,D739&lt;0,D739&gt;1000000,E739&lt;0,E739&gt;1000000,E739&gt;D739,ABS(F739)&gt;1000000000,ABS(G739)&gt;1000000000,ROUND(F739,2)&lt;&gt;F739,AND(G739&lt;&gt;"",ROUND(G739,2)&lt;&gt;G739)),"REVISAR VALOR","OK"))))),"REVISAR VALOR")</f>
        <v/>
      </c>
    </row>
    <row r="740" spans="1:9" x14ac:dyDescent="0.45">
      <c r="A740" s="4"/>
      <c r="B740" s="8"/>
      <c r="C740" s="5"/>
      <c r="D740" s="5"/>
      <c r="E740" s="5"/>
      <c r="F740" s="7"/>
      <c r="G740" s="7"/>
      <c r="H740" s="8"/>
      <c r="I740" s="12" t="str">
        <f>IFERROR(IF(COUNTA(A740:H740)=0,"",IF(OR(A740="",B740="",C740="",D740="",E740="",F740=""),"FALTA CAMPO",IF(COUNTIFS($A$6:$A$1005,A740,$B$6:$B$1005,B740)&gt;1,"DUPLICADO FECHA-SKU",IF(COUNTIF(CATALOGO!$A$6:$A$105,B740)&lt;&gt;1,"SKU NO VALIDO",IF(OR(A740&lt;DATE(1900,1,1),A740&gt;DATE(2100,12,31),A740&gt;CONFIG!$B$5,C740&lt;0,C740&gt;1000000,D740&lt;0,D740&gt;1000000,E740&lt;0,E740&gt;1000000,E740&gt;D740,ABS(F740)&gt;1000000000,ABS(G740)&gt;1000000000,ROUND(F740,2)&lt;&gt;F740,AND(G740&lt;&gt;"",ROUND(G740,2)&lt;&gt;G740)),"REVISAR VALOR","OK"))))),"REVISAR VALOR")</f>
        <v/>
      </c>
    </row>
    <row r="741" spans="1:9" x14ac:dyDescent="0.45">
      <c r="A741" s="4"/>
      <c r="B741" s="8"/>
      <c r="C741" s="5"/>
      <c r="D741" s="5"/>
      <c r="E741" s="5"/>
      <c r="F741" s="7"/>
      <c r="G741" s="7"/>
      <c r="H741" s="8"/>
      <c r="I741" s="12" t="str">
        <f>IFERROR(IF(COUNTA(A741:H741)=0,"",IF(OR(A741="",B741="",C741="",D741="",E741="",F741=""),"FALTA CAMPO",IF(COUNTIFS($A$6:$A$1005,A741,$B$6:$B$1005,B741)&gt;1,"DUPLICADO FECHA-SKU",IF(COUNTIF(CATALOGO!$A$6:$A$105,B741)&lt;&gt;1,"SKU NO VALIDO",IF(OR(A741&lt;DATE(1900,1,1),A741&gt;DATE(2100,12,31),A741&gt;CONFIG!$B$5,C741&lt;0,C741&gt;1000000,D741&lt;0,D741&gt;1000000,E741&lt;0,E741&gt;1000000,E741&gt;D741,ABS(F741)&gt;1000000000,ABS(G741)&gt;1000000000,ROUND(F741,2)&lt;&gt;F741,AND(G741&lt;&gt;"",ROUND(G741,2)&lt;&gt;G741)),"REVISAR VALOR","OK"))))),"REVISAR VALOR")</f>
        <v/>
      </c>
    </row>
    <row r="742" spans="1:9" x14ac:dyDescent="0.45">
      <c r="A742" s="4"/>
      <c r="B742" s="8"/>
      <c r="C742" s="5"/>
      <c r="D742" s="5"/>
      <c r="E742" s="5"/>
      <c r="F742" s="7"/>
      <c r="G742" s="7"/>
      <c r="H742" s="8"/>
      <c r="I742" s="12" t="str">
        <f>IFERROR(IF(COUNTA(A742:H742)=0,"",IF(OR(A742="",B742="",C742="",D742="",E742="",F742=""),"FALTA CAMPO",IF(COUNTIFS($A$6:$A$1005,A742,$B$6:$B$1005,B742)&gt;1,"DUPLICADO FECHA-SKU",IF(COUNTIF(CATALOGO!$A$6:$A$105,B742)&lt;&gt;1,"SKU NO VALIDO",IF(OR(A742&lt;DATE(1900,1,1),A742&gt;DATE(2100,12,31),A742&gt;CONFIG!$B$5,C742&lt;0,C742&gt;1000000,D742&lt;0,D742&gt;1000000,E742&lt;0,E742&gt;1000000,E742&gt;D742,ABS(F742)&gt;1000000000,ABS(G742)&gt;1000000000,ROUND(F742,2)&lt;&gt;F742,AND(G742&lt;&gt;"",ROUND(G742,2)&lt;&gt;G742)),"REVISAR VALOR","OK"))))),"REVISAR VALOR")</f>
        <v/>
      </c>
    </row>
    <row r="743" spans="1:9" x14ac:dyDescent="0.45">
      <c r="A743" s="4"/>
      <c r="B743" s="8"/>
      <c r="C743" s="5"/>
      <c r="D743" s="5"/>
      <c r="E743" s="5"/>
      <c r="F743" s="7"/>
      <c r="G743" s="7"/>
      <c r="H743" s="8"/>
      <c r="I743" s="12" t="str">
        <f>IFERROR(IF(COUNTA(A743:H743)=0,"",IF(OR(A743="",B743="",C743="",D743="",E743="",F743=""),"FALTA CAMPO",IF(COUNTIFS($A$6:$A$1005,A743,$B$6:$B$1005,B743)&gt;1,"DUPLICADO FECHA-SKU",IF(COUNTIF(CATALOGO!$A$6:$A$105,B743)&lt;&gt;1,"SKU NO VALIDO",IF(OR(A743&lt;DATE(1900,1,1),A743&gt;DATE(2100,12,31),A743&gt;CONFIG!$B$5,C743&lt;0,C743&gt;1000000,D743&lt;0,D743&gt;1000000,E743&lt;0,E743&gt;1000000,E743&gt;D743,ABS(F743)&gt;1000000000,ABS(G743)&gt;1000000000,ROUND(F743,2)&lt;&gt;F743,AND(G743&lt;&gt;"",ROUND(G743,2)&lt;&gt;G743)),"REVISAR VALOR","OK"))))),"REVISAR VALOR")</f>
        <v/>
      </c>
    </row>
    <row r="744" spans="1:9" x14ac:dyDescent="0.45">
      <c r="A744" s="4"/>
      <c r="B744" s="8"/>
      <c r="C744" s="5"/>
      <c r="D744" s="5"/>
      <c r="E744" s="5"/>
      <c r="F744" s="7"/>
      <c r="G744" s="7"/>
      <c r="H744" s="8"/>
      <c r="I744" s="12" t="str">
        <f>IFERROR(IF(COUNTA(A744:H744)=0,"",IF(OR(A744="",B744="",C744="",D744="",E744="",F744=""),"FALTA CAMPO",IF(COUNTIFS($A$6:$A$1005,A744,$B$6:$B$1005,B744)&gt;1,"DUPLICADO FECHA-SKU",IF(COUNTIF(CATALOGO!$A$6:$A$105,B744)&lt;&gt;1,"SKU NO VALIDO",IF(OR(A744&lt;DATE(1900,1,1),A744&gt;DATE(2100,12,31),A744&gt;CONFIG!$B$5,C744&lt;0,C744&gt;1000000,D744&lt;0,D744&gt;1000000,E744&lt;0,E744&gt;1000000,E744&gt;D744,ABS(F744)&gt;1000000000,ABS(G744)&gt;1000000000,ROUND(F744,2)&lt;&gt;F744,AND(G744&lt;&gt;"",ROUND(G744,2)&lt;&gt;G744)),"REVISAR VALOR","OK"))))),"REVISAR VALOR")</f>
        <v/>
      </c>
    </row>
    <row r="745" spans="1:9" x14ac:dyDescent="0.45">
      <c r="A745" s="4"/>
      <c r="B745" s="8"/>
      <c r="C745" s="5"/>
      <c r="D745" s="5"/>
      <c r="E745" s="5"/>
      <c r="F745" s="7"/>
      <c r="G745" s="7"/>
      <c r="H745" s="8"/>
      <c r="I745" s="12" t="str">
        <f>IFERROR(IF(COUNTA(A745:H745)=0,"",IF(OR(A745="",B745="",C745="",D745="",E745="",F745=""),"FALTA CAMPO",IF(COUNTIFS($A$6:$A$1005,A745,$B$6:$B$1005,B745)&gt;1,"DUPLICADO FECHA-SKU",IF(COUNTIF(CATALOGO!$A$6:$A$105,B745)&lt;&gt;1,"SKU NO VALIDO",IF(OR(A745&lt;DATE(1900,1,1),A745&gt;DATE(2100,12,31),A745&gt;CONFIG!$B$5,C745&lt;0,C745&gt;1000000,D745&lt;0,D745&gt;1000000,E745&lt;0,E745&gt;1000000,E745&gt;D745,ABS(F745)&gt;1000000000,ABS(G745)&gt;1000000000,ROUND(F745,2)&lt;&gt;F745,AND(G745&lt;&gt;"",ROUND(G745,2)&lt;&gt;G745)),"REVISAR VALOR","OK"))))),"REVISAR VALOR")</f>
        <v/>
      </c>
    </row>
    <row r="746" spans="1:9" x14ac:dyDescent="0.45">
      <c r="A746" s="4"/>
      <c r="B746" s="8"/>
      <c r="C746" s="5"/>
      <c r="D746" s="5"/>
      <c r="E746" s="5"/>
      <c r="F746" s="7"/>
      <c r="G746" s="7"/>
      <c r="H746" s="8"/>
      <c r="I746" s="12" t="str">
        <f>IFERROR(IF(COUNTA(A746:H746)=0,"",IF(OR(A746="",B746="",C746="",D746="",E746="",F746=""),"FALTA CAMPO",IF(COUNTIFS($A$6:$A$1005,A746,$B$6:$B$1005,B746)&gt;1,"DUPLICADO FECHA-SKU",IF(COUNTIF(CATALOGO!$A$6:$A$105,B746)&lt;&gt;1,"SKU NO VALIDO",IF(OR(A746&lt;DATE(1900,1,1),A746&gt;DATE(2100,12,31),A746&gt;CONFIG!$B$5,C746&lt;0,C746&gt;1000000,D746&lt;0,D746&gt;1000000,E746&lt;0,E746&gt;1000000,E746&gt;D746,ABS(F746)&gt;1000000000,ABS(G746)&gt;1000000000,ROUND(F746,2)&lt;&gt;F746,AND(G746&lt;&gt;"",ROUND(G746,2)&lt;&gt;G746)),"REVISAR VALOR","OK"))))),"REVISAR VALOR")</f>
        <v/>
      </c>
    </row>
    <row r="747" spans="1:9" x14ac:dyDescent="0.45">
      <c r="A747" s="4"/>
      <c r="B747" s="8"/>
      <c r="C747" s="5"/>
      <c r="D747" s="5"/>
      <c r="E747" s="5"/>
      <c r="F747" s="7"/>
      <c r="G747" s="7"/>
      <c r="H747" s="8"/>
      <c r="I747" s="12" t="str">
        <f>IFERROR(IF(COUNTA(A747:H747)=0,"",IF(OR(A747="",B747="",C747="",D747="",E747="",F747=""),"FALTA CAMPO",IF(COUNTIFS($A$6:$A$1005,A747,$B$6:$B$1005,B747)&gt;1,"DUPLICADO FECHA-SKU",IF(COUNTIF(CATALOGO!$A$6:$A$105,B747)&lt;&gt;1,"SKU NO VALIDO",IF(OR(A747&lt;DATE(1900,1,1),A747&gt;DATE(2100,12,31),A747&gt;CONFIG!$B$5,C747&lt;0,C747&gt;1000000,D747&lt;0,D747&gt;1000000,E747&lt;0,E747&gt;1000000,E747&gt;D747,ABS(F747)&gt;1000000000,ABS(G747)&gt;1000000000,ROUND(F747,2)&lt;&gt;F747,AND(G747&lt;&gt;"",ROUND(G747,2)&lt;&gt;G747)),"REVISAR VALOR","OK"))))),"REVISAR VALOR")</f>
        <v/>
      </c>
    </row>
    <row r="748" spans="1:9" x14ac:dyDescent="0.45">
      <c r="A748" s="4"/>
      <c r="B748" s="8"/>
      <c r="C748" s="5"/>
      <c r="D748" s="5"/>
      <c r="E748" s="5"/>
      <c r="F748" s="7"/>
      <c r="G748" s="7"/>
      <c r="H748" s="8"/>
      <c r="I748" s="12" t="str">
        <f>IFERROR(IF(COUNTA(A748:H748)=0,"",IF(OR(A748="",B748="",C748="",D748="",E748="",F748=""),"FALTA CAMPO",IF(COUNTIFS($A$6:$A$1005,A748,$B$6:$B$1005,B748)&gt;1,"DUPLICADO FECHA-SKU",IF(COUNTIF(CATALOGO!$A$6:$A$105,B748)&lt;&gt;1,"SKU NO VALIDO",IF(OR(A748&lt;DATE(1900,1,1),A748&gt;DATE(2100,12,31),A748&gt;CONFIG!$B$5,C748&lt;0,C748&gt;1000000,D748&lt;0,D748&gt;1000000,E748&lt;0,E748&gt;1000000,E748&gt;D748,ABS(F748)&gt;1000000000,ABS(G748)&gt;1000000000,ROUND(F748,2)&lt;&gt;F748,AND(G748&lt;&gt;"",ROUND(G748,2)&lt;&gt;G748)),"REVISAR VALOR","OK"))))),"REVISAR VALOR")</f>
        <v/>
      </c>
    </row>
    <row r="749" spans="1:9" x14ac:dyDescent="0.45">
      <c r="A749" s="4"/>
      <c r="B749" s="8"/>
      <c r="C749" s="5"/>
      <c r="D749" s="5"/>
      <c r="E749" s="5"/>
      <c r="F749" s="7"/>
      <c r="G749" s="7"/>
      <c r="H749" s="8"/>
      <c r="I749" s="12" t="str">
        <f>IFERROR(IF(COUNTA(A749:H749)=0,"",IF(OR(A749="",B749="",C749="",D749="",E749="",F749=""),"FALTA CAMPO",IF(COUNTIFS($A$6:$A$1005,A749,$B$6:$B$1005,B749)&gt;1,"DUPLICADO FECHA-SKU",IF(COUNTIF(CATALOGO!$A$6:$A$105,B749)&lt;&gt;1,"SKU NO VALIDO",IF(OR(A749&lt;DATE(1900,1,1),A749&gt;DATE(2100,12,31),A749&gt;CONFIG!$B$5,C749&lt;0,C749&gt;1000000,D749&lt;0,D749&gt;1000000,E749&lt;0,E749&gt;1000000,E749&gt;D749,ABS(F749)&gt;1000000000,ABS(G749)&gt;1000000000,ROUND(F749,2)&lt;&gt;F749,AND(G749&lt;&gt;"",ROUND(G749,2)&lt;&gt;G749)),"REVISAR VALOR","OK"))))),"REVISAR VALOR")</f>
        <v/>
      </c>
    </row>
    <row r="750" spans="1:9" x14ac:dyDescent="0.45">
      <c r="A750" s="4"/>
      <c r="B750" s="8"/>
      <c r="C750" s="5"/>
      <c r="D750" s="5"/>
      <c r="E750" s="5"/>
      <c r="F750" s="7"/>
      <c r="G750" s="7"/>
      <c r="H750" s="8"/>
      <c r="I750" s="12" t="str">
        <f>IFERROR(IF(COUNTA(A750:H750)=0,"",IF(OR(A750="",B750="",C750="",D750="",E750="",F750=""),"FALTA CAMPO",IF(COUNTIFS($A$6:$A$1005,A750,$B$6:$B$1005,B750)&gt;1,"DUPLICADO FECHA-SKU",IF(COUNTIF(CATALOGO!$A$6:$A$105,B750)&lt;&gt;1,"SKU NO VALIDO",IF(OR(A750&lt;DATE(1900,1,1),A750&gt;DATE(2100,12,31),A750&gt;CONFIG!$B$5,C750&lt;0,C750&gt;1000000,D750&lt;0,D750&gt;1000000,E750&lt;0,E750&gt;1000000,E750&gt;D750,ABS(F750)&gt;1000000000,ABS(G750)&gt;1000000000,ROUND(F750,2)&lt;&gt;F750,AND(G750&lt;&gt;"",ROUND(G750,2)&lt;&gt;G750)),"REVISAR VALOR","OK"))))),"REVISAR VALOR")</f>
        <v/>
      </c>
    </row>
    <row r="751" spans="1:9" x14ac:dyDescent="0.45">
      <c r="A751" s="4"/>
      <c r="B751" s="8"/>
      <c r="C751" s="5"/>
      <c r="D751" s="5"/>
      <c r="E751" s="5"/>
      <c r="F751" s="7"/>
      <c r="G751" s="7"/>
      <c r="H751" s="8"/>
      <c r="I751" s="12" t="str">
        <f>IFERROR(IF(COUNTA(A751:H751)=0,"",IF(OR(A751="",B751="",C751="",D751="",E751="",F751=""),"FALTA CAMPO",IF(COUNTIFS($A$6:$A$1005,A751,$B$6:$B$1005,B751)&gt;1,"DUPLICADO FECHA-SKU",IF(COUNTIF(CATALOGO!$A$6:$A$105,B751)&lt;&gt;1,"SKU NO VALIDO",IF(OR(A751&lt;DATE(1900,1,1),A751&gt;DATE(2100,12,31),A751&gt;CONFIG!$B$5,C751&lt;0,C751&gt;1000000,D751&lt;0,D751&gt;1000000,E751&lt;0,E751&gt;1000000,E751&gt;D751,ABS(F751)&gt;1000000000,ABS(G751)&gt;1000000000,ROUND(F751,2)&lt;&gt;F751,AND(G751&lt;&gt;"",ROUND(G751,2)&lt;&gt;G751)),"REVISAR VALOR","OK"))))),"REVISAR VALOR")</f>
        <v/>
      </c>
    </row>
    <row r="752" spans="1:9" x14ac:dyDescent="0.45">
      <c r="A752" s="4"/>
      <c r="B752" s="8"/>
      <c r="C752" s="5"/>
      <c r="D752" s="5"/>
      <c r="E752" s="5"/>
      <c r="F752" s="7"/>
      <c r="G752" s="7"/>
      <c r="H752" s="8"/>
      <c r="I752" s="12" t="str">
        <f>IFERROR(IF(COUNTA(A752:H752)=0,"",IF(OR(A752="",B752="",C752="",D752="",E752="",F752=""),"FALTA CAMPO",IF(COUNTIFS($A$6:$A$1005,A752,$B$6:$B$1005,B752)&gt;1,"DUPLICADO FECHA-SKU",IF(COUNTIF(CATALOGO!$A$6:$A$105,B752)&lt;&gt;1,"SKU NO VALIDO",IF(OR(A752&lt;DATE(1900,1,1),A752&gt;DATE(2100,12,31),A752&gt;CONFIG!$B$5,C752&lt;0,C752&gt;1000000,D752&lt;0,D752&gt;1000000,E752&lt;0,E752&gt;1000000,E752&gt;D752,ABS(F752)&gt;1000000000,ABS(G752)&gt;1000000000,ROUND(F752,2)&lt;&gt;F752,AND(G752&lt;&gt;"",ROUND(G752,2)&lt;&gt;G752)),"REVISAR VALOR","OK"))))),"REVISAR VALOR")</f>
        <v/>
      </c>
    </row>
    <row r="753" spans="1:9" x14ac:dyDescent="0.45">
      <c r="A753" s="4"/>
      <c r="B753" s="8"/>
      <c r="C753" s="5"/>
      <c r="D753" s="5"/>
      <c r="E753" s="5"/>
      <c r="F753" s="7"/>
      <c r="G753" s="7"/>
      <c r="H753" s="8"/>
      <c r="I753" s="12" t="str">
        <f>IFERROR(IF(COUNTA(A753:H753)=0,"",IF(OR(A753="",B753="",C753="",D753="",E753="",F753=""),"FALTA CAMPO",IF(COUNTIFS($A$6:$A$1005,A753,$B$6:$B$1005,B753)&gt;1,"DUPLICADO FECHA-SKU",IF(COUNTIF(CATALOGO!$A$6:$A$105,B753)&lt;&gt;1,"SKU NO VALIDO",IF(OR(A753&lt;DATE(1900,1,1),A753&gt;DATE(2100,12,31),A753&gt;CONFIG!$B$5,C753&lt;0,C753&gt;1000000,D753&lt;0,D753&gt;1000000,E753&lt;0,E753&gt;1000000,E753&gt;D753,ABS(F753)&gt;1000000000,ABS(G753)&gt;1000000000,ROUND(F753,2)&lt;&gt;F753,AND(G753&lt;&gt;"",ROUND(G753,2)&lt;&gt;G753)),"REVISAR VALOR","OK"))))),"REVISAR VALOR")</f>
        <v/>
      </c>
    </row>
    <row r="754" spans="1:9" x14ac:dyDescent="0.45">
      <c r="A754" s="4"/>
      <c r="B754" s="8"/>
      <c r="C754" s="5"/>
      <c r="D754" s="5"/>
      <c r="E754" s="5"/>
      <c r="F754" s="7"/>
      <c r="G754" s="7"/>
      <c r="H754" s="8"/>
      <c r="I754" s="12" t="str">
        <f>IFERROR(IF(COUNTA(A754:H754)=0,"",IF(OR(A754="",B754="",C754="",D754="",E754="",F754=""),"FALTA CAMPO",IF(COUNTIFS($A$6:$A$1005,A754,$B$6:$B$1005,B754)&gt;1,"DUPLICADO FECHA-SKU",IF(COUNTIF(CATALOGO!$A$6:$A$105,B754)&lt;&gt;1,"SKU NO VALIDO",IF(OR(A754&lt;DATE(1900,1,1),A754&gt;DATE(2100,12,31),A754&gt;CONFIG!$B$5,C754&lt;0,C754&gt;1000000,D754&lt;0,D754&gt;1000000,E754&lt;0,E754&gt;1000000,E754&gt;D754,ABS(F754)&gt;1000000000,ABS(G754)&gt;1000000000,ROUND(F754,2)&lt;&gt;F754,AND(G754&lt;&gt;"",ROUND(G754,2)&lt;&gt;G754)),"REVISAR VALOR","OK"))))),"REVISAR VALOR")</f>
        <v/>
      </c>
    </row>
    <row r="755" spans="1:9" x14ac:dyDescent="0.45">
      <c r="A755" s="4"/>
      <c r="B755" s="8"/>
      <c r="C755" s="5"/>
      <c r="D755" s="5"/>
      <c r="E755" s="5"/>
      <c r="F755" s="7"/>
      <c r="G755" s="7"/>
      <c r="H755" s="8"/>
      <c r="I755" s="12" t="str">
        <f>IFERROR(IF(COUNTA(A755:H755)=0,"",IF(OR(A755="",B755="",C755="",D755="",E755="",F755=""),"FALTA CAMPO",IF(COUNTIFS($A$6:$A$1005,A755,$B$6:$B$1005,B755)&gt;1,"DUPLICADO FECHA-SKU",IF(COUNTIF(CATALOGO!$A$6:$A$105,B755)&lt;&gt;1,"SKU NO VALIDO",IF(OR(A755&lt;DATE(1900,1,1),A755&gt;DATE(2100,12,31),A755&gt;CONFIG!$B$5,C755&lt;0,C755&gt;1000000,D755&lt;0,D755&gt;1000000,E755&lt;0,E755&gt;1000000,E755&gt;D755,ABS(F755)&gt;1000000000,ABS(G755)&gt;1000000000,ROUND(F755,2)&lt;&gt;F755,AND(G755&lt;&gt;"",ROUND(G755,2)&lt;&gt;G755)),"REVISAR VALOR","OK"))))),"REVISAR VALOR")</f>
        <v/>
      </c>
    </row>
    <row r="756" spans="1:9" x14ac:dyDescent="0.45">
      <c r="A756" s="4"/>
      <c r="B756" s="8"/>
      <c r="C756" s="5"/>
      <c r="D756" s="5"/>
      <c r="E756" s="5"/>
      <c r="F756" s="7"/>
      <c r="G756" s="7"/>
      <c r="H756" s="8"/>
      <c r="I756" s="12" t="str">
        <f>IFERROR(IF(COUNTA(A756:H756)=0,"",IF(OR(A756="",B756="",C756="",D756="",E756="",F756=""),"FALTA CAMPO",IF(COUNTIFS($A$6:$A$1005,A756,$B$6:$B$1005,B756)&gt;1,"DUPLICADO FECHA-SKU",IF(COUNTIF(CATALOGO!$A$6:$A$105,B756)&lt;&gt;1,"SKU NO VALIDO",IF(OR(A756&lt;DATE(1900,1,1),A756&gt;DATE(2100,12,31),A756&gt;CONFIG!$B$5,C756&lt;0,C756&gt;1000000,D756&lt;0,D756&gt;1000000,E756&lt;0,E756&gt;1000000,E756&gt;D756,ABS(F756)&gt;1000000000,ABS(G756)&gt;1000000000,ROUND(F756,2)&lt;&gt;F756,AND(G756&lt;&gt;"",ROUND(G756,2)&lt;&gt;G756)),"REVISAR VALOR","OK"))))),"REVISAR VALOR")</f>
        <v/>
      </c>
    </row>
    <row r="757" spans="1:9" x14ac:dyDescent="0.45">
      <c r="A757" s="4"/>
      <c r="B757" s="8"/>
      <c r="C757" s="5"/>
      <c r="D757" s="5"/>
      <c r="E757" s="5"/>
      <c r="F757" s="7"/>
      <c r="G757" s="7"/>
      <c r="H757" s="8"/>
      <c r="I757" s="12" t="str">
        <f>IFERROR(IF(COUNTA(A757:H757)=0,"",IF(OR(A757="",B757="",C757="",D757="",E757="",F757=""),"FALTA CAMPO",IF(COUNTIFS($A$6:$A$1005,A757,$B$6:$B$1005,B757)&gt;1,"DUPLICADO FECHA-SKU",IF(COUNTIF(CATALOGO!$A$6:$A$105,B757)&lt;&gt;1,"SKU NO VALIDO",IF(OR(A757&lt;DATE(1900,1,1),A757&gt;DATE(2100,12,31),A757&gt;CONFIG!$B$5,C757&lt;0,C757&gt;1000000,D757&lt;0,D757&gt;1000000,E757&lt;0,E757&gt;1000000,E757&gt;D757,ABS(F757)&gt;1000000000,ABS(G757)&gt;1000000000,ROUND(F757,2)&lt;&gt;F757,AND(G757&lt;&gt;"",ROUND(G757,2)&lt;&gt;G757)),"REVISAR VALOR","OK"))))),"REVISAR VALOR")</f>
        <v/>
      </c>
    </row>
    <row r="758" spans="1:9" x14ac:dyDescent="0.45">
      <c r="A758" s="4"/>
      <c r="B758" s="8"/>
      <c r="C758" s="5"/>
      <c r="D758" s="5"/>
      <c r="E758" s="5"/>
      <c r="F758" s="7"/>
      <c r="G758" s="7"/>
      <c r="H758" s="8"/>
      <c r="I758" s="12" t="str">
        <f>IFERROR(IF(COUNTA(A758:H758)=0,"",IF(OR(A758="",B758="",C758="",D758="",E758="",F758=""),"FALTA CAMPO",IF(COUNTIFS($A$6:$A$1005,A758,$B$6:$B$1005,B758)&gt;1,"DUPLICADO FECHA-SKU",IF(COUNTIF(CATALOGO!$A$6:$A$105,B758)&lt;&gt;1,"SKU NO VALIDO",IF(OR(A758&lt;DATE(1900,1,1),A758&gt;DATE(2100,12,31),A758&gt;CONFIG!$B$5,C758&lt;0,C758&gt;1000000,D758&lt;0,D758&gt;1000000,E758&lt;0,E758&gt;1000000,E758&gt;D758,ABS(F758)&gt;1000000000,ABS(G758)&gt;1000000000,ROUND(F758,2)&lt;&gt;F758,AND(G758&lt;&gt;"",ROUND(G758,2)&lt;&gt;G758)),"REVISAR VALOR","OK"))))),"REVISAR VALOR")</f>
        <v/>
      </c>
    </row>
    <row r="759" spans="1:9" x14ac:dyDescent="0.45">
      <c r="A759" s="4"/>
      <c r="B759" s="8"/>
      <c r="C759" s="5"/>
      <c r="D759" s="5"/>
      <c r="E759" s="5"/>
      <c r="F759" s="7"/>
      <c r="G759" s="7"/>
      <c r="H759" s="8"/>
      <c r="I759" s="12" t="str">
        <f>IFERROR(IF(COUNTA(A759:H759)=0,"",IF(OR(A759="",B759="",C759="",D759="",E759="",F759=""),"FALTA CAMPO",IF(COUNTIFS($A$6:$A$1005,A759,$B$6:$B$1005,B759)&gt;1,"DUPLICADO FECHA-SKU",IF(COUNTIF(CATALOGO!$A$6:$A$105,B759)&lt;&gt;1,"SKU NO VALIDO",IF(OR(A759&lt;DATE(1900,1,1),A759&gt;DATE(2100,12,31),A759&gt;CONFIG!$B$5,C759&lt;0,C759&gt;1000000,D759&lt;0,D759&gt;1000000,E759&lt;0,E759&gt;1000000,E759&gt;D759,ABS(F759)&gt;1000000000,ABS(G759)&gt;1000000000,ROUND(F759,2)&lt;&gt;F759,AND(G759&lt;&gt;"",ROUND(G759,2)&lt;&gt;G759)),"REVISAR VALOR","OK"))))),"REVISAR VALOR")</f>
        <v/>
      </c>
    </row>
    <row r="760" spans="1:9" x14ac:dyDescent="0.45">
      <c r="A760" s="4"/>
      <c r="B760" s="8"/>
      <c r="C760" s="5"/>
      <c r="D760" s="5"/>
      <c r="E760" s="5"/>
      <c r="F760" s="7"/>
      <c r="G760" s="7"/>
      <c r="H760" s="8"/>
      <c r="I760" s="12" t="str">
        <f>IFERROR(IF(COUNTA(A760:H760)=0,"",IF(OR(A760="",B760="",C760="",D760="",E760="",F760=""),"FALTA CAMPO",IF(COUNTIFS($A$6:$A$1005,A760,$B$6:$B$1005,B760)&gt;1,"DUPLICADO FECHA-SKU",IF(COUNTIF(CATALOGO!$A$6:$A$105,B760)&lt;&gt;1,"SKU NO VALIDO",IF(OR(A760&lt;DATE(1900,1,1),A760&gt;DATE(2100,12,31),A760&gt;CONFIG!$B$5,C760&lt;0,C760&gt;1000000,D760&lt;0,D760&gt;1000000,E760&lt;0,E760&gt;1000000,E760&gt;D760,ABS(F760)&gt;1000000000,ABS(G760)&gt;1000000000,ROUND(F760,2)&lt;&gt;F760,AND(G760&lt;&gt;"",ROUND(G760,2)&lt;&gt;G760)),"REVISAR VALOR","OK"))))),"REVISAR VALOR")</f>
        <v/>
      </c>
    </row>
    <row r="761" spans="1:9" x14ac:dyDescent="0.45">
      <c r="A761" s="4"/>
      <c r="B761" s="8"/>
      <c r="C761" s="5"/>
      <c r="D761" s="5"/>
      <c r="E761" s="5"/>
      <c r="F761" s="7"/>
      <c r="G761" s="7"/>
      <c r="H761" s="8"/>
      <c r="I761" s="12" t="str">
        <f>IFERROR(IF(COUNTA(A761:H761)=0,"",IF(OR(A761="",B761="",C761="",D761="",E761="",F761=""),"FALTA CAMPO",IF(COUNTIFS($A$6:$A$1005,A761,$B$6:$B$1005,B761)&gt;1,"DUPLICADO FECHA-SKU",IF(COUNTIF(CATALOGO!$A$6:$A$105,B761)&lt;&gt;1,"SKU NO VALIDO",IF(OR(A761&lt;DATE(1900,1,1),A761&gt;DATE(2100,12,31),A761&gt;CONFIG!$B$5,C761&lt;0,C761&gt;1000000,D761&lt;0,D761&gt;1000000,E761&lt;0,E761&gt;1000000,E761&gt;D761,ABS(F761)&gt;1000000000,ABS(G761)&gt;1000000000,ROUND(F761,2)&lt;&gt;F761,AND(G761&lt;&gt;"",ROUND(G761,2)&lt;&gt;G761)),"REVISAR VALOR","OK"))))),"REVISAR VALOR")</f>
        <v/>
      </c>
    </row>
    <row r="762" spans="1:9" x14ac:dyDescent="0.45">
      <c r="A762" s="4"/>
      <c r="B762" s="8"/>
      <c r="C762" s="5"/>
      <c r="D762" s="5"/>
      <c r="E762" s="5"/>
      <c r="F762" s="7"/>
      <c r="G762" s="7"/>
      <c r="H762" s="8"/>
      <c r="I762" s="12" t="str">
        <f>IFERROR(IF(COUNTA(A762:H762)=0,"",IF(OR(A762="",B762="",C762="",D762="",E762="",F762=""),"FALTA CAMPO",IF(COUNTIFS($A$6:$A$1005,A762,$B$6:$B$1005,B762)&gt;1,"DUPLICADO FECHA-SKU",IF(COUNTIF(CATALOGO!$A$6:$A$105,B762)&lt;&gt;1,"SKU NO VALIDO",IF(OR(A762&lt;DATE(1900,1,1),A762&gt;DATE(2100,12,31),A762&gt;CONFIG!$B$5,C762&lt;0,C762&gt;1000000,D762&lt;0,D762&gt;1000000,E762&lt;0,E762&gt;1000000,E762&gt;D762,ABS(F762)&gt;1000000000,ABS(G762)&gt;1000000000,ROUND(F762,2)&lt;&gt;F762,AND(G762&lt;&gt;"",ROUND(G762,2)&lt;&gt;G762)),"REVISAR VALOR","OK"))))),"REVISAR VALOR")</f>
        <v/>
      </c>
    </row>
    <row r="763" spans="1:9" x14ac:dyDescent="0.45">
      <c r="A763" s="4"/>
      <c r="B763" s="8"/>
      <c r="C763" s="5"/>
      <c r="D763" s="5"/>
      <c r="E763" s="5"/>
      <c r="F763" s="7"/>
      <c r="G763" s="7"/>
      <c r="H763" s="8"/>
      <c r="I763" s="12" t="str">
        <f>IFERROR(IF(COUNTA(A763:H763)=0,"",IF(OR(A763="",B763="",C763="",D763="",E763="",F763=""),"FALTA CAMPO",IF(COUNTIFS($A$6:$A$1005,A763,$B$6:$B$1005,B763)&gt;1,"DUPLICADO FECHA-SKU",IF(COUNTIF(CATALOGO!$A$6:$A$105,B763)&lt;&gt;1,"SKU NO VALIDO",IF(OR(A763&lt;DATE(1900,1,1),A763&gt;DATE(2100,12,31),A763&gt;CONFIG!$B$5,C763&lt;0,C763&gt;1000000,D763&lt;0,D763&gt;1000000,E763&lt;0,E763&gt;1000000,E763&gt;D763,ABS(F763)&gt;1000000000,ABS(G763)&gt;1000000000,ROUND(F763,2)&lt;&gt;F763,AND(G763&lt;&gt;"",ROUND(G763,2)&lt;&gt;G763)),"REVISAR VALOR","OK"))))),"REVISAR VALOR")</f>
        <v/>
      </c>
    </row>
    <row r="764" spans="1:9" x14ac:dyDescent="0.45">
      <c r="A764" s="4"/>
      <c r="B764" s="8"/>
      <c r="C764" s="5"/>
      <c r="D764" s="5"/>
      <c r="E764" s="5"/>
      <c r="F764" s="7"/>
      <c r="G764" s="7"/>
      <c r="H764" s="8"/>
      <c r="I764" s="12" t="str">
        <f>IFERROR(IF(COUNTA(A764:H764)=0,"",IF(OR(A764="",B764="",C764="",D764="",E764="",F764=""),"FALTA CAMPO",IF(COUNTIFS($A$6:$A$1005,A764,$B$6:$B$1005,B764)&gt;1,"DUPLICADO FECHA-SKU",IF(COUNTIF(CATALOGO!$A$6:$A$105,B764)&lt;&gt;1,"SKU NO VALIDO",IF(OR(A764&lt;DATE(1900,1,1),A764&gt;DATE(2100,12,31),A764&gt;CONFIG!$B$5,C764&lt;0,C764&gt;1000000,D764&lt;0,D764&gt;1000000,E764&lt;0,E764&gt;1000000,E764&gt;D764,ABS(F764)&gt;1000000000,ABS(G764)&gt;1000000000,ROUND(F764,2)&lt;&gt;F764,AND(G764&lt;&gt;"",ROUND(G764,2)&lt;&gt;G764)),"REVISAR VALOR","OK"))))),"REVISAR VALOR")</f>
        <v/>
      </c>
    </row>
    <row r="765" spans="1:9" x14ac:dyDescent="0.45">
      <c r="A765" s="4"/>
      <c r="B765" s="8"/>
      <c r="C765" s="5"/>
      <c r="D765" s="5"/>
      <c r="E765" s="5"/>
      <c r="F765" s="7"/>
      <c r="G765" s="7"/>
      <c r="H765" s="8"/>
      <c r="I765" s="12" t="str">
        <f>IFERROR(IF(COUNTA(A765:H765)=0,"",IF(OR(A765="",B765="",C765="",D765="",E765="",F765=""),"FALTA CAMPO",IF(COUNTIFS($A$6:$A$1005,A765,$B$6:$B$1005,B765)&gt;1,"DUPLICADO FECHA-SKU",IF(COUNTIF(CATALOGO!$A$6:$A$105,B765)&lt;&gt;1,"SKU NO VALIDO",IF(OR(A765&lt;DATE(1900,1,1),A765&gt;DATE(2100,12,31),A765&gt;CONFIG!$B$5,C765&lt;0,C765&gt;1000000,D765&lt;0,D765&gt;1000000,E765&lt;0,E765&gt;1000000,E765&gt;D765,ABS(F765)&gt;1000000000,ABS(G765)&gt;1000000000,ROUND(F765,2)&lt;&gt;F765,AND(G765&lt;&gt;"",ROUND(G765,2)&lt;&gt;G765)),"REVISAR VALOR","OK"))))),"REVISAR VALOR")</f>
        <v/>
      </c>
    </row>
    <row r="766" spans="1:9" x14ac:dyDescent="0.45">
      <c r="A766" s="4"/>
      <c r="B766" s="8"/>
      <c r="C766" s="5"/>
      <c r="D766" s="5"/>
      <c r="E766" s="5"/>
      <c r="F766" s="7"/>
      <c r="G766" s="7"/>
      <c r="H766" s="8"/>
      <c r="I766" s="12" t="str">
        <f>IFERROR(IF(COUNTA(A766:H766)=0,"",IF(OR(A766="",B766="",C766="",D766="",E766="",F766=""),"FALTA CAMPO",IF(COUNTIFS($A$6:$A$1005,A766,$B$6:$B$1005,B766)&gt;1,"DUPLICADO FECHA-SKU",IF(COUNTIF(CATALOGO!$A$6:$A$105,B766)&lt;&gt;1,"SKU NO VALIDO",IF(OR(A766&lt;DATE(1900,1,1),A766&gt;DATE(2100,12,31),A766&gt;CONFIG!$B$5,C766&lt;0,C766&gt;1000000,D766&lt;0,D766&gt;1000000,E766&lt;0,E766&gt;1000000,E766&gt;D766,ABS(F766)&gt;1000000000,ABS(G766)&gt;1000000000,ROUND(F766,2)&lt;&gt;F766,AND(G766&lt;&gt;"",ROUND(G766,2)&lt;&gt;G766)),"REVISAR VALOR","OK"))))),"REVISAR VALOR")</f>
        <v/>
      </c>
    </row>
    <row r="767" spans="1:9" x14ac:dyDescent="0.45">
      <c r="A767" s="4"/>
      <c r="B767" s="8"/>
      <c r="C767" s="5"/>
      <c r="D767" s="5"/>
      <c r="E767" s="5"/>
      <c r="F767" s="7"/>
      <c r="G767" s="7"/>
      <c r="H767" s="8"/>
      <c r="I767" s="12" t="str">
        <f>IFERROR(IF(COUNTA(A767:H767)=0,"",IF(OR(A767="",B767="",C767="",D767="",E767="",F767=""),"FALTA CAMPO",IF(COUNTIFS($A$6:$A$1005,A767,$B$6:$B$1005,B767)&gt;1,"DUPLICADO FECHA-SKU",IF(COUNTIF(CATALOGO!$A$6:$A$105,B767)&lt;&gt;1,"SKU NO VALIDO",IF(OR(A767&lt;DATE(1900,1,1),A767&gt;DATE(2100,12,31),A767&gt;CONFIG!$B$5,C767&lt;0,C767&gt;1000000,D767&lt;0,D767&gt;1000000,E767&lt;0,E767&gt;1000000,E767&gt;D767,ABS(F767)&gt;1000000000,ABS(G767)&gt;1000000000,ROUND(F767,2)&lt;&gt;F767,AND(G767&lt;&gt;"",ROUND(G767,2)&lt;&gt;G767)),"REVISAR VALOR","OK"))))),"REVISAR VALOR")</f>
        <v/>
      </c>
    </row>
    <row r="768" spans="1:9" x14ac:dyDescent="0.45">
      <c r="A768" s="4"/>
      <c r="B768" s="8"/>
      <c r="C768" s="5"/>
      <c r="D768" s="5"/>
      <c r="E768" s="5"/>
      <c r="F768" s="7"/>
      <c r="G768" s="7"/>
      <c r="H768" s="8"/>
      <c r="I768" s="12" t="str">
        <f>IFERROR(IF(COUNTA(A768:H768)=0,"",IF(OR(A768="",B768="",C768="",D768="",E768="",F768=""),"FALTA CAMPO",IF(COUNTIFS($A$6:$A$1005,A768,$B$6:$B$1005,B768)&gt;1,"DUPLICADO FECHA-SKU",IF(COUNTIF(CATALOGO!$A$6:$A$105,B768)&lt;&gt;1,"SKU NO VALIDO",IF(OR(A768&lt;DATE(1900,1,1),A768&gt;DATE(2100,12,31),A768&gt;CONFIG!$B$5,C768&lt;0,C768&gt;1000000,D768&lt;0,D768&gt;1000000,E768&lt;0,E768&gt;1000000,E768&gt;D768,ABS(F768)&gt;1000000000,ABS(G768)&gt;1000000000,ROUND(F768,2)&lt;&gt;F768,AND(G768&lt;&gt;"",ROUND(G768,2)&lt;&gt;G768)),"REVISAR VALOR","OK"))))),"REVISAR VALOR")</f>
        <v/>
      </c>
    </row>
    <row r="769" spans="1:9" x14ac:dyDescent="0.45">
      <c r="A769" s="4"/>
      <c r="B769" s="8"/>
      <c r="C769" s="5"/>
      <c r="D769" s="5"/>
      <c r="E769" s="5"/>
      <c r="F769" s="7"/>
      <c r="G769" s="7"/>
      <c r="H769" s="8"/>
      <c r="I769" s="12" t="str">
        <f>IFERROR(IF(COUNTA(A769:H769)=0,"",IF(OR(A769="",B769="",C769="",D769="",E769="",F769=""),"FALTA CAMPO",IF(COUNTIFS($A$6:$A$1005,A769,$B$6:$B$1005,B769)&gt;1,"DUPLICADO FECHA-SKU",IF(COUNTIF(CATALOGO!$A$6:$A$105,B769)&lt;&gt;1,"SKU NO VALIDO",IF(OR(A769&lt;DATE(1900,1,1),A769&gt;DATE(2100,12,31),A769&gt;CONFIG!$B$5,C769&lt;0,C769&gt;1000000,D769&lt;0,D769&gt;1000000,E769&lt;0,E769&gt;1000000,E769&gt;D769,ABS(F769)&gt;1000000000,ABS(G769)&gt;1000000000,ROUND(F769,2)&lt;&gt;F769,AND(G769&lt;&gt;"",ROUND(G769,2)&lt;&gt;G769)),"REVISAR VALOR","OK"))))),"REVISAR VALOR")</f>
        <v/>
      </c>
    </row>
    <row r="770" spans="1:9" x14ac:dyDescent="0.45">
      <c r="A770" s="4"/>
      <c r="B770" s="8"/>
      <c r="C770" s="5"/>
      <c r="D770" s="5"/>
      <c r="E770" s="5"/>
      <c r="F770" s="7"/>
      <c r="G770" s="7"/>
      <c r="H770" s="8"/>
      <c r="I770" s="12" t="str">
        <f>IFERROR(IF(COUNTA(A770:H770)=0,"",IF(OR(A770="",B770="",C770="",D770="",E770="",F770=""),"FALTA CAMPO",IF(COUNTIFS($A$6:$A$1005,A770,$B$6:$B$1005,B770)&gt;1,"DUPLICADO FECHA-SKU",IF(COUNTIF(CATALOGO!$A$6:$A$105,B770)&lt;&gt;1,"SKU NO VALIDO",IF(OR(A770&lt;DATE(1900,1,1),A770&gt;DATE(2100,12,31),A770&gt;CONFIG!$B$5,C770&lt;0,C770&gt;1000000,D770&lt;0,D770&gt;1000000,E770&lt;0,E770&gt;1000000,E770&gt;D770,ABS(F770)&gt;1000000000,ABS(G770)&gt;1000000000,ROUND(F770,2)&lt;&gt;F770,AND(G770&lt;&gt;"",ROUND(G770,2)&lt;&gt;G770)),"REVISAR VALOR","OK"))))),"REVISAR VALOR")</f>
        <v/>
      </c>
    </row>
    <row r="771" spans="1:9" x14ac:dyDescent="0.45">
      <c r="A771" s="4"/>
      <c r="B771" s="8"/>
      <c r="C771" s="5"/>
      <c r="D771" s="5"/>
      <c r="E771" s="5"/>
      <c r="F771" s="7"/>
      <c r="G771" s="7"/>
      <c r="H771" s="8"/>
      <c r="I771" s="12" t="str">
        <f>IFERROR(IF(COUNTA(A771:H771)=0,"",IF(OR(A771="",B771="",C771="",D771="",E771="",F771=""),"FALTA CAMPO",IF(COUNTIFS($A$6:$A$1005,A771,$B$6:$B$1005,B771)&gt;1,"DUPLICADO FECHA-SKU",IF(COUNTIF(CATALOGO!$A$6:$A$105,B771)&lt;&gt;1,"SKU NO VALIDO",IF(OR(A771&lt;DATE(1900,1,1),A771&gt;DATE(2100,12,31),A771&gt;CONFIG!$B$5,C771&lt;0,C771&gt;1000000,D771&lt;0,D771&gt;1000000,E771&lt;0,E771&gt;1000000,E771&gt;D771,ABS(F771)&gt;1000000000,ABS(G771)&gt;1000000000,ROUND(F771,2)&lt;&gt;F771,AND(G771&lt;&gt;"",ROUND(G771,2)&lt;&gt;G771)),"REVISAR VALOR","OK"))))),"REVISAR VALOR")</f>
        <v/>
      </c>
    </row>
    <row r="772" spans="1:9" x14ac:dyDescent="0.45">
      <c r="A772" s="4"/>
      <c r="B772" s="8"/>
      <c r="C772" s="5"/>
      <c r="D772" s="5"/>
      <c r="E772" s="5"/>
      <c r="F772" s="7"/>
      <c r="G772" s="7"/>
      <c r="H772" s="8"/>
      <c r="I772" s="12" t="str">
        <f>IFERROR(IF(COUNTA(A772:H772)=0,"",IF(OR(A772="",B772="",C772="",D772="",E772="",F772=""),"FALTA CAMPO",IF(COUNTIFS($A$6:$A$1005,A772,$B$6:$B$1005,B772)&gt;1,"DUPLICADO FECHA-SKU",IF(COUNTIF(CATALOGO!$A$6:$A$105,B772)&lt;&gt;1,"SKU NO VALIDO",IF(OR(A772&lt;DATE(1900,1,1),A772&gt;DATE(2100,12,31),A772&gt;CONFIG!$B$5,C772&lt;0,C772&gt;1000000,D772&lt;0,D772&gt;1000000,E772&lt;0,E772&gt;1000000,E772&gt;D772,ABS(F772)&gt;1000000000,ABS(G772)&gt;1000000000,ROUND(F772,2)&lt;&gt;F772,AND(G772&lt;&gt;"",ROUND(G772,2)&lt;&gt;G772)),"REVISAR VALOR","OK"))))),"REVISAR VALOR")</f>
        <v/>
      </c>
    </row>
    <row r="773" spans="1:9" x14ac:dyDescent="0.45">
      <c r="A773" s="4"/>
      <c r="B773" s="8"/>
      <c r="C773" s="5"/>
      <c r="D773" s="5"/>
      <c r="E773" s="5"/>
      <c r="F773" s="7"/>
      <c r="G773" s="7"/>
      <c r="H773" s="8"/>
      <c r="I773" s="12" t="str">
        <f>IFERROR(IF(COUNTA(A773:H773)=0,"",IF(OR(A773="",B773="",C773="",D773="",E773="",F773=""),"FALTA CAMPO",IF(COUNTIFS($A$6:$A$1005,A773,$B$6:$B$1005,B773)&gt;1,"DUPLICADO FECHA-SKU",IF(COUNTIF(CATALOGO!$A$6:$A$105,B773)&lt;&gt;1,"SKU NO VALIDO",IF(OR(A773&lt;DATE(1900,1,1),A773&gt;DATE(2100,12,31),A773&gt;CONFIG!$B$5,C773&lt;0,C773&gt;1000000,D773&lt;0,D773&gt;1000000,E773&lt;0,E773&gt;1000000,E773&gt;D773,ABS(F773)&gt;1000000000,ABS(G773)&gt;1000000000,ROUND(F773,2)&lt;&gt;F773,AND(G773&lt;&gt;"",ROUND(G773,2)&lt;&gt;G773)),"REVISAR VALOR","OK"))))),"REVISAR VALOR")</f>
        <v/>
      </c>
    </row>
    <row r="774" spans="1:9" x14ac:dyDescent="0.45">
      <c r="A774" s="4"/>
      <c r="B774" s="8"/>
      <c r="C774" s="5"/>
      <c r="D774" s="5"/>
      <c r="E774" s="5"/>
      <c r="F774" s="7"/>
      <c r="G774" s="7"/>
      <c r="H774" s="8"/>
      <c r="I774" s="12" t="str">
        <f>IFERROR(IF(COUNTA(A774:H774)=0,"",IF(OR(A774="",B774="",C774="",D774="",E774="",F774=""),"FALTA CAMPO",IF(COUNTIFS($A$6:$A$1005,A774,$B$6:$B$1005,B774)&gt;1,"DUPLICADO FECHA-SKU",IF(COUNTIF(CATALOGO!$A$6:$A$105,B774)&lt;&gt;1,"SKU NO VALIDO",IF(OR(A774&lt;DATE(1900,1,1),A774&gt;DATE(2100,12,31),A774&gt;CONFIG!$B$5,C774&lt;0,C774&gt;1000000,D774&lt;0,D774&gt;1000000,E774&lt;0,E774&gt;1000000,E774&gt;D774,ABS(F774)&gt;1000000000,ABS(G774)&gt;1000000000,ROUND(F774,2)&lt;&gt;F774,AND(G774&lt;&gt;"",ROUND(G774,2)&lt;&gt;G774)),"REVISAR VALOR","OK"))))),"REVISAR VALOR")</f>
        <v/>
      </c>
    </row>
    <row r="775" spans="1:9" x14ac:dyDescent="0.45">
      <c r="A775" s="4"/>
      <c r="B775" s="8"/>
      <c r="C775" s="5"/>
      <c r="D775" s="5"/>
      <c r="E775" s="5"/>
      <c r="F775" s="7"/>
      <c r="G775" s="7"/>
      <c r="H775" s="8"/>
      <c r="I775" s="12" t="str">
        <f>IFERROR(IF(COUNTA(A775:H775)=0,"",IF(OR(A775="",B775="",C775="",D775="",E775="",F775=""),"FALTA CAMPO",IF(COUNTIFS($A$6:$A$1005,A775,$B$6:$B$1005,B775)&gt;1,"DUPLICADO FECHA-SKU",IF(COUNTIF(CATALOGO!$A$6:$A$105,B775)&lt;&gt;1,"SKU NO VALIDO",IF(OR(A775&lt;DATE(1900,1,1),A775&gt;DATE(2100,12,31),A775&gt;CONFIG!$B$5,C775&lt;0,C775&gt;1000000,D775&lt;0,D775&gt;1000000,E775&lt;0,E775&gt;1000000,E775&gt;D775,ABS(F775)&gt;1000000000,ABS(G775)&gt;1000000000,ROUND(F775,2)&lt;&gt;F775,AND(G775&lt;&gt;"",ROUND(G775,2)&lt;&gt;G775)),"REVISAR VALOR","OK"))))),"REVISAR VALOR")</f>
        <v/>
      </c>
    </row>
    <row r="776" spans="1:9" x14ac:dyDescent="0.45">
      <c r="A776" s="4"/>
      <c r="B776" s="8"/>
      <c r="C776" s="5"/>
      <c r="D776" s="5"/>
      <c r="E776" s="5"/>
      <c r="F776" s="7"/>
      <c r="G776" s="7"/>
      <c r="H776" s="8"/>
      <c r="I776" s="12" t="str">
        <f>IFERROR(IF(COUNTA(A776:H776)=0,"",IF(OR(A776="",B776="",C776="",D776="",E776="",F776=""),"FALTA CAMPO",IF(COUNTIFS($A$6:$A$1005,A776,$B$6:$B$1005,B776)&gt;1,"DUPLICADO FECHA-SKU",IF(COUNTIF(CATALOGO!$A$6:$A$105,B776)&lt;&gt;1,"SKU NO VALIDO",IF(OR(A776&lt;DATE(1900,1,1),A776&gt;DATE(2100,12,31),A776&gt;CONFIG!$B$5,C776&lt;0,C776&gt;1000000,D776&lt;0,D776&gt;1000000,E776&lt;0,E776&gt;1000000,E776&gt;D776,ABS(F776)&gt;1000000000,ABS(G776)&gt;1000000000,ROUND(F776,2)&lt;&gt;F776,AND(G776&lt;&gt;"",ROUND(G776,2)&lt;&gt;G776)),"REVISAR VALOR","OK"))))),"REVISAR VALOR")</f>
        <v/>
      </c>
    </row>
    <row r="777" spans="1:9" x14ac:dyDescent="0.45">
      <c r="A777" s="4"/>
      <c r="B777" s="8"/>
      <c r="C777" s="5"/>
      <c r="D777" s="5"/>
      <c r="E777" s="5"/>
      <c r="F777" s="7"/>
      <c r="G777" s="7"/>
      <c r="H777" s="8"/>
      <c r="I777" s="12" t="str">
        <f>IFERROR(IF(COUNTA(A777:H777)=0,"",IF(OR(A777="",B777="",C777="",D777="",E777="",F777=""),"FALTA CAMPO",IF(COUNTIFS($A$6:$A$1005,A777,$B$6:$B$1005,B777)&gt;1,"DUPLICADO FECHA-SKU",IF(COUNTIF(CATALOGO!$A$6:$A$105,B777)&lt;&gt;1,"SKU NO VALIDO",IF(OR(A777&lt;DATE(1900,1,1),A777&gt;DATE(2100,12,31),A777&gt;CONFIG!$B$5,C777&lt;0,C777&gt;1000000,D777&lt;0,D777&gt;1000000,E777&lt;0,E777&gt;1000000,E777&gt;D777,ABS(F777)&gt;1000000000,ABS(G777)&gt;1000000000,ROUND(F777,2)&lt;&gt;F777,AND(G777&lt;&gt;"",ROUND(G777,2)&lt;&gt;G777)),"REVISAR VALOR","OK"))))),"REVISAR VALOR")</f>
        <v/>
      </c>
    </row>
    <row r="778" spans="1:9" x14ac:dyDescent="0.45">
      <c r="A778" s="4"/>
      <c r="B778" s="8"/>
      <c r="C778" s="5"/>
      <c r="D778" s="5"/>
      <c r="E778" s="5"/>
      <c r="F778" s="7"/>
      <c r="G778" s="7"/>
      <c r="H778" s="8"/>
      <c r="I778" s="12" t="str">
        <f>IFERROR(IF(COUNTA(A778:H778)=0,"",IF(OR(A778="",B778="",C778="",D778="",E778="",F778=""),"FALTA CAMPO",IF(COUNTIFS($A$6:$A$1005,A778,$B$6:$B$1005,B778)&gt;1,"DUPLICADO FECHA-SKU",IF(COUNTIF(CATALOGO!$A$6:$A$105,B778)&lt;&gt;1,"SKU NO VALIDO",IF(OR(A778&lt;DATE(1900,1,1),A778&gt;DATE(2100,12,31),A778&gt;CONFIG!$B$5,C778&lt;0,C778&gt;1000000,D778&lt;0,D778&gt;1000000,E778&lt;0,E778&gt;1000000,E778&gt;D778,ABS(F778)&gt;1000000000,ABS(G778)&gt;1000000000,ROUND(F778,2)&lt;&gt;F778,AND(G778&lt;&gt;"",ROUND(G778,2)&lt;&gt;G778)),"REVISAR VALOR","OK"))))),"REVISAR VALOR")</f>
        <v/>
      </c>
    </row>
    <row r="779" spans="1:9" x14ac:dyDescent="0.45">
      <c r="A779" s="4"/>
      <c r="B779" s="8"/>
      <c r="C779" s="5"/>
      <c r="D779" s="5"/>
      <c r="E779" s="5"/>
      <c r="F779" s="7"/>
      <c r="G779" s="7"/>
      <c r="H779" s="8"/>
      <c r="I779" s="12" t="str">
        <f>IFERROR(IF(COUNTA(A779:H779)=0,"",IF(OR(A779="",B779="",C779="",D779="",E779="",F779=""),"FALTA CAMPO",IF(COUNTIFS($A$6:$A$1005,A779,$B$6:$B$1005,B779)&gt;1,"DUPLICADO FECHA-SKU",IF(COUNTIF(CATALOGO!$A$6:$A$105,B779)&lt;&gt;1,"SKU NO VALIDO",IF(OR(A779&lt;DATE(1900,1,1),A779&gt;DATE(2100,12,31),A779&gt;CONFIG!$B$5,C779&lt;0,C779&gt;1000000,D779&lt;0,D779&gt;1000000,E779&lt;0,E779&gt;1000000,E779&gt;D779,ABS(F779)&gt;1000000000,ABS(G779)&gt;1000000000,ROUND(F779,2)&lt;&gt;F779,AND(G779&lt;&gt;"",ROUND(G779,2)&lt;&gt;G779)),"REVISAR VALOR","OK"))))),"REVISAR VALOR")</f>
        <v/>
      </c>
    </row>
    <row r="780" spans="1:9" x14ac:dyDescent="0.45">
      <c r="A780" s="4"/>
      <c r="B780" s="8"/>
      <c r="C780" s="5"/>
      <c r="D780" s="5"/>
      <c r="E780" s="5"/>
      <c r="F780" s="7"/>
      <c r="G780" s="7"/>
      <c r="H780" s="8"/>
      <c r="I780" s="12" t="str">
        <f>IFERROR(IF(COUNTA(A780:H780)=0,"",IF(OR(A780="",B780="",C780="",D780="",E780="",F780=""),"FALTA CAMPO",IF(COUNTIFS($A$6:$A$1005,A780,$B$6:$B$1005,B780)&gt;1,"DUPLICADO FECHA-SKU",IF(COUNTIF(CATALOGO!$A$6:$A$105,B780)&lt;&gt;1,"SKU NO VALIDO",IF(OR(A780&lt;DATE(1900,1,1),A780&gt;DATE(2100,12,31),A780&gt;CONFIG!$B$5,C780&lt;0,C780&gt;1000000,D780&lt;0,D780&gt;1000000,E780&lt;0,E780&gt;1000000,E780&gt;D780,ABS(F780)&gt;1000000000,ABS(G780)&gt;1000000000,ROUND(F780,2)&lt;&gt;F780,AND(G780&lt;&gt;"",ROUND(G780,2)&lt;&gt;G780)),"REVISAR VALOR","OK"))))),"REVISAR VALOR")</f>
        <v/>
      </c>
    </row>
    <row r="781" spans="1:9" x14ac:dyDescent="0.45">
      <c r="A781" s="4"/>
      <c r="B781" s="8"/>
      <c r="C781" s="5"/>
      <c r="D781" s="5"/>
      <c r="E781" s="5"/>
      <c r="F781" s="7"/>
      <c r="G781" s="7"/>
      <c r="H781" s="8"/>
      <c r="I781" s="12" t="str">
        <f>IFERROR(IF(COUNTA(A781:H781)=0,"",IF(OR(A781="",B781="",C781="",D781="",E781="",F781=""),"FALTA CAMPO",IF(COUNTIFS($A$6:$A$1005,A781,$B$6:$B$1005,B781)&gt;1,"DUPLICADO FECHA-SKU",IF(COUNTIF(CATALOGO!$A$6:$A$105,B781)&lt;&gt;1,"SKU NO VALIDO",IF(OR(A781&lt;DATE(1900,1,1),A781&gt;DATE(2100,12,31),A781&gt;CONFIG!$B$5,C781&lt;0,C781&gt;1000000,D781&lt;0,D781&gt;1000000,E781&lt;0,E781&gt;1000000,E781&gt;D781,ABS(F781)&gt;1000000000,ABS(G781)&gt;1000000000,ROUND(F781,2)&lt;&gt;F781,AND(G781&lt;&gt;"",ROUND(G781,2)&lt;&gt;G781)),"REVISAR VALOR","OK"))))),"REVISAR VALOR")</f>
        <v/>
      </c>
    </row>
    <row r="782" spans="1:9" x14ac:dyDescent="0.45">
      <c r="A782" s="4"/>
      <c r="B782" s="8"/>
      <c r="C782" s="5"/>
      <c r="D782" s="5"/>
      <c r="E782" s="5"/>
      <c r="F782" s="7"/>
      <c r="G782" s="7"/>
      <c r="H782" s="8"/>
      <c r="I782" s="12" t="str">
        <f>IFERROR(IF(COUNTA(A782:H782)=0,"",IF(OR(A782="",B782="",C782="",D782="",E782="",F782=""),"FALTA CAMPO",IF(COUNTIFS($A$6:$A$1005,A782,$B$6:$B$1005,B782)&gt;1,"DUPLICADO FECHA-SKU",IF(COUNTIF(CATALOGO!$A$6:$A$105,B782)&lt;&gt;1,"SKU NO VALIDO",IF(OR(A782&lt;DATE(1900,1,1),A782&gt;DATE(2100,12,31),A782&gt;CONFIG!$B$5,C782&lt;0,C782&gt;1000000,D782&lt;0,D782&gt;1000000,E782&lt;0,E782&gt;1000000,E782&gt;D782,ABS(F782)&gt;1000000000,ABS(G782)&gt;1000000000,ROUND(F782,2)&lt;&gt;F782,AND(G782&lt;&gt;"",ROUND(G782,2)&lt;&gt;G782)),"REVISAR VALOR","OK"))))),"REVISAR VALOR")</f>
        <v/>
      </c>
    </row>
    <row r="783" spans="1:9" x14ac:dyDescent="0.45">
      <c r="A783" s="4"/>
      <c r="B783" s="8"/>
      <c r="C783" s="5"/>
      <c r="D783" s="5"/>
      <c r="E783" s="5"/>
      <c r="F783" s="7"/>
      <c r="G783" s="7"/>
      <c r="H783" s="8"/>
      <c r="I783" s="12" t="str">
        <f>IFERROR(IF(COUNTA(A783:H783)=0,"",IF(OR(A783="",B783="",C783="",D783="",E783="",F783=""),"FALTA CAMPO",IF(COUNTIFS($A$6:$A$1005,A783,$B$6:$B$1005,B783)&gt;1,"DUPLICADO FECHA-SKU",IF(COUNTIF(CATALOGO!$A$6:$A$105,B783)&lt;&gt;1,"SKU NO VALIDO",IF(OR(A783&lt;DATE(1900,1,1),A783&gt;DATE(2100,12,31),A783&gt;CONFIG!$B$5,C783&lt;0,C783&gt;1000000,D783&lt;0,D783&gt;1000000,E783&lt;0,E783&gt;1000000,E783&gt;D783,ABS(F783)&gt;1000000000,ABS(G783)&gt;1000000000,ROUND(F783,2)&lt;&gt;F783,AND(G783&lt;&gt;"",ROUND(G783,2)&lt;&gt;G783)),"REVISAR VALOR","OK"))))),"REVISAR VALOR")</f>
        <v/>
      </c>
    </row>
    <row r="784" spans="1:9" x14ac:dyDescent="0.45">
      <c r="A784" s="4"/>
      <c r="B784" s="8"/>
      <c r="C784" s="5"/>
      <c r="D784" s="5"/>
      <c r="E784" s="5"/>
      <c r="F784" s="7"/>
      <c r="G784" s="7"/>
      <c r="H784" s="8"/>
      <c r="I784" s="12" t="str">
        <f>IFERROR(IF(COUNTA(A784:H784)=0,"",IF(OR(A784="",B784="",C784="",D784="",E784="",F784=""),"FALTA CAMPO",IF(COUNTIFS($A$6:$A$1005,A784,$B$6:$B$1005,B784)&gt;1,"DUPLICADO FECHA-SKU",IF(COUNTIF(CATALOGO!$A$6:$A$105,B784)&lt;&gt;1,"SKU NO VALIDO",IF(OR(A784&lt;DATE(1900,1,1),A784&gt;DATE(2100,12,31),A784&gt;CONFIG!$B$5,C784&lt;0,C784&gt;1000000,D784&lt;0,D784&gt;1000000,E784&lt;0,E784&gt;1000000,E784&gt;D784,ABS(F784)&gt;1000000000,ABS(G784)&gt;1000000000,ROUND(F784,2)&lt;&gt;F784,AND(G784&lt;&gt;"",ROUND(G784,2)&lt;&gt;G784)),"REVISAR VALOR","OK"))))),"REVISAR VALOR")</f>
        <v/>
      </c>
    </row>
    <row r="785" spans="1:9" x14ac:dyDescent="0.45">
      <c r="A785" s="4"/>
      <c r="B785" s="8"/>
      <c r="C785" s="5"/>
      <c r="D785" s="5"/>
      <c r="E785" s="5"/>
      <c r="F785" s="7"/>
      <c r="G785" s="7"/>
      <c r="H785" s="8"/>
      <c r="I785" s="12" t="str">
        <f>IFERROR(IF(COUNTA(A785:H785)=0,"",IF(OR(A785="",B785="",C785="",D785="",E785="",F785=""),"FALTA CAMPO",IF(COUNTIFS($A$6:$A$1005,A785,$B$6:$B$1005,B785)&gt;1,"DUPLICADO FECHA-SKU",IF(COUNTIF(CATALOGO!$A$6:$A$105,B785)&lt;&gt;1,"SKU NO VALIDO",IF(OR(A785&lt;DATE(1900,1,1),A785&gt;DATE(2100,12,31),A785&gt;CONFIG!$B$5,C785&lt;0,C785&gt;1000000,D785&lt;0,D785&gt;1000000,E785&lt;0,E785&gt;1000000,E785&gt;D785,ABS(F785)&gt;1000000000,ABS(G785)&gt;1000000000,ROUND(F785,2)&lt;&gt;F785,AND(G785&lt;&gt;"",ROUND(G785,2)&lt;&gt;G785)),"REVISAR VALOR","OK"))))),"REVISAR VALOR")</f>
        <v/>
      </c>
    </row>
    <row r="786" spans="1:9" x14ac:dyDescent="0.45">
      <c r="A786" s="4"/>
      <c r="B786" s="8"/>
      <c r="C786" s="5"/>
      <c r="D786" s="5"/>
      <c r="E786" s="5"/>
      <c r="F786" s="7"/>
      <c r="G786" s="7"/>
      <c r="H786" s="8"/>
      <c r="I786" s="12" t="str">
        <f>IFERROR(IF(COUNTA(A786:H786)=0,"",IF(OR(A786="",B786="",C786="",D786="",E786="",F786=""),"FALTA CAMPO",IF(COUNTIFS($A$6:$A$1005,A786,$B$6:$B$1005,B786)&gt;1,"DUPLICADO FECHA-SKU",IF(COUNTIF(CATALOGO!$A$6:$A$105,B786)&lt;&gt;1,"SKU NO VALIDO",IF(OR(A786&lt;DATE(1900,1,1),A786&gt;DATE(2100,12,31),A786&gt;CONFIG!$B$5,C786&lt;0,C786&gt;1000000,D786&lt;0,D786&gt;1000000,E786&lt;0,E786&gt;1000000,E786&gt;D786,ABS(F786)&gt;1000000000,ABS(G786)&gt;1000000000,ROUND(F786,2)&lt;&gt;F786,AND(G786&lt;&gt;"",ROUND(G786,2)&lt;&gt;G786)),"REVISAR VALOR","OK"))))),"REVISAR VALOR")</f>
        <v/>
      </c>
    </row>
    <row r="787" spans="1:9" x14ac:dyDescent="0.45">
      <c r="A787" s="4"/>
      <c r="B787" s="8"/>
      <c r="C787" s="5"/>
      <c r="D787" s="5"/>
      <c r="E787" s="5"/>
      <c r="F787" s="7"/>
      <c r="G787" s="7"/>
      <c r="H787" s="8"/>
      <c r="I787" s="12" t="str">
        <f>IFERROR(IF(COUNTA(A787:H787)=0,"",IF(OR(A787="",B787="",C787="",D787="",E787="",F787=""),"FALTA CAMPO",IF(COUNTIFS($A$6:$A$1005,A787,$B$6:$B$1005,B787)&gt;1,"DUPLICADO FECHA-SKU",IF(COUNTIF(CATALOGO!$A$6:$A$105,B787)&lt;&gt;1,"SKU NO VALIDO",IF(OR(A787&lt;DATE(1900,1,1),A787&gt;DATE(2100,12,31),A787&gt;CONFIG!$B$5,C787&lt;0,C787&gt;1000000,D787&lt;0,D787&gt;1000000,E787&lt;0,E787&gt;1000000,E787&gt;D787,ABS(F787)&gt;1000000000,ABS(G787)&gt;1000000000,ROUND(F787,2)&lt;&gt;F787,AND(G787&lt;&gt;"",ROUND(G787,2)&lt;&gt;G787)),"REVISAR VALOR","OK"))))),"REVISAR VALOR")</f>
        <v/>
      </c>
    </row>
    <row r="788" spans="1:9" x14ac:dyDescent="0.45">
      <c r="A788" s="4"/>
      <c r="B788" s="8"/>
      <c r="C788" s="5"/>
      <c r="D788" s="5"/>
      <c r="E788" s="5"/>
      <c r="F788" s="7"/>
      <c r="G788" s="7"/>
      <c r="H788" s="8"/>
      <c r="I788" s="12" t="str">
        <f>IFERROR(IF(COUNTA(A788:H788)=0,"",IF(OR(A788="",B788="",C788="",D788="",E788="",F788=""),"FALTA CAMPO",IF(COUNTIFS($A$6:$A$1005,A788,$B$6:$B$1005,B788)&gt;1,"DUPLICADO FECHA-SKU",IF(COUNTIF(CATALOGO!$A$6:$A$105,B788)&lt;&gt;1,"SKU NO VALIDO",IF(OR(A788&lt;DATE(1900,1,1),A788&gt;DATE(2100,12,31),A788&gt;CONFIG!$B$5,C788&lt;0,C788&gt;1000000,D788&lt;0,D788&gt;1000000,E788&lt;0,E788&gt;1000000,E788&gt;D788,ABS(F788)&gt;1000000000,ABS(G788)&gt;1000000000,ROUND(F788,2)&lt;&gt;F788,AND(G788&lt;&gt;"",ROUND(G788,2)&lt;&gt;G788)),"REVISAR VALOR","OK"))))),"REVISAR VALOR")</f>
        <v/>
      </c>
    </row>
    <row r="789" spans="1:9" x14ac:dyDescent="0.45">
      <c r="A789" s="4"/>
      <c r="B789" s="8"/>
      <c r="C789" s="5"/>
      <c r="D789" s="5"/>
      <c r="E789" s="5"/>
      <c r="F789" s="7"/>
      <c r="G789" s="7"/>
      <c r="H789" s="8"/>
      <c r="I789" s="12" t="str">
        <f>IFERROR(IF(COUNTA(A789:H789)=0,"",IF(OR(A789="",B789="",C789="",D789="",E789="",F789=""),"FALTA CAMPO",IF(COUNTIFS($A$6:$A$1005,A789,$B$6:$B$1005,B789)&gt;1,"DUPLICADO FECHA-SKU",IF(COUNTIF(CATALOGO!$A$6:$A$105,B789)&lt;&gt;1,"SKU NO VALIDO",IF(OR(A789&lt;DATE(1900,1,1),A789&gt;DATE(2100,12,31),A789&gt;CONFIG!$B$5,C789&lt;0,C789&gt;1000000,D789&lt;0,D789&gt;1000000,E789&lt;0,E789&gt;1000000,E789&gt;D789,ABS(F789)&gt;1000000000,ABS(G789)&gt;1000000000,ROUND(F789,2)&lt;&gt;F789,AND(G789&lt;&gt;"",ROUND(G789,2)&lt;&gt;G789)),"REVISAR VALOR","OK"))))),"REVISAR VALOR")</f>
        <v/>
      </c>
    </row>
    <row r="790" spans="1:9" x14ac:dyDescent="0.45">
      <c r="A790" s="4"/>
      <c r="B790" s="8"/>
      <c r="C790" s="5"/>
      <c r="D790" s="5"/>
      <c r="E790" s="5"/>
      <c r="F790" s="7"/>
      <c r="G790" s="7"/>
      <c r="H790" s="8"/>
      <c r="I790" s="12" t="str">
        <f>IFERROR(IF(COUNTA(A790:H790)=0,"",IF(OR(A790="",B790="",C790="",D790="",E790="",F790=""),"FALTA CAMPO",IF(COUNTIFS($A$6:$A$1005,A790,$B$6:$B$1005,B790)&gt;1,"DUPLICADO FECHA-SKU",IF(COUNTIF(CATALOGO!$A$6:$A$105,B790)&lt;&gt;1,"SKU NO VALIDO",IF(OR(A790&lt;DATE(1900,1,1),A790&gt;DATE(2100,12,31),A790&gt;CONFIG!$B$5,C790&lt;0,C790&gt;1000000,D790&lt;0,D790&gt;1000000,E790&lt;0,E790&gt;1000000,E790&gt;D790,ABS(F790)&gt;1000000000,ABS(G790)&gt;1000000000,ROUND(F790,2)&lt;&gt;F790,AND(G790&lt;&gt;"",ROUND(G790,2)&lt;&gt;G790)),"REVISAR VALOR","OK"))))),"REVISAR VALOR")</f>
        <v/>
      </c>
    </row>
    <row r="791" spans="1:9" x14ac:dyDescent="0.45">
      <c r="A791" s="4"/>
      <c r="B791" s="8"/>
      <c r="C791" s="5"/>
      <c r="D791" s="5"/>
      <c r="E791" s="5"/>
      <c r="F791" s="7"/>
      <c r="G791" s="7"/>
      <c r="H791" s="8"/>
      <c r="I791" s="12" t="str">
        <f>IFERROR(IF(COUNTA(A791:H791)=0,"",IF(OR(A791="",B791="",C791="",D791="",E791="",F791=""),"FALTA CAMPO",IF(COUNTIFS($A$6:$A$1005,A791,$B$6:$B$1005,B791)&gt;1,"DUPLICADO FECHA-SKU",IF(COUNTIF(CATALOGO!$A$6:$A$105,B791)&lt;&gt;1,"SKU NO VALIDO",IF(OR(A791&lt;DATE(1900,1,1),A791&gt;DATE(2100,12,31),A791&gt;CONFIG!$B$5,C791&lt;0,C791&gt;1000000,D791&lt;0,D791&gt;1000000,E791&lt;0,E791&gt;1000000,E791&gt;D791,ABS(F791)&gt;1000000000,ABS(G791)&gt;1000000000,ROUND(F791,2)&lt;&gt;F791,AND(G791&lt;&gt;"",ROUND(G791,2)&lt;&gt;G791)),"REVISAR VALOR","OK"))))),"REVISAR VALOR")</f>
        <v/>
      </c>
    </row>
    <row r="792" spans="1:9" x14ac:dyDescent="0.45">
      <c r="A792" s="4"/>
      <c r="B792" s="8"/>
      <c r="C792" s="5"/>
      <c r="D792" s="5"/>
      <c r="E792" s="5"/>
      <c r="F792" s="7"/>
      <c r="G792" s="7"/>
      <c r="H792" s="8"/>
      <c r="I792" s="12" t="str">
        <f>IFERROR(IF(COUNTA(A792:H792)=0,"",IF(OR(A792="",B792="",C792="",D792="",E792="",F792=""),"FALTA CAMPO",IF(COUNTIFS($A$6:$A$1005,A792,$B$6:$B$1005,B792)&gt;1,"DUPLICADO FECHA-SKU",IF(COUNTIF(CATALOGO!$A$6:$A$105,B792)&lt;&gt;1,"SKU NO VALIDO",IF(OR(A792&lt;DATE(1900,1,1),A792&gt;DATE(2100,12,31),A792&gt;CONFIG!$B$5,C792&lt;0,C792&gt;1000000,D792&lt;0,D792&gt;1000000,E792&lt;0,E792&gt;1000000,E792&gt;D792,ABS(F792)&gt;1000000000,ABS(G792)&gt;1000000000,ROUND(F792,2)&lt;&gt;F792,AND(G792&lt;&gt;"",ROUND(G792,2)&lt;&gt;G792)),"REVISAR VALOR","OK"))))),"REVISAR VALOR")</f>
        <v/>
      </c>
    </row>
    <row r="793" spans="1:9" x14ac:dyDescent="0.45">
      <c r="A793" s="4"/>
      <c r="B793" s="8"/>
      <c r="C793" s="5"/>
      <c r="D793" s="5"/>
      <c r="E793" s="5"/>
      <c r="F793" s="7"/>
      <c r="G793" s="7"/>
      <c r="H793" s="8"/>
      <c r="I793" s="12" t="str">
        <f>IFERROR(IF(COUNTA(A793:H793)=0,"",IF(OR(A793="",B793="",C793="",D793="",E793="",F793=""),"FALTA CAMPO",IF(COUNTIFS($A$6:$A$1005,A793,$B$6:$B$1005,B793)&gt;1,"DUPLICADO FECHA-SKU",IF(COUNTIF(CATALOGO!$A$6:$A$105,B793)&lt;&gt;1,"SKU NO VALIDO",IF(OR(A793&lt;DATE(1900,1,1),A793&gt;DATE(2100,12,31),A793&gt;CONFIG!$B$5,C793&lt;0,C793&gt;1000000,D793&lt;0,D793&gt;1000000,E793&lt;0,E793&gt;1000000,E793&gt;D793,ABS(F793)&gt;1000000000,ABS(G793)&gt;1000000000,ROUND(F793,2)&lt;&gt;F793,AND(G793&lt;&gt;"",ROUND(G793,2)&lt;&gt;G793)),"REVISAR VALOR","OK"))))),"REVISAR VALOR")</f>
        <v/>
      </c>
    </row>
    <row r="794" spans="1:9" x14ac:dyDescent="0.45">
      <c r="A794" s="4"/>
      <c r="B794" s="8"/>
      <c r="C794" s="5"/>
      <c r="D794" s="5"/>
      <c r="E794" s="5"/>
      <c r="F794" s="7"/>
      <c r="G794" s="7"/>
      <c r="H794" s="8"/>
      <c r="I794" s="12" t="str">
        <f>IFERROR(IF(COUNTA(A794:H794)=0,"",IF(OR(A794="",B794="",C794="",D794="",E794="",F794=""),"FALTA CAMPO",IF(COUNTIFS($A$6:$A$1005,A794,$B$6:$B$1005,B794)&gt;1,"DUPLICADO FECHA-SKU",IF(COUNTIF(CATALOGO!$A$6:$A$105,B794)&lt;&gt;1,"SKU NO VALIDO",IF(OR(A794&lt;DATE(1900,1,1),A794&gt;DATE(2100,12,31),A794&gt;CONFIG!$B$5,C794&lt;0,C794&gt;1000000,D794&lt;0,D794&gt;1000000,E794&lt;0,E794&gt;1000000,E794&gt;D794,ABS(F794)&gt;1000000000,ABS(G794)&gt;1000000000,ROUND(F794,2)&lt;&gt;F794,AND(G794&lt;&gt;"",ROUND(G794,2)&lt;&gt;G794)),"REVISAR VALOR","OK"))))),"REVISAR VALOR")</f>
        <v/>
      </c>
    </row>
    <row r="795" spans="1:9" x14ac:dyDescent="0.45">
      <c r="A795" s="4"/>
      <c r="B795" s="8"/>
      <c r="C795" s="5"/>
      <c r="D795" s="5"/>
      <c r="E795" s="5"/>
      <c r="F795" s="7"/>
      <c r="G795" s="7"/>
      <c r="H795" s="8"/>
      <c r="I795" s="12" t="str">
        <f>IFERROR(IF(COUNTA(A795:H795)=0,"",IF(OR(A795="",B795="",C795="",D795="",E795="",F795=""),"FALTA CAMPO",IF(COUNTIFS($A$6:$A$1005,A795,$B$6:$B$1005,B795)&gt;1,"DUPLICADO FECHA-SKU",IF(COUNTIF(CATALOGO!$A$6:$A$105,B795)&lt;&gt;1,"SKU NO VALIDO",IF(OR(A795&lt;DATE(1900,1,1),A795&gt;DATE(2100,12,31),A795&gt;CONFIG!$B$5,C795&lt;0,C795&gt;1000000,D795&lt;0,D795&gt;1000000,E795&lt;0,E795&gt;1000000,E795&gt;D795,ABS(F795)&gt;1000000000,ABS(G795)&gt;1000000000,ROUND(F795,2)&lt;&gt;F795,AND(G795&lt;&gt;"",ROUND(G795,2)&lt;&gt;G795)),"REVISAR VALOR","OK"))))),"REVISAR VALOR")</f>
        <v/>
      </c>
    </row>
    <row r="796" spans="1:9" x14ac:dyDescent="0.45">
      <c r="A796" s="4"/>
      <c r="B796" s="8"/>
      <c r="C796" s="5"/>
      <c r="D796" s="5"/>
      <c r="E796" s="5"/>
      <c r="F796" s="7"/>
      <c r="G796" s="7"/>
      <c r="H796" s="8"/>
      <c r="I796" s="12" t="str">
        <f>IFERROR(IF(COUNTA(A796:H796)=0,"",IF(OR(A796="",B796="",C796="",D796="",E796="",F796=""),"FALTA CAMPO",IF(COUNTIFS($A$6:$A$1005,A796,$B$6:$B$1005,B796)&gt;1,"DUPLICADO FECHA-SKU",IF(COUNTIF(CATALOGO!$A$6:$A$105,B796)&lt;&gt;1,"SKU NO VALIDO",IF(OR(A796&lt;DATE(1900,1,1),A796&gt;DATE(2100,12,31),A796&gt;CONFIG!$B$5,C796&lt;0,C796&gt;1000000,D796&lt;0,D796&gt;1000000,E796&lt;0,E796&gt;1000000,E796&gt;D796,ABS(F796)&gt;1000000000,ABS(G796)&gt;1000000000,ROUND(F796,2)&lt;&gt;F796,AND(G796&lt;&gt;"",ROUND(G796,2)&lt;&gt;G796)),"REVISAR VALOR","OK"))))),"REVISAR VALOR")</f>
        <v/>
      </c>
    </row>
    <row r="797" spans="1:9" x14ac:dyDescent="0.45">
      <c r="A797" s="4"/>
      <c r="B797" s="8"/>
      <c r="C797" s="5"/>
      <c r="D797" s="5"/>
      <c r="E797" s="5"/>
      <c r="F797" s="7"/>
      <c r="G797" s="7"/>
      <c r="H797" s="8"/>
      <c r="I797" s="12" t="str">
        <f>IFERROR(IF(COUNTA(A797:H797)=0,"",IF(OR(A797="",B797="",C797="",D797="",E797="",F797=""),"FALTA CAMPO",IF(COUNTIFS($A$6:$A$1005,A797,$B$6:$B$1005,B797)&gt;1,"DUPLICADO FECHA-SKU",IF(COUNTIF(CATALOGO!$A$6:$A$105,B797)&lt;&gt;1,"SKU NO VALIDO",IF(OR(A797&lt;DATE(1900,1,1),A797&gt;DATE(2100,12,31),A797&gt;CONFIG!$B$5,C797&lt;0,C797&gt;1000000,D797&lt;0,D797&gt;1000000,E797&lt;0,E797&gt;1000000,E797&gt;D797,ABS(F797)&gt;1000000000,ABS(G797)&gt;1000000000,ROUND(F797,2)&lt;&gt;F797,AND(G797&lt;&gt;"",ROUND(G797,2)&lt;&gt;G797)),"REVISAR VALOR","OK"))))),"REVISAR VALOR")</f>
        <v/>
      </c>
    </row>
    <row r="798" spans="1:9" x14ac:dyDescent="0.45">
      <c r="A798" s="4"/>
      <c r="B798" s="8"/>
      <c r="C798" s="5"/>
      <c r="D798" s="5"/>
      <c r="E798" s="5"/>
      <c r="F798" s="7"/>
      <c r="G798" s="7"/>
      <c r="H798" s="8"/>
      <c r="I798" s="12" t="str">
        <f>IFERROR(IF(COUNTA(A798:H798)=0,"",IF(OR(A798="",B798="",C798="",D798="",E798="",F798=""),"FALTA CAMPO",IF(COUNTIFS($A$6:$A$1005,A798,$B$6:$B$1005,B798)&gt;1,"DUPLICADO FECHA-SKU",IF(COUNTIF(CATALOGO!$A$6:$A$105,B798)&lt;&gt;1,"SKU NO VALIDO",IF(OR(A798&lt;DATE(1900,1,1),A798&gt;DATE(2100,12,31),A798&gt;CONFIG!$B$5,C798&lt;0,C798&gt;1000000,D798&lt;0,D798&gt;1000000,E798&lt;0,E798&gt;1000000,E798&gt;D798,ABS(F798)&gt;1000000000,ABS(G798)&gt;1000000000,ROUND(F798,2)&lt;&gt;F798,AND(G798&lt;&gt;"",ROUND(G798,2)&lt;&gt;G798)),"REVISAR VALOR","OK"))))),"REVISAR VALOR")</f>
        <v/>
      </c>
    </row>
    <row r="799" spans="1:9" x14ac:dyDescent="0.45">
      <c r="A799" s="4"/>
      <c r="B799" s="8"/>
      <c r="C799" s="5"/>
      <c r="D799" s="5"/>
      <c r="E799" s="5"/>
      <c r="F799" s="7"/>
      <c r="G799" s="7"/>
      <c r="H799" s="8"/>
      <c r="I799" s="12" t="str">
        <f>IFERROR(IF(COUNTA(A799:H799)=0,"",IF(OR(A799="",B799="",C799="",D799="",E799="",F799=""),"FALTA CAMPO",IF(COUNTIFS($A$6:$A$1005,A799,$B$6:$B$1005,B799)&gt;1,"DUPLICADO FECHA-SKU",IF(COUNTIF(CATALOGO!$A$6:$A$105,B799)&lt;&gt;1,"SKU NO VALIDO",IF(OR(A799&lt;DATE(1900,1,1),A799&gt;DATE(2100,12,31),A799&gt;CONFIG!$B$5,C799&lt;0,C799&gt;1000000,D799&lt;0,D799&gt;1000000,E799&lt;0,E799&gt;1000000,E799&gt;D799,ABS(F799)&gt;1000000000,ABS(G799)&gt;1000000000,ROUND(F799,2)&lt;&gt;F799,AND(G799&lt;&gt;"",ROUND(G799,2)&lt;&gt;G799)),"REVISAR VALOR","OK"))))),"REVISAR VALOR")</f>
        <v/>
      </c>
    </row>
    <row r="800" spans="1:9" x14ac:dyDescent="0.45">
      <c r="A800" s="4"/>
      <c r="B800" s="8"/>
      <c r="C800" s="5"/>
      <c r="D800" s="5"/>
      <c r="E800" s="5"/>
      <c r="F800" s="7"/>
      <c r="G800" s="7"/>
      <c r="H800" s="8"/>
      <c r="I800" s="12" t="str">
        <f>IFERROR(IF(COUNTA(A800:H800)=0,"",IF(OR(A800="",B800="",C800="",D800="",E800="",F800=""),"FALTA CAMPO",IF(COUNTIFS($A$6:$A$1005,A800,$B$6:$B$1005,B800)&gt;1,"DUPLICADO FECHA-SKU",IF(COUNTIF(CATALOGO!$A$6:$A$105,B800)&lt;&gt;1,"SKU NO VALIDO",IF(OR(A800&lt;DATE(1900,1,1),A800&gt;DATE(2100,12,31),A800&gt;CONFIG!$B$5,C800&lt;0,C800&gt;1000000,D800&lt;0,D800&gt;1000000,E800&lt;0,E800&gt;1000000,E800&gt;D800,ABS(F800)&gt;1000000000,ABS(G800)&gt;1000000000,ROUND(F800,2)&lt;&gt;F800,AND(G800&lt;&gt;"",ROUND(G800,2)&lt;&gt;G800)),"REVISAR VALOR","OK"))))),"REVISAR VALOR")</f>
        <v/>
      </c>
    </row>
    <row r="801" spans="1:9" x14ac:dyDescent="0.45">
      <c r="A801" s="4"/>
      <c r="B801" s="8"/>
      <c r="C801" s="5"/>
      <c r="D801" s="5"/>
      <c r="E801" s="5"/>
      <c r="F801" s="7"/>
      <c r="G801" s="7"/>
      <c r="H801" s="8"/>
      <c r="I801" s="12" t="str">
        <f>IFERROR(IF(COUNTA(A801:H801)=0,"",IF(OR(A801="",B801="",C801="",D801="",E801="",F801=""),"FALTA CAMPO",IF(COUNTIFS($A$6:$A$1005,A801,$B$6:$B$1005,B801)&gt;1,"DUPLICADO FECHA-SKU",IF(COUNTIF(CATALOGO!$A$6:$A$105,B801)&lt;&gt;1,"SKU NO VALIDO",IF(OR(A801&lt;DATE(1900,1,1),A801&gt;DATE(2100,12,31),A801&gt;CONFIG!$B$5,C801&lt;0,C801&gt;1000000,D801&lt;0,D801&gt;1000000,E801&lt;0,E801&gt;1000000,E801&gt;D801,ABS(F801)&gt;1000000000,ABS(G801)&gt;1000000000,ROUND(F801,2)&lt;&gt;F801,AND(G801&lt;&gt;"",ROUND(G801,2)&lt;&gt;G801)),"REVISAR VALOR","OK"))))),"REVISAR VALOR")</f>
        <v/>
      </c>
    </row>
    <row r="802" spans="1:9" x14ac:dyDescent="0.45">
      <c r="A802" s="4"/>
      <c r="B802" s="8"/>
      <c r="C802" s="5"/>
      <c r="D802" s="5"/>
      <c r="E802" s="5"/>
      <c r="F802" s="7"/>
      <c r="G802" s="7"/>
      <c r="H802" s="8"/>
      <c r="I802" s="12" t="str">
        <f>IFERROR(IF(COUNTA(A802:H802)=0,"",IF(OR(A802="",B802="",C802="",D802="",E802="",F802=""),"FALTA CAMPO",IF(COUNTIFS($A$6:$A$1005,A802,$B$6:$B$1005,B802)&gt;1,"DUPLICADO FECHA-SKU",IF(COUNTIF(CATALOGO!$A$6:$A$105,B802)&lt;&gt;1,"SKU NO VALIDO",IF(OR(A802&lt;DATE(1900,1,1),A802&gt;DATE(2100,12,31),A802&gt;CONFIG!$B$5,C802&lt;0,C802&gt;1000000,D802&lt;0,D802&gt;1000000,E802&lt;0,E802&gt;1000000,E802&gt;D802,ABS(F802)&gt;1000000000,ABS(G802)&gt;1000000000,ROUND(F802,2)&lt;&gt;F802,AND(G802&lt;&gt;"",ROUND(G802,2)&lt;&gt;G802)),"REVISAR VALOR","OK"))))),"REVISAR VALOR")</f>
        <v/>
      </c>
    </row>
    <row r="803" spans="1:9" x14ac:dyDescent="0.45">
      <c r="A803" s="4"/>
      <c r="B803" s="8"/>
      <c r="C803" s="5"/>
      <c r="D803" s="5"/>
      <c r="E803" s="5"/>
      <c r="F803" s="7"/>
      <c r="G803" s="7"/>
      <c r="H803" s="8"/>
      <c r="I803" s="12" t="str">
        <f>IFERROR(IF(COUNTA(A803:H803)=0,"",IF(OR(A803="",B803="",C803="",D803="",E803="",F803=""),"FALTA CAMPO",IF(COUNTIFS($A$6:$A$1005,A803,$B$6:$B$1005,B803)&gt;1,"DUPLICADO FECHA-SKU",IF(COUNTIF(CATALOGO!$A$6:$A$105,B803)&lt;&gt;1,"SKU NO VALIDO",IF(OR(A803&lt;DATE(1900,1,1),A803&gt;DATE(2100,12,31),A803&gt;CONFIG!$B$5,C803&lt;0,C803&gt;1000000,D803&lt;0,D803&gt;1000000,E803&lt;0,E803&gt;1000000,E803&gt;D803,ABS(F803)&gt;1000000000,ABS(G803)&gt;1000000000,ROUND(F803,2)&lt;&gt;F803,AND(G803&lt;&gt;"",ROUND(G803,2)&lt;&gt;G803)),"REVISAR VALOR","OK"))))),"REVISAR VALOR")</f>
        <v/>
      </c>
    </row>
    <row r="804" spans="1:9" x14ac:dyDescent="0.45">
      <c r="A804" s="4"/>
      <c r="B804" s="8"/>
      <c r="C804" s="5"/>
      <c r="D804" s="5"/>
      <c r="E804" s="5"/>
      <c r="F804" s="7"/>
      <c r="G804" s="7"/>
      <c r="H804" s="8"/>
      <c r="I804" s="12" t="str">
        <f>IFERROR(IF(COUNTA(A804:H804)=0,"",IF(OR(A804="",B804="",C804="",D804="",E804="",F804=""),"FALTA CAMPO",IF(COUNTIFS($A$6:$A$1005,A804,$B$6:$B$1005,B804)&gt;1,"DUPLICADO FECHA-SKU",IF(COUNTIF(CATALOGO!$A$6:$A$105,B804)&lt;&gt;1,"SKU NO VALIDO",IF(OR(A804&lt;DATE(1900,1,1),A804&gt;DATE(2100,12,31),A804&gt;CONFIG!$B$5,C804&lt;0,C804&gt;1000000,D804&lt;0,D804&gt;1000000,E804&lt;0,E804&gt;1000000,E804&gt;D804,ABS(F804)&gt;1000000000,ABS(G804)&gt;1000000000,ROUND(F804,2)&lt;&gt;F804,AND(G804&lt;&gt;"",ROUND(G804,2)&lt;&gt;G804)),"REVISAR VALOR","OK"))))),"REVISAR VALOR")</f>
        <v/>
      </c>
    </row>
    <row r="805" spans="1:9" x14ac:dyDescent="0.45">
      <c r="A805" s="4"/>
      <c r="B805" s="8"/>
      <c r="C805" s="5"/>
      <c r="D805" s="5"/>
      <c r="E805" s="5"/>
      <c r="F805" s="7"/>
      <c r="G805" s="7"/>
      <c r="H805" s="8"/>
      <c r="I805" s="12" t="str">
        <f>IFERROR(IF(COUNTA(A805:H805)=0,"",IF(OR(A805="",B805="",C805="",D805="",E805="",F805=""),"FALTA CAMPO",IF(COUNTIFS($A$6:$A$1005,A805,$B$6:$B$1005,B805)&gt;1,"DUPLICADO FECHA-SKU",IF(COUNTIF(CATALOGO!$A$6:$A$105,B805)&lt;&gt;1,"SKU NO VALIDO",IF(OR(A805&lt;DATE(1900,1,1),A805&gt;DATE(2100,12,31),A805&gt;CONFIG!$B$5,C805&lt;0,C805&gt;1000000,D805&lt;0,D805&gt;1000000,E805&lt;0,E805&gt;1000000,E805&gt;D805,ABS(F805)&gt;1000000000,ABS(G805)&gt;1000000000,ROUND(F805,2)&lt;&gt;F805,AND(G805&lt;&gt;"",ROUND(G805,2)&lt;&gt;G805)),"REVISAR VALOR","OK"))))),"REVISAR VALOR")</f>
        <v/>
      </c>
    </row>
    <row r="806" spans="1:9" x14ac:dyDescent="0.45">
      <c r="A806" s="4"/>
      <c r="B806" s="8"/>
      <c r="C806" s="5"/>
      <c r="D806" s="5"/>
      <c r="E806" s="5"/>
      <c r="F806" s="7"/>
      <c r="G806" s="7"/>
      <c r="H806" s="8"/>
      <c r="I806" s="12" t="str">
        <f>IFERROR(IF(COUNTA(A806:H806)=0,"",IF(OR(A806="",B806="",C806="",D806="",E806="",F806=""),"FALTA CAMPO",IF(COUNTIFS($A$6:$A$1005,A806,$B$6:$B$1005,B806)&gt;1,"DUPLICADO FECHA-SKU",IF(COUNTIF(CATALOGO!$A$6:$A$105,B806)&lt;&gt;1,"SKU NO VALIDO",IF(OR(A806&lt;DATE(1900,1,1),A806&gt;DATE(2100,12,31),A806&gt;CONFIG!$B$5,C806&lt;0,C806&gt;1000000,D806&lt;0,D806&gt;1000000,E806&lt;0,E806&gt;1000000,E806&gt;D806,ABS(F806)&gt;1000000000,ABS(G806)&gt;1000000000,ROUND(F806,2)&lt;&gt;F806,AND(G806&lt;&gt;"",ROUND(G806,2)&lt;&gt;G806)),"REVISAR VALOR","OK"))))),"REVISAR VALOR")</f>
        <v/>
      </c>
    </row>
    <row r="807" spans="1:9" x14ac:dyDescent="0.45">
      <c r="A807" s="4"/>
      <c r="B807" s="8"/>
      <c r="C807" s="5"/>
      <c r="D807" s="5"/>
      <c r="E807" s="5"/>
      <c r="F807" s="7"/>
      <c r="G807" s="7"/>
      <c r="H807" s="8"/>
      <c r="I807" s="12" t="str">
        <f>IFERROR(IF(COUNTA(A807:H807)=0,"",IF(OR(A807="",B807="",C807="",D807="",E807="",F807=""),"FALTA CAMPO",IF(COUNTIFS($A$6:$A$1005,A807,$B$6:$B$1005,B807)&gt;1,"DUPLICADO FECHA-SKU",IF(COUNTIF(CATALOGO!$A$6:$A$105,B807)&lt;&gt;1,"SKU NO VALIDO",IF(OR(A807&lt;DATE(1900,1,1),A807&gt;DATE(2100,12,31),A807&gt;CONFIG!$B$5,C807&lt;0,C807&gt;1000000,D807&lt;0,D807&gt;1000000,E807&lt;0,E807&gt;1000000,E807&gt;D807,ABS(F807)&gt;1000000000,ABS(G807)&gt;1000000000,ROUND(F807,2)&lt;&gt;F807,AND(G807&lt;&gt;"",ROUND(G807,2)&lt;&gt;G807)),"REVISAR VALOR","OK"))))),"REVISAR VALOR")</f>
        <v/>
      </c>
    </row>
    <row r="808" spans="1:9" x14ac:dyDescent="0.45">
      <c r="A808" s="4"/>
      <c r="B808" s="8"/>
      <c r="C808" s="5"/>
      <c r="D808" s="5"/>
      <c r="E808" s="5"/>
      <c r="F808" s="7"/>
      <c r="G808" s="7"/>
      <c r="H808" s="8"/>
      <c r="I808" s="12" t="str">
        <f>IFERROR(IF(COUNTA(A808:H808)=0,"",IF(OR(A808="",B808="",C808="",D808="",E808="",F808=""),"FALTA CAMPO",IF(COUNTIFS($A$6:$A$1005,A808,$B$6:$B$1005,B808)&gt;1,"DUPLICADO FECHA-SKU",IF(COUNTIF(CATALOGO!$A$6:$A$105,B808)&lt;&gt;1,"SKU NO VALIDO",IF(OR(A808&lt;DATE(1900,1,1),A808&gt;DATE(2100,12,31),A808&gt;CONFIG!$B$5,C808&lt;0,C808&gt;1000000,D808&lt;0,D808&gt;1000000,E808&lt;0,E808&gt;1000000,E808&gt;D808,ABS(F808)&gt;1000000000,ABS(G808)&gt;1000000000,ROUND(F808,2)&lt;&gt;F808,AND(G808&lt;&gt;"",ROUND(G808,2)&lt;&gt;G808)),"REVISAR VALOR","OK"))))),"REVISAR VALOR")</f>
        <v/>
      </c>
    </row>
    <row r="809" spans="1:9" x14ac:dyDescent="0.45">
      <c r="A809" s="4"/>
      <c r="B809" s="8"/>
      <c r="C809" s="5"/>
      <c r="D809" s="5"/>
      <c r="E809" s="5"/>
      <c r="F809" s="7"/>
      <c r="G809" s="7"/>
      <c r="H809" s="8"/>
      <c r="I809" s="12" t="str">
        <f>IFERROR(IF(COUNTA(A809:H809)=0,"",IF(OR(A809="",B809="",C809="",D809="",E809="",F809=""),"FALTA CAMPO",IF(COUNTIFS($A$6:$A$1005,A809,$B$6:$B$1005,B809)&gt;1,"DUPLICADO FECHA-SKU",IF(COUNTIF(CATALOGO!$A$6:$A$105,B809)&lt;&gt;1,"SKU NO VALIDO",IF(OR(A809&lt;DATE(1900,1,1),A809&gt;DATE(2100,12,31),A809&gt;CONFIG!$B$5,C809&lt;0,C809&gt;1000000,D809&lt;0,D809&gt;1000000,E809&lt;0,E809&gt;1000000,E809&gt;D809,ABS(F809)&gt;1000000000,ABS(G809)&gt;1000000000,ROUND(F809,2)&lt;&gt;F809,AND(G809&lt;&gt;"",ROUND(G809,2)&lt;&gt;G809)),"REVISAR VALOR","OK"))))),"REVISAR VALOR")</f>
        <v/>
      </c>
    </row>
    <row r="810" spans="1:9" x14ac:dyDescent="0.45">
      <c r="A810" s="4"/>
      <c r="B810" s="8"/>
      <c r="C810" s="5"/>
      <c r="D810" s="5"/>
      <c r="E810" s="5"/>
      <c r="F810" s="7"/>
      <c r="G810" s="7"/>
      <c r="H810" s="8"/>
      <c r="I810" s="12" t="str">
        <f>IFERROR(IF(COUNTA(A810:H810)=0,"",IF(OR(A810="",B810="",C810="",D810="",E810="",F810=""),"FALTA CAMPO",IF(COUNTIFS($A$6:$A$1005,A810,$B$6:$B$1005,B810)&gt;1,"DUPLICADO FECHA-SKU",IF(COUNTIF(CATALOGO!$A$6:$A$105,B810)&lt;&gt;1,"SKU NO VALIDO",IF(OR(A810&lt;DATE(1900,1,1),A810&gt;DATE(2100,12,31),A810&gt;CONFIG!$B$5,C810&lt;0,C810&gt;1000000,D810&lt;0,D810&gt;1000000,E810&lt;0,E810&gt;1000000,E810&gt;D810,ABS(F810)&gt;1000000000,ABS(G810)&gt;1000000000,ROUND(F810,2)&lt;&gt;F810,AND(G810&lt;&gt;"",ROUND(G810,2)&lt;&gt;G810)),"REVISAR VALOR","OK"))))),"REVISAR VALOR")</f>
        <v/>
      </c>
    </row>
    <row r="811" spans="1:9" x14ac:dyDescent="0.45">
      <c r="A811" s="4"/>
      <c r="B811" s="8"/>
      <c r="C811" s="5"/>
      <c r="D811" s="5"/>
      <c r="E811" s="5"/>
      <c r="F811" s="7"/>
      <c r="G811" s="7"/>
      <c r="H811" s="8"/>
      <c r="I811" s="12" t="str">
        <f>IFERROR(IF(COUNTA(A811:H811)=0,"",IF(OR(A811="",B811="",C811="",D811="",E811="",F811=""),"FALTA CAMPO",IF(COUNTIFS($A$6:$A$1005,A811,$B$6:$B$1005,B811)&gt;1,"DUPLICADO FECHA-SKU",IF(COUNTIF(CATALOGO!$A$6:$A$105,B811)&lt;&gt;1,"SKU NO VALIDO",IF(OR(A811&lt;DATE(1900,1,1),A811&gt;DATE(2100,12,31),A811&gt;CONFIG!$B$5,C811&lt;0,C811&gt;1000000,D811&lt;0,D811&gt;1000000,E811&lt;0,E811&gt;1000000,E811&gt;D811,ABS(F811)&gt;1000000000,ABS(G811)&gt;1000000000,ROUND(F811,2)&lt;&gt;F811,AND(G811&lt;&gt;"",ROUND(G811,2)&lt;&gt;G811)),"REVISAR VALOR","OK"))))),"REVISAR VALOR")</f>
        <v/>
      </c>
    </row>
    <row r="812" spans="1:9" x14ac:dyDescent="0.45">
      <c r="A812" s="4"/>
      <c r="B812" s="8"/>
      <c r="C812" s="5"/>
      <c r="D812" s="5"/>
      <c r="E812" s="5"/>
      <c r="F812" s="7"/>
      <c r="G812" s="7"/>
      <c r="H812" s="8"/>
      <c r="I812" s="12" t="str">
        <f>IFERROR(IF(COUNTA(A812:H812)=0,"",IF(OR(A812="",B812="",C812="",D812="",E812="",F812=""),"FALTA CAMPO",IF(COUNTIFS($A$6:$A$1005,A812,$B$6:$B$1005,B812)&gt;1,"DUPLICADO FECHA-SKU",IF(COUNTIF(CATALOGO!$A$6:$A$105,B812)&lt;&gt;1,"SKU NO VALIDO",IF(OR(A812&lt;DATE(1900,1,1),A812&gt;DATE(2100,12,31),A812&gt;CONFIG!$B$5,C812&lt;0,C812&gt;1000000,D812&lt;0,D812&gt;1000000,E812&lt;0,E812&gt;1000000,E812&gt;D812,ABS(F812)&gt;1000000000,ABS(G812)&gt;1000000000,ROUND(F812,2)&lt;&gt;F812,AND(G812&lt;&gt;"",ROUND(G812,2)&lt;&gt;G812)),"REVISAR VALOR","OK"))))),"REVISAR VALOR")</f>
        <v/>
      </c>
    </row>
    <row r="813" spans="1:9" x14ac:dyDescent="0.45">
      <c r="A813" s="4"/>
      <c r="B813" s="8"/>
      <c r="C813" s="5"/>
      <c r="D813" s="5"/>
      <c r="E813" s="5"/>
      <c r="F813" s="7"/>
      <c r="G813" s="7"/>
      <c r="H813" s="8"/>
      <c r="I813" s="12" t="str">
        <f>IFERROR(IF(COUNTA(A813:H813)=0,"",IF(OR(A813="",B813="",C813="",D813="",E813="",F813=""),"FALTA CAMPO",IF(COUNTIFS($A$6:$A$1005,A813,$B$6:$B$1005,B813)&gt;1,"DUPLICADO FECHA-SKU",IF(COUNTIF(CATALOGO!$A$6:$A$105,B813)&lt;&gt;1,"SKU NO VALIDO",IF(OR(A813&lt;DATE(1900,1,1),A813&gt;DATE(2100,12,31),A813&gt;CONFIG!$B$5,C813&lt;0,C813&gt;1000000,D813&lt;0,D813&gt;1000000,E813&lt;0,E813&gt;1000000,E813&gt;D813,ABS(F813)&gt;1000000000,ABS(G813)&gt;1000000000,ROUND(F813,2)&lt;&gt;F813,AND(G813&lt;&gt;"",ROUND(G813,2)&lt;&gt;G813)),"REVISAR VALOR","OK"))))),"REVISAR VALOR")</f>
        <v/>
      </c>
    </row>
    <row r="814" spans="1:9" x14ac:dyDescent="0.45">
      <c r="A814" s="4"/>
      <c r="B814" s="8"/>
      <c r="C814" s="5"/>
      <c r="D814" s="5"/>
      <c r="E814" s="5"/>
      <c r="F814" s="7"/>
      <c r="G814" s="7"/>
      <c r="H814" s="8"/>
      <c r="I814" s="12" t="str">
        <f>IFERROR(IF(COUNTA(A814:H814)=0,"",IF(OR(A814="",B814="",C814="",D814="",E814="",F814=""),"FALTA CAMPO",IF(COUNTIFS($A$6:$A$1005,A814,$B$6:$B$1005,B814)&gt;1,"DUPLICADO FECHA-SKU",IF(COUNTIF(CATALOGO!$A$6:$A$105,B814)&lt;&gt;1,"SKU NO VALIDO",IF(OR(A814&lt;DATE(1900,1,1),A814&gt;DATE(2100,12,31),A814&gt;CONFIG!$B$5,C814&lt;0,C814&gt;1000000,D814&lt;0,D814&gt;1000000,E814&lt;0,E814&gt;1000000,E814&gt;D814,ABS(F814)&gt;1000000000,ABS(G814)&gt;1000000000,ROUND(F814,2)&lt;&gt;F814,AND(G814&lt;&gt;"",ROUND(G814,2)&lt;&gt;G814)),"REVISAR VALOR","OK"))))),"REVISAR VALOR")</f>
        <v/>
      </c>
    </row>
    <row r="815" spans="1:9" x14ac:dyDescent="0.45">
      <c r="A815" s="4"/>
      <c r="B815" s="8"/>
      <c r="C815" s="5"/>
      <c r="D815" s="5"/>
      <c r="E815" s="5"/>
      <c r="F815" s="7"/>
      <c r="G815" s="7"/>
      <c r="H815" s="8"/>
      <c r="I815" s="12" t="str">
        <f>IFERROR(IF(COUNTA(A815:H815)=0,"",IF(OR(A815="",B815="",C815="",D815="",E815="",F815=""),"FALTA CAMPO",IF(COUNTIFS($A$6:$A$1005,A815,$B$6:$B$1005,B815)&gt;1,"DUPLICADO FECHA-SKU",IF(COUNTIF(CATALOGO!$A$6:$A$105,B815)&lt;&gt;1,"SKU NO VALIDO",IF(OR(A815&lt;DATE(1900,1,1),A815&gt;DATE(2100,12,31),A815&gt;CONFIG!$B$5,C815&lt;0,C815&gt;1000000,D815&lt;0,D815&gt;1000000,E815&lt;0,E815&gt;1000000,E815&gt;D815,ABS(F815)&gt;1000000000,ABS(G815)&gt;1000000000,ROUND(F815,2)&lt;&gt;F815,AND(G815&lt;&gt;"",ROUND(G815,2)&lt;&gt;G815)),"REVISAR VALOR","OK"))))),"REVISAR VALOR")</f>
        <v/>
      </c>
    </row>
    <row r="816" spans="1:9" x14ac:dyDescent="0.45">
      <c r="A816" s="4"/>
      <c r="B816" s="8"/>
      <c r="C816" s="5"/>
      <c r="D816" s="5"/>
      <c r="E816" s="5"/>
      <c r="F816" s="7"/>
      <c r="G816" s="7"/>
      <c r="H816" s="8"/>
      <c r="I816" s="12" t="str">
        <f>IFERROR(IF(COUNTA(A816:H816)=0,"",IF(OR(A816="",B816="",C816="",D816="",E816="",F816=""),"FALTA CAMPO",IF(COUNTIFS($A$6:$A$1005,A816,$B$6:$B$1005,B816)&gt;1,"DUPLICADO FECHA-SKU",IF(COUNTIF(CATALOGO!$A$6:$A$105,B816)&lt;&gt;1,"SKU NO VALIDO",IF(OR(A816&lt;DATE(1900,1,1),A816&gt;DATE(2100,12,31),A816&gt;CONFIG!$B$5,C816&lt;0,C816&gt;1000000,D816&lt;0,D816&gt;1000000,E816&lt;0,E816&gt;1000000,E816&gt;D816,ABS(F816)&gt;1000000000,ABS(G816)&gt;1000000000,ROUND(F816,2)&lt;&gt;F816,AND(G816&lt;&gt;"",ROUND(G816,2)&lt;&gt;G816)),"REVISAR VALOR","OK"))))),"REVISAR VALOR")</f>
        <v/>
      </c>
    </row>
    <row r="817" spans="1:9" x14ac:dyDescent="0.45">
      <c r="A817" s="4"/>
      <c r="B817" s="8"/>
      <c r="C817" s="5"/>
      <c r="D817" s="5"/>
      <c r="E817" s="5"/>
      <c r="F817" s="7"/>
      <c r="G817" s="7"/>
      <c r="H817" s="8"/>
      <c r="I817" s="12" t="str">
        <f>IFERROR(IF(COUNTA(A817:H817)=0,"",IF(OR(A817="",B817="",C817="",D817="",E817="",F817=""),"FALTA CAMPO",IF(COUNTIFS($A$6:$A$1005,A817,$B$6:$B$1005,B817)&gt;1,"DUPLICADO FECHA-SKU",IF(COUNTIF(CATALOGO!$A$6:$A$105,B817)&lt;&gt;1,"SKU NO VALIDO",IF(OR(A817&lt;DATE(1900,1,1),A817&gt;DATE(2100,12,31),A817&gt;CONFIG!$B$5,C817&lt;0,C817&gt;1000000,D817&lt;0,D817&gt;1000000,E817&lt;0,E817&gt;1000000,E817&gt;D817,ABS(F817)&gt;1000000000,ABS(G817)&gt;1000000000,ROUND(F817,2)&lt;&gt;F817,AND(G817&lt;&gt;"",ROUND(G817,2)&lt;&gt;G817)),"REVISAR VALOR","OK"))))),"REVISAR VALOR")</f>
        <v/>
      </c>
    </row>
    <row r="818" spans="1:9" x14ac:dyDescent="0.45">
      <c r="A818" s="4"/>
      <c r="B818" s="8"/>
      <c r="C818" s="5"/>
      <c r="D818" s="5"/>
      <c r="E818" s="5"/>
      <c r="F818" s="7"/>
      <c r="G818" s="7"/>
      <c r="H818" s="8"/>
      <c r="I818" s="12" t="str">
        <f>IFERROR(IF(COUNTA(A818:H818)=0,"",IF(OR(A818="",B818="",C818="",D818="",E818="",F818=""),"FALTA CAMPO",IF(COUNTIFS($A$6:$A$1005,A818,$B$6:$B$1005,B818)&gt;1,"DUPLICADO FECHA-SKU",IF(COUNTIF(CATALOGO!$A$6:$A$105,B818)&lt;&gt;1,"SKU NO VALIDO",IF(OR(A818&lt;DATE(1900,1,1),A818&gt;DATE(2100,12,31),A818&gt;CONFIG!$B$5,C818&lt;0,C818&gt;1000000,D818&lt;0,D818&gt;1000000,E818&lt;0,E818&gt;1000000,E818&gt;D818,ABS(F818)&gt;1000000000,ABS(G818)&gt;1000000000,ROUND(F818,2)&lt;&gt;F818,AND(G818&lt;&gt;"",ROUND(G818,2)&lt;&gt;G818)),"REVISAR VALOR","OK"))))),"REVISAR VALOR")</f>
        <v/>
      </c>
    </row>
    <row r="819" spans="1:9" x14ac:dyDescent="0.45">
      <c r="A819" s="4"/>
      <c r="B819" s="8"/>
      <c r="C819" s="5"/>
      <c r="D819" s="5"/>
      <c r="E819" s="5"/>
      <c r="F819" s="7"/>
      <c r="G819" s="7"/>
      <c r="H819" s="8"/>
      <c r="I819" s="12" t="str">
        <f>IFERROR(IF(COUNTA(A819:H819)=0,"",IF(OR(A819="",B819="",C819="",D819="",E819="",F819=""),"FALTA CAMPO",IF(COUNTIFS($A$6:$A$1005,A819,$B$6:$B$1005,B819)&gt;1,"DUPLICADO FECHA-SKU",IF(COUNTIF(CATALOGO!$A$6:$A$105,B819)&lt;&gt;1,"SKU NO VALIDO",IF(OR(A819&lt;DATE(1900,1,1),A819&gt;DATE(2100,12,31),A819&gt;CONFIG!$B$5,C819&lt;0,C819&gt;1000000,D819&lt;0,D819&gt;1000000,E819&lt;0,E819&gt;1000000,E819&gt;D819,ABS(F819)&gt;1000000000,ABS(G819)&gt;1000000000,ROUND(F819,2)&lt;&gt;F819,AND(G819&lt;&gt;"",ROUND(G819,2)&lt;&gt;G819)),"REVISAR VALOR","OK"))))),"REVISAR VALOR")</f>
        <v/>
      </c>
    </row>
    <row r="820" spans="1:9" x14ac:dyDescent="0.45">
      <c r="A820" s="4"/>
      <c r="B820" s="8"/>
      <c r="C820" s="5"/>
      <c r="D820" s="5"/>
      <c r="E820" s="5"/>
      <c r="F820" s="7"/>
      <c r="G820" s="7"/>
      <c r="H820" s="8"/>
      <c r="I820" s="12" t="str">
        <f>IFERROR(IF(COUNTA(A820:H820)=0,"",IF(OR(A820="",B820="",C820="",D820="",E820="",F820=""),"FALTA CAMPO",IF(COUNTIFS($A$6:$A$1005,A820,$B$6:$B$1005,B820)&gt;1,"DUPLICADO FECHA-SKU",IF(COUNTIF(CATALOGO!$A$6:$A$105,B820)&lt;&gt;1,"SKU NO VALIDO",IF(OR(A820&lt;DATE(1900,1,1),A820&gt;DATE(2100,12,31),A820&gt;CONFIG!$B$5,C820&lt;0,C820&gt;1000000,D820&lt;0,D820&gt;1000000,E820&lt;0,E820&gt;1000000,E820&gt;D820,ABS(F820)&gt;1000000000,ABS(G820)&gt;1000000000,ROUND(F820,2)&lt;&gt;F820,AND(G820&lt;&gt;"",ROUND(G820,2)&lt;&gt;G820)),"REVISAR VALOR","OK"))))),"REVISAR VALOR")</f>
        <v/>
      </c>
    </row>
    <row r="821" spans="1:9" x14ac:dyDescent="0.45">
      <c r="A821" s="4"/>
      <c r="B821" s="8"/>
      <c r="C821" s="5"/>
      <c r="D821" s="5"/>
      <c r="E821" s="5"/>
      <c r="F821" s="7"/>
      <c r="G821" s="7"/>
      <c r="H821" s="8"/>
      <c r="I821" s="12" t="str">
        <f>IFERROR(IF(COUNTA(A821:H821)=0,"",IF(OR(A821="",B821="",C821="",D821="",E821="",F821=""),"FALTA CAMPO",IF(COUNTIFS($A$6:$A$1005,A821,$B$6:$B$1005,B821)&gt;1,"DUPLICADO FECHA-SKU",IF(COUNTIF(CATALOGO!$A$6:$A$105,B821)&lt;&gt;1,"SKU NO VALIDO",IF(OR(A821&lt;DATE(1900,1,1),A821&gt;DATE(2100,12,31),A821&gt;CONFIG!$B$5,C821&lt;0,C821&gt;1000000,D821&lt;0,D821&gt;1000000,E821&lt;0,E821&gt;1000000,E821&gt;D821,ABS(F821)&gt;1000000000,ABS(G821)&gt;1000000000,ROUND(F821,2)&lt;&gt;F821,AND(G821&lt;&gt;"",ROUND(G821,2)&lt;&gt;G821)),"REVISAR VALOR","OK"))))),"REVISAR VALOR")</f>
        <v/>
      </c>
    </row>
    <row r="822" spans="1:9" x14ac:dyDescent="0.45">
      <c r="A822" s="4"/>
      <c r="B822" s="8"/>
      <c r="C822" s="5"/>
      <c r="D822" s="5"/>
      <c r="E822" s="5"/>
      <c r="F822" s="7"/>
      <c r="G822" s="7"/>
      <c r="H822" s="8"/>
      <c r="I822" s="12" t="str">
        <f>IFERROR(IF(COUNTA(A822:H822)=0,"",IF(OR(A822="",B822="",C822="",D822="",E822="",F822=""),"FALTA CAMPO",IF(COUNTIFS($A$6:$A$1005,A822,$B$6:$B$1005,B822)&gt;1,"DUPLICADO FECHA-SKU",IF(COUNTIF(CATALOGO!$A$6:$A$105,B822)&lt;&gt;1,"SKU NO VALIDO",IF(OR(A822&lt;DATE(1900,1,1),A822&gt;DATE(2100,12,31),A822&gt;CONFIG!$B$5,C822&lt;0,C822&gt;1000000,D822&lt;0,D822&gt;1000000,E822&lt;0,E822&gt;1000000,E822&gt;D822,ABS(F822)&gt;1000000000,ABS(G822)&gt;1000000000,ROUND(F822,2)&lt;&gt;F822,AND(G822&lt;&gt;"",ROUND(G822,2)&lt;&gt;G822)),"REVISAR VALOR","OK"))))),"REVISAR VALOR")</f>
        <v/>
      </c>
    </row>
    <row r="823" spans="1:9" x14ac:dyDescent="0.45">
      <c r="A823" s="4"/>
      <c r="B823" s="8"/>
      <c r="C823" s="5"/>
      <c r="D823" s="5"/>
      <c r="E823" s="5"/>
      <c r="F823" s="7"/>
      <c r="G823" s="7"/>
      <c r="H823" s="8"/>
      <c r="I823" s="12" t="str">
        <f>IFERROR(IF(COUNTA(A823:H823)=0,"",IF(OR(A823="",B823="",C823="",D823="",E823="",F823=""),"FALTA CAMPO",IF(COUNTIFS($A$6:$A$1005,A823,$B$6:$B$1005,B823)&gt;1,"DUPLICADO FECHA-SKU",IF(COUNTIF(CATALOGO!$A$6:$A$105,B823)&lt;&gt;1,"SKU NO VALIDO",IF(OR(A823&lt;DATE(1900,1,1),A823&gt;DATE(2100,12,31),A823&gt;CONFIG!$B$5,C823&lt;0,C823&gt;1000000,D823&lt;0,D823&gt;1000000,E823&lt;0,E823&gt;1000000,E823&gt;D823,ABS(F823)&gt;1000000000,ABS(G823)&gt;1000000000,ROUND(F823,2)&lt;&gt;F823,AND(G823&lt;&gt;"",ROUND(G823,2)&lt;&gt;G823)),"REVISAR VALOR","OK"))))),"REVISAR VALOR")</f>
        <v/>
      </c>
    </row>
    <row r="824" spans="1:9" x14ac:dyDescent="0.45">
      <c r="A824" s="4"/>
      <c r="B824" s="8"/>
      <c r="C824" s="5"/>
      <c r="D824" s="5"/>
      <c r="E824" s="5"/>
      <c r="F824" s="7"/>
      <c r="G824" s="7"/>
      <c r="H824" s="8"/>
      <c r="I824" s="12" t="str">
        <f>IFERROR(IF(COUNTA(A824:H824)=0,"",IF(OR(A824="",B824="",C824="",D824="",E824="",F824=""),"FALTA CAMPO",IF(COUNTIFS($A$6:$A$1005,A824,$B$6:$B$1005,B824)&gt;1,"DUPLICADO FECHA-SKU",IF(COUNTIF(CATALOGO!$A$6:$A$105,B824)&lt;&gt;1,"SKU NO VALIDO",IF(OR(A824&lt;DATE(1900,1,1),A824&gt;DATE(2100,12,31),A824&gt;CONFIG!$B$5,C824&lt;0,C824&gt;1000000,D824&lt;0,D824&gt;1000000,E824&lt;0,E824&gt;1000000,E824&gt;D824,ABS(F824)&gt;1000000000,ABS(G824)&gt;1000000000,ROUND(F824,2)&lt;&gt;F824,AND(G824&lt;&gt;"",ROUND(G824,2)&lt;&gt;G824)),"REVISAR VALOR","OK"))))),"REVISAR VALOR")</f>
        <v/>
      </c>
    </row>
    <row r="825" spans="1:9" x14ac:dyDescent="0.45">
      <c r="A825" s="4"/>
      <c r="B825" s="8"/>
      <c r="C825" s="5"/>
      <c r="D825" s="5"/>
      <c r="E825" s="5"/>
      <c r="F825" s="7"/>
      <c r="G825" s="7"/>
      <c r="H825" s="8"/>
      <c r="I825" s="12" t="str">
        <f>IFERROR(IF(COUNTA(A825:H825)=0,"",IF(OR(A825="",B825="",C825="",D825="",E825="",F825=""),"FALTA CAMPO",IF(COUNTIFS($A$6:$A$1005,A825,$B$6:$B$1005,B825)&gt;1,"DUPLICADO FECHA-SKU",IF(COUNTIF(CATALOGO!$A$6:$A$105,B825)&lt;&gt;1,"SKU NO VALIDO",IF(OR(A825&lt;DATE(1900,1,1),A825&gt;DATE(2100,12,31),A825&gt;CONFIG!$B$5,C825&lt;0,C825&gt;1000000,D825&lt;0,D825&gt;1000000,E825&lt;0,E825&gt;1000000,E825&gt;D825,ABS(F825)&gt;1000000000,ABS(G825)&gt;1000000000,ROUND(F825,2)&lt;&gt;F825,AND(G825&lt;&gt;"",ROUND(G825,2)&lt;&gt;G825)),"REVISAR VALOR","OK"))))),"REVISAR VALOR")</f>
        <v/>
      </c>
    </row>
    <row r="826" spans="1:9" x14ac:dyDescent="0.45">
      <c r="A826" s="4"/>
      <c r="B826" s="8"/>
      <c r="C826" s="5"/>
      <c r="D826" s="5"/>
      <c r="E826" s="5"/>
      <c r="F826" s="7"/>
      <c r="G826" s="7"/>
      <c r="H826" s="8"/>
      <c r="I826" s="12" t="str">
        <f>IFERROR(IF(COUNTA(A826:H826)=0,"",IF(OR(A826="",B826="",C826="",D826="",E826="",F826=""),"FALTA CAMPO",IF(COUNTIFS($A$6:$A$1005,A826,$B$6:$B$1005,B826)&gt;1,"DUPLICADO FECHA-SKU",IF(COUNTIF(CATALOGO!$A$6:$A$105,B826)&lt;&gt;1,"SKU NO VALIDO",IF(OR(A826&lt;DATE(1900,1,1),A826&gt;DATE(2100,12,31),A826&gt;CONFIG!$B$5,C826&lt;0,C826&gt;1000000,D826&lt;0,D826&gt;1000000,E826&lt;0,E826&gt;1000000,E826&gt;D826,ABS(F826)&gt;1000000000,ABS(G826)&gt;1000000000,ROUND(F826,2)&lt;&gt;F826,AND(G826&lt;&gt;"",ROUND(G826,2)&lt;&gt;G826)),"REVISAR VALOR","OK"))))),"REVISAR VALOR")</f>
        <v/>
      </c>
    </row>
    <row r="827" spans="1:9" x14ac:dyDescent="0.45">
      <c r="A827" s="4"/>
      <c r="B827" s="8"/>
      <c r="C827" s="5"/>
      <c r="D827" s="5"/>
      <c r="E827" s="5"/>
      <c r="F827" s="7"/>
      <c r="G827" s="7"/>
      <c r="H827" s="8"/>
      <c r="I827" s="12" t="str">
        <f>IFERROR(IF(COUNTA(A827:H827)=0,"",IF(OR(A827="",B827="",C827="",D827="",E827="",F827=""),"FALTA CAMPO",IF(COUNTIFS($A$6:$A$1005,A827,$B$6:$B$1005,B827)&gt;1,"DUPLICADO FECHA-SKU",IF(COUNTIF(CATALOGO!$A$6:$A$105,B827)&lt;&gt;1,"SKU NO VALIDO",IF(OR(A827&lt;DATE(1900,1,1),A827&gt;DATE(2100,12,31),A827&gt;CONFIG!$B$5,C827&lt;0,C827&gt;1000000,D827&lt;0,D827&gt;1000000,E827&lt;0,E827&gt;1000000,E827&gt;D827,ABS(F827)&gt;1000000000,ABS(G827)&gt;1000000000,ROUND(F827,2)&lt;&gt;F827,AND(G827&lt;&gt;"",ROUND(G827,2)&lt;&gt;G827)),"REVISAR VALOR","OK"))))),"REVISAR VALOR")</f>
        <v/>
      </c>
    </row>
    <row r="828" spans="1:9" x14ac:dyDescent="0.45">
      <c r="A828" s="4"/>
      <c r="B828" s="8"/>
      <c r="C828" s="5"/>
      <c r="D828" s="5"/>
      <c r="E828" s="5"/>
      <c r="F828" s="7"/>
      <c r="G828" s="7"/>
      <c r="H828" s="8"/>
      <c r="I828" s="12" t="str">
        <f>IFERROR(IF(COUNTA(A828:H828)=0,"",IF(OR(A828="",B828="",C828="",D828="",E828="",F828=""),"FALTA CAMPO",IF(COUNTIFS($A$6:$A$1005,A828,$B$6:$B$1005,B828)&gt;1,"DUPLICADO FECHA-SKU",IF(COUNTIF(CATALOGO!$A$6:$A$105,B828)&lt;&gt;1,"SKU NO VALIDO",IF(OR(A828&lt;DATE(1900,1,1),A828&gt;DATE(2100,12,31),A828&gt;CONFIG!$B$5,C828&lt;0,C828&gt;1000000,D828&lt;0,D828&gt;1000000,E828&lt;0,E828&gt;1000000,E828&gt;D828,ABS(F828)&gt;1000000000,ABS(G828)&gt;1000000000,ROUND(F828,2)&lt;&gt;F828,AND(G828&lt;&gt;"",ROUND(G828,2)&lt;&gt;G828)),"REVISAR VALOR","OK"))))),"REVISAR VALOR")</f>
        <v/>
      </c>
    </row>
    <row r="829" spans="1:9" x14ac:dyDescent="0.45">
      <c r="A829" s="4"/>
      <c r="B829" s="8"/>
      <c r="C829" s="5"/>
      <c r="D829" s="5"/>
      <c r="E829" s="5"/>
      <c r="F829" s="7"/>
      <c r="G829" s="7"/>
      <c r="H829" s="8"/>
      <c r="I829" s="12" t="str">
        <f>IFERROR(IF(COUNTA(A829:H829)=0,"",IF(OR(A829="",B829="",C829="",D829="",E829="",F829=""),"FALTA CAMPO",IF(COUNTIFS($A$6:$A$1005,A829,$B$6:$B$1005,B829)&gt;1,"DUPLICADO FECHA-SKU",IF(COUNTIF(CATALOGO!$A$6:$A$105,B829)&lt;&gt;1,"SKU NO VALIDO",IF(OR(A829&lt;DATE(1900,1,1),A829&gt;DATE(2100,12,31),A829&gt;CONFIG!$B$5,C829&lt;0,C829&gt;1000000,D829&lt;0,D829&gt;1000000,E829&lt;0,E829&gt;1000000,E829&gt;D829,ABS(F829)&gt;1000000000,ABS(G829)&gt;1000000000,ROUND(F829,2)&lt;&gt;F829,AND(G829&lt;&gt;"",ROUND(G829,2)&lt;&gt;G829)),"REVISAR VALOR","OK"))))),"REVISAR VALOR")</f>
        <v/>
      </c>
    </row>
    <row r="830" spans="1:9" x14ac:dyDescent="0.45">
      <c r="A830" s="4"/>
      <c r="B830" s="8"/>
      <c r="C830" s="5"/>
      <c r="D830" s="5"/>
      <c r="E830" s="5"/>
      <c r="F830" s="7"/>
      <c r="G830" s="7"/>
      <c r="H830" s="8"/>
      <c r="I830" s="12" t="str">
        <f>IFERROR(IF(COUNTA(A830:H830)=0,"",IF(OR(A830="",B830="",C830="",D830="",E830="",F830=""),"FALTA CAMPO",IF(COUNTIFS($A$6:$A$1005,A830,$B$6:$B$1005,B830)&gt;1,"DUPLICADO FECHA-SKU",IF(COUNTIF(CATALOGO!$A$6:$A$105,B830)&lt;&gt;1,"SKU NO VALIDO",IF(OR(A830&lt;DATE(1900,1,1),A830&gt;DATE(2100,12,31),A830&gt;CONFIG!$B$5,C830&lt;0,C830&gt;1000000,D830&lt;0,D830&gt;1000000,E830&lt;0,E830&gt;1000000,E830&gt;D830,ABS(F830)&gt;1000000000,ABS(G830)&gt;1000000000,ROUND(F830,2)&lt;&gt;F830,AND(G830&lt;&gt;"",ROUND(G830,2)&lt;&gt;G830)),"REVISAR VALOR","OK"))))),"REVISAR VALOR")</f>
        <v/>
      </c>
    </row>
    <row r="831" spans="1:9" x14ac:dyDescent="0.45">
      <c r="A831" s="4"/>
      <c r="B831" s="8"/>
      <c r="C831" s="5"/>
      <c r="D831" s="5"/>
      <c r="E831" s="5"/>
      <c r="F831" s="7"/>
      <c r="G831" s="7"/>
      <c r="H831" s="8"/>
      <c r="I831" s="12" t="str">
        <f>IFERROR(IF(COUNTA(A831:H831)=0,"",IF(OR(A831="",B831="",C831="",D831="",E831="",F831=""),"FALTA CAMPO",IF(COUNTIFS($A$6:$A$1005,A831,$B$6:$B$1005,B831)&gt;1,"DUPLICADO FECHA-SKU",IF(COUNTIF(CATALOGO!$A$6:$A$105,B831)&lt;&gt;1,"SKU NO VALIDO",IF(OR(A831&lt;DATE(1900,1,1),A831&gt;DATE(2100,12,31),A831&gt;CONFIG!$B$5,C831&lt;0,C831&gt;1000000,D831&lt;0,D831&gt;1000000,E831&lt;0,E831&gt;1000000,E831&gt;D831,ABS(F831)&gt;1000000000,ABS(G831)&gt;1000000000,ROUND(F831,2)&lt;&gt;F831,AND(G831&lt;&gt;"",ROUND(G831,2)&lt;&gt;G831)),"REVISAR VALOR","OK"))))),"REVISAR VALOR")</f>
        <v/>
      </c>
    </row>
    <row r="832" spans="1:9" x14ac:dyDescent="0.45">
      <c r="A832" s="4"/>
      <c r="B832" s="8"/>
      <c r="C832" s="5"/>
      <c r="D832" s="5"/>
      <c r="E832" s="5"/>
      <c r="F832" s="7"/>
      <c r="G832" s="7"/>
      <c r="H832" s="8"/>
      <c r="I832" s="12" t="str">
        <f>IFERROR(IF(COUNTA(A832:H832)=0,"",IF(OR(A832="",B832="",C832="",D832="",E832="",F832=""),"FALTA CAMPO",IF(COUNTIFS($A$6:$A$1005,A832,$B$6:$B$1005,B832)&gt;1,"DUPLICADO FECHA-SKU",IF(COUNTIF(CATALOGO!$A$6:$A$105,B832)&lt;&gt;1,"SKU NO VALIDO",IF(OR(A832&lt;DATE(1900,1,1),A832&gt;DATE(2100,12,31),A832&gt;CONFIG!$B$5,C832&lt;0,C832&gt;1000000,D832&lt;0,D832&gt;1000000,E832&lt;0,E832&gt;1000000,E832&gt;D832,ABS(F832)&gt;1000000000,ABS(G832)&gt;1000000000,ROUND(F832,2)&lt;&gt;F832,AND(G832&lt;&gt;"",ROUND(G832,2)&lt;&gt;G832)),"REVISAR VALOR","OK"))))),"REVISAR VALOR")</f>
        <v/>
      </c>
    </row>
    <row r="833" spans="1:9" x14ac:dyDescent="0.45">
      <c r="A833" s="4"/>
      <c r="B833" s="8"/>
      <c r="C833" s="5"/>
      <c r="D833" s="5"/>
      <c r="E833" s="5"/>
      <c r="F833" s="7"/>
      <c r="G833" s="7"/>
      <c r="H833" s="8"/>
      <c r="I833" s="12" t="str">
        <f>IFERROR(IF(COUNTA(A833:H833)=0,"",IF(OR(A833="",B833="",C833="",D833="",E833="",F833=""),"FALTA CAMPO",IF(COUNTIFS($A$6:$A$1005,A833,$B$6:$B$1005,B833)&gt;1,"DUPLICADO FECHA-SKU",IF(COUNTIF(CATALOGO!$A$6:$A$105,B833)&lt;&gt;1,"SKU NO VALIDO",IF(OR(A833&lt;DATE(1900,1,1),A833&gt;DATE(2100,12,31),A833&gt;CONFIG!$B$5,C833&lt;0,C833&gt;1000000,D833&lt;0,D833&gt;1000000,E833&lt;0,E833&gt;1000000,E833&gt;D833,ABS(F833)&gt;1000000000,ABS(G833)&gt;1000000000,ROUND(F833,2)&lt;&gt;F833,AND(G833&lt;&gt;"",ROUND(G833,2)&lt;&gt;G833)),"REVISAR VALOR","OK"))))),"REVISAR VALOR")</f>
        <v/>
      </c>
    </row>
    <row r="834" spans="1:9" x14ac:dyDescent="0.45">
      <c r="A834" s="4"/>
      <c r="B834" s="8"/>
      <c r="C834" s="5"/>
      <c r="D834" s="5"/>
      <c r="E834" s="5"/>
      <c r="F834" s="7"/>
      <c r="G834" s="7"/>
      <c r="H834" s="8"/>
      <c r="I834" s="12" t="str">
        <f>IFERROR(IF(COUNTA(A834:H834)=0,"",IF(OR(A834="",B834="",C834="",D834="",E834="",F834=""),"FALTA CAMPO",IF(COUNTIFS($A$6:$A$1005,A834,$B$6:$B$1005,B834)&gt;1,"DUPLICADO FECHA-SKU",IF(COUNTIF(CATALOGO!$A$6:$A$105,B834)&lt;&gt;1,"SKU NO VALIDO",IF(OR(A834&lt;DATE(1900,1,1),A834&gt;DATE(2100,12,31),A834&gt;CONFIG!$B$5,C834&lt;0,C834&gt;1000000,D834&lt;0,D834&gt;1000000,E834&lt;0,E834&gt;1000000,E834&gt;D834,ABS(F834)&gt;1000000000,ABS(G834)&gt;1000000000,ROUND(F834,2)&lt;&gt;F834,AND(G834&lt;&gt;"",ROUND(G834,2)&lt;&gt;G834)),"REVISAR VALOR","OK"))))),"REVISAR VALOR")</f>
        <v/>
      </c>
    </row>
    <row r="835" spans="1:9" x14ac:dyDescent="0.45">
      <c r="A835" s="4"/>
      <c r="B835" s="8"/>
      <c r="C835" s="5"/>
      <c r="D835" s="5"/>
      <c r="E835" s="5"/>
      <c r="F835" s="7"/>
      <c r="G835" s="7"/>
      <c r="H835" s="8"/>
      <c r="I835" s="12" t="str">
        <f>IFERROR(IF(COUNTA(A835:H835)=0,"",IF(OR(A835="",B835="",C835="",D835="",E835="",F835=""),"FALTA CAMPO",IF(COUNTIFS($A$6:$A$1005,A835,$B$6:$B$1005,B835)&gt;1,"DUPLICADO FECHA-SKU",IF(COUNTIF(CATALOGO!$A$6:$A$105,B835)&lt;&gt;1,"SKU NO VALIDO",IF(OR(A835&lt;DATE(1900,1,1),A835&gt;DATE(2100,12,31),A835&gt;CONFIG!$B$5,C835&lt;0,C835&gt;1000000,D835&lt;0,D835&gt;1000000,E835&lt;0,E835&gt;1000000,E835&gt;D835,ABS(F835)&gt;1000000000,ABS(G835)&gt;1000000000,ROUND(F835,2)&lt;&gt;F835,AND(G835&lt;&gt;"",ROUND(G835,2)&lt;&gt;G835)),"REVISAR VALOR","OK"))))),"REVISAR VALOR")</f>
        <v/>
      </c>
    </row>
    <row r="836" spans="1:9" x14ac:dyDescent="0.45">
      <c r="A836" s="4"/>
      <c r="B836" s="8"/>
      <c r="C836" s="5"/>
      <c r="D836" s="5"/>
      <c r="E836" s="5"/>
      <c r="F836" s="7"/>
      <c r="G836" s="7"/>
      <c r="H836" s="8"/>
      <c r="I836" s="12" t="str">
        <f>IFERROR(IF(COUNTA(A836:H836)=0,"",IF(OR(A836="",B836="",C836="",D836="",E836="",F836=""),"FALTA CAMPO",IF(COUNTIFS($A$6:$A$1005,A836,$B$6:$B$1005,B836)&gt;1,"DUPLICADO FECHA-SKU",IF(COUNTIF(CATALOGO!$A$6:$A$105,B836)&lt;&gt;1,"SKU NO VALIDO",IF(OR(A836&lt;DATE(1900,1,1),A836&gt;DATE(2100,12,31),A836&gt;CONFIG!$B$5,C836&lt;0,C836&gt;1000000,D836&lt;0,D836&gt;1000000,E836&lt;0,E836&gt;1000000,E836&gt;D836,ABS(F836)&gt;1000000000,ABS(G836)&gt;1000000000,ROUND(F836,2)&lt;&gt;F836,AND(G836&lt;&gt;"",ROUND(G836,2)&lt;&gt;G836)),"REVISAR VALOR","OK"))))),"REVISAR VALOR")</f>
        <v/>
      </c>
    </row>
    <row r="837" spans="1:9" x14ac:dyDescent="0.45">
      <c r="A837" s="4"/>
      <c r="B837" s="8"/>
      <c r="C837" s="5"/>
      <c r="D837" s="5"/>
      <c r="E837" s="5"/>
      <c r="F837" s="7"/>
      <c r="G837" s="7"/>
      <c r="H837" s="8"/>
      <c r="I837" s="12" t="str">
        <f>IFERROR(IF(COUNTA(A837:H837)=0,"",IF(OR(A837="",B837="",C837="",D837="",E837="",F837=""),"FALTA CAMPO",IF(COUNTIFS($A$6:$A$1005,A837,$B$6:$B$1005,B837)&gt;1,"DUPLICADO FECHA-SKU",IF(COUNTIF(CATALOGO!$A$6:$A$105,B837)&lt;&gt;1,"SKU NO VALIDO",IF(OR(A837&lt;DATE(1900,1,1),A837&gt;DATE(2100,12,31),A837&gt;CONFIG!$B$5,C837&lt;0,C837&gt;1000000,D837&lt;0,D837&gt;1000000,E837&lt;0,E837&gt;1000000,E837&gt;D837,ABS(F837)&gt;1000000000,ABS(G837)&gt;1000000000,ROUND(F837,2)&lt;&gt;F837,AND(G837&lt;&gt;"",ROUND(G837,2)&lt;&gt;G837)),"REVISAR VALOR","OK"))))),"REVISAR VALOR")</f>
        <v/>
      </c>
    </row>
    <row r="838" spans="1:9" x14ac:dyDescent="0.45">
      <c r="A838" s="4"/>
      <c r="B838" s="8"/>
      <c r="C838" s="5"/>
      <c r="D838" s="5"/>
      <c r="E838" s="5"/>
      <c r="F838" s="7"/>
      <c r="G838" s="7"/>
      <c r="H838" s="8"/>
      <c r="I838" s="12" t="str">
        <f>IFERROR(IF(COUNTA(A838:H838)=0,"",IF(OR(A838="",B838="",C838="",D838="",E838="",F838=""),"FALTA CAMPO",IF(COUNTIFS($A$6:$A$1005,A838,$B$6:$B$1005,B838)&gt;1,"DUPLICADO FECHA-SKU",IF(COUNTIF(CATALOGO!$A$6:$A$105,B838)&lt;&gt;1,"SKU NO VALIDO",IF(OR(A838&lt;DATE(1900,1,1),A838&gt;DATE(2100,12,31),A838&gt;CONFIG!$B$5,C838&lt;0,C838&gt;1000000,D838&lt;0,D838&gt;1000000,E838&lt;0,E838&gt;1000000,E838&gt;D838,ABS(F838)&gt;1000000000,ABS(G838)&gt;1000000000,ROUND(F838,2)&lt;&gt;F838,AND(G838&lt;&gt;"",ROUND(G838,2)&lt;&gt;G838)),"REVISAR VALOR","OK"))))),"REVISAR VALOR")</f>
        <v/>
      </c>
    </row>
    <row r="839" spans="1:9" x14ac:dyDescent="0.45">
      <c r="A839" s="4"/>
      <c r="B839" s="8"/>
      <c r="C839" s="5"/>
      <c r="D839" s="5"/>
      <c r="E839" s="5"/>
      <c r="F839" s="7"/>
      <c r="G839" s="7"/>
      <c r="H839" s="8"/>
      <c r="I839" s="12" t="str">
        <f>IFERROR(IF(COUNTA(A839:H839)=0,"",IF(OR(A839="",B839="",C839="",D839="",E839="",F839=""),"FALTA CAMPO",IF(COUNTIFS($A$6:$A$1005,A839,$B$6:$B$1005,B839)&gt;1,"DUPLICADO FECHA-SKU",IF(COUNTIF(CATALOGO!$A$6:$A$105,B839)&lt;&gt;1,"SKU NO VALIDO",IF(OR(A839&lt;DATE(1900,1,1),A839&gt;DATE(2100,12,31),A839&gt;CONFIG!$B$5,C839&lt;0,C839&gt;1000000,D839&lt;0,D839&gt;1000000,E839&lt;0,E839&gt;1000000,E839&gt;D839,ABS(F839)&gt;1000000000,ABS(G839)&gt;1000000000,ROUND(F839,2)&lt;&gt;F839,AND(G839&lt;&gt;"",ROUND(G839,2)&lt;&gt;G839)),"REVISAR VALOR","OK"))))),"REVISAR VALOR")</f>
        <v/>
      </c>
    </row>
    <row r="840" spans="1:9" x14ac:dyDescent="0.45">
      <c r="A840" s="4"/>
      <c r="B840" s="8"/>
      <c r="C840" s="5"/>
      <c r="D840" s="5"/>
      <c r="E840" s="5"/>
      <c r="F840" s="7"/>
      <c r="G840" s="7"/>
      <c r="H840" s="8"/>
      <c r="I840" s="12" t="str">
        <f>IFERROR(IF(COUNTA(A840:H840)=0,"",IF(OR(A840="",B840="",C840="",D840="",E840="",F840=""),"FALTA CAMPO",IF(COUNTIFS($A$6:$A$1005,A840,$B$6:$B$1005,B840)&gt;1,"DUPLICADO FECHA-SKU",IF(COUNTIF(CATALOGO!$A$6:$A$105,B840)&lt;&gt;1,"SKU NO VALIDO",IF(OR(A840&lt;DATE(1900,1,1),A840&gt;DATE(2100,12,31),A840&gt;CONFIG!$B$5,C840&lt;0,C840&gt;1000000,D840&lt;0,D840&gt;1000000,E840&lt;0,E840&gt;1000000,E840&gt;D840,ABS(F840)&gt;1000000000,ABS(G840)&gt;1000000000,ROUND(F840,2)&lt;&gt;F840,AND(G840&lt;&gt;"",ROUND(G840,2)&lt;&gt;G840)),"REVISAR VALOR","OK"))))),"REVISAR VALOR")</f>
        <v/>
      </c>
    </row>
    <row r="841" spans="1:9" x14ac:dyDescent="0.45">
      <c r="A841" s="4"/>
      <c r="B841" s="8"/>
      <c r="C841" s="5"/>
      <c r="D841" s="5"/>
      <c r="E841" s="5"/>
      <c r="F841" s="7"/>
      <c r="G841" s="7"/>
      <c r="H841" s="8"/>
      <c r="I841" s="12" t="str">
        <f>IFERROR(IF(COUNTA(A841:H841)=0,"",IF(OR(A841="",B841="",C841="",D841="",E841="",F841=""),"FALTA CAMPO",IF(COUNTIFS($A$6:$A$1005,A841,$B$6:$B$1005,B841)&gt;1,"DUPLICADO FECHA-SKU",IF(COUNTIF(CATALOGO!$A$6:$A$105,B841)&lt;&gt;1,"SKU NO VALIDO",IF(OR(A841&lt;DATE(1900,1,1),A841&gt;DATE(2100,12,31),A841&gt;CONFIG!$B$5,C841&lt;0,C841&gt;1000000,D841&lt;0,D841&gt;1000000,E841&lt;0,E841&gt;1000000,E841&gt;D841,ABS(F841)&gt;1000000000,ABS(G841)&gt;1000000000,ROUND(F841,2)&lt;&gt;F841,AND(G841&lt;&gt;"",ROUND(G841,2)&lt;&gt;G841)),"REVISAR VALOR","OK"))))),"REVISAR VALOR")</f>
        <v/>
      </c>
    </row>
    <row r="842" spans="1:9" x14ac:dyDescent="0.45">
      <c r="A842" s="4"/>
      <c r="B842" s="8"/>
      <c r="C842" s="5"/>
      <c r="D842" s="5"/>
      <c r="E842" s="5"/>
      <c r="F842" s="7"/>
      <c r="G842" s="7"/>
      <c r="H842" s="8"/>
      <c r="I842" s="12" t="str">
        <f>IFERROR(IF(COUNTA(A842:H842)=0,"",IF(OR(A842="",B842="",C842="",D842="",E842="",F842=""),"FALTA CAMPO",IF(COUNTIFS($A$6:$A$1005,A842,$B$6:$B$1005,B842)&gt;1,"DUPLICADO FECHA-SKU",IF(COUNTIF(CATALOGO!$A$6:$A$105,B842)&lt;&gt;1,"SKU NO VALIDO",IF(OR(A842&lt;DATE(1900,1,1),A842&gt;DATE(2100,12,31),A842&gt;CONFIG!$B$5,C842&lt;0,C842&gt;1000000,D842&lt;0,D842&gt;1000000,E842&lt;0,E842&gt;1000000,E842&gt;D842,ABS(F842)&gt;1000000000,ABS(G842)&gt;1000000000,ROUND(F842,2)&lt;&gt;F842,AND(G842&lt;&gt;"",ROUND(G842,2)&lt;&gt;G842)),"REVISAR VALOR","OK"))))),"REVISAR VALOR")</f>
        <v/>
      </c>
    </row>
    <row r="843" spans="1:9" x14ac:dyDescent="0.45">
      <c r="A843" s="4"/>
      <c r="B843" s="8"/>
      <c r="C843" s="5"/>
      <c r="D843" s="5"/>
      <c r="E843" s="5"/>
      <c r="F843" s="7"/>
      <c r="G843" s="7"/>
      <c r="H843" s="8"/>
      <c r="I843" s="12" t="str">
        <f>IFERROR(IF(COUNTA(A843:H843)=0,"",IF(OR(A843="",B843="",C843="",D843="",E843="",F843=""),"FALTA CAMPO",IF(COUNTIFS($A$6:$A$1005,A843,$B$6:$B$1005,B843)&gt;1,"DUPLICADO FECHA-SKU",IF(COUNTIF(CATALOGO!$A$6:$A$105,B843)&lt;&gt;1,"SKU NO VALIDO",IF(OR(A843&lt;DATE(1900,1,1),A843&gt;DATE(2100,12,31),A843&gt;CONFIG!$B$5,C843&lt;0,C843&gt;1000000,D843&lt;0,D843&gt;1000000,E843&lt;0,E843&gt;1000000,E843&gt;D843,ABS(F843)&gt;1000000000,ABS(G843)&gt;1000000000,ROUND(F843,2)&lt;&gt;F843,AND(G843&lt;&gt;"",ROUND(G843,2)&lt;&gt;G843)),"REVISAR VALOR","OK"))))),"REVISAR VALOR")</f>
        <v/>
      </c>
    </row>
    <row r="844" spans="1:9" x14ac:dyDescent="0.45">
      <c r="A844" s="4"/>
      <c r="B844" s="8"/>
      <c r="C844" s="5"/>
      <c r="D844" s="5"/>
      <c r="E844" s="5"/>
      <c r="F844" s="7"/>
      <c r="G844" s="7"/>
      <c r="H844" s="8"/>
      <c r="I844" s="12" t="str">
        <f>IFERROR(IF(COUNTA(A844:H844)=0,"",IF(OR(A844="",B844="",C844="",D844="",E844="",F844=""),"FALTA CAMPO",IF(COUNTIFS($A$6:$A$1005,A844,$B$6:$B$1005,B844)&gt;1,"DUPLICADO FECHA-SKU",IF(COUNTIF(CATALOGO!$A$6:$A$105,B844)&lt;&gt;1,"SKU NO VALIDO",IF(OR(A844&lt;DATE(1900,1,1),A844&gt;DATE(2100,12,31),A844&gt;CONFIG!$B$5,C844&lt;0,C844&gt;1000000,D844&lt;0,D844&gt;1000000,E844&lt;0,E844&gt;1000000,E844&gt;D844,ABS(F844)&gt;1000000000,ABS(G844)&gt;1000000000,ROUND(F844,2)&lt;&gt;F844,AND(G844&lt;&gt;"",ROUND(G844,2)&lt;&gt;G844)),"REVISAR VALOR","OK"))))),"REVISAR VALOR")</f>
        <v/>
      </c>
    </row>
    <row r="845" spans="1:9" x14ac:dyDescent="0.45">
      <c r="A845" s="4"/>
      <c r="B845" s="8"/>
      <c r="C845" s="5"/>
      <c r="D845" s="5"/>
      <c r="E845" s="5"/>
      <c r="F845" s="7"/>
      <c r="G845" s="7"/>
      <c r="H845" s="8"/>
      <c r="I845" s="12" t="str">
        <f>IFERROR(IF(COUNTA(A845:H845)=0,"",IF(OR(A845="",B845="",C845="",D845="",E845="",F845=""),"FALTA CAMPO",IF(COUNTIFS($A$6:$A$1005,A845,$B$6:$B$1005,B845)&gt;1,"DUPLICADO FECHA-SKU",IF(COUNTIF(CATALOGO!$A$6:$A$105,B845)&lt;&gt;1,"SKU NO VALIDO",IF(OR(A845&lt;DATE(1900,1,1),A845&gt;DATE(2100,12,31),A845&gt;CONFIG!$B$5,C845&lt;0,C845&gt;1000000,D845&lt;0,D845&gt;1000000,E845&lt;0,E845&gt;1000000,E845&gt;D845,ABS(F845)&gt;1000000000,ABS(G845)&gt;1000000000,ROUND(F845,2)&lt;&gt;F845,AND(G845&lt;&gt;"",ROUND(G845,2)&lt;&gt;G845)),"REVISAR VALOR","OK"))))),"REVISAR VALOR")</f>
        <v/>
      </c>
    </row>
    <row r="846" spans="1:9" x14ac:dyDescent="0.45">
      <c r="A846" s="4"/>
      <c r="B846" s="8"/>
      <c r="C846" s="5"/>
      <c r="D846" s="5"/>
      <c r="E846" s="5"/>
      <c r="F846" s="7"/>
      <c r="G846" s="7"/>
      <c r="H846" s="8"/>
      <c r="I846" s="12" t="str">
        <f>IFERROR(IF(COUNTA(A846:H846)=0,"",IF(OR(A846="",B846="",C846="",D846="",E846="",F846=""),"FALTA CAMPO",IF(COUNTIFS($A$6:$A$1005,A846,$B$6:$B$1005,B846)&gt;1,"DUPLICADO FECHA-SKU",IF(COUNTIF(CATALOGO!$A$6:$A$105,B846)&lt;&gt;1,"SKU NO VALIDO",IF(OR(A846&lt;DATE(1900,1,1),A846&gt;DATE(2100,12,31),A846&gt;CONFIG!$B$5,C846&lt;0,C846&gt;1000000,D846&lt;0,D846&gt;1000000,E846&lt;0,E846&gt;1000000,E846&gt;D846,ABS(F846)&gt;1000000000,ABS(G846)&gt;1000000000,ROUND(F846,2)&lt;&gt;F846,AND(G846&lt;&gt;"",ROUND(G846,2)&lt;&gt;G846)),"REVISAR VALOR","OK"))))),"REVISAR VALOR")</f>
        <v/>
      </c>
    </row>
    <row r="847" spans="1:9" x14ac:dyDescent="0.45">
      <c r="A847" s="4"/>
      <c r="B847" s="8"/>
      <c r="C847" s="5"/>
      <c r="D847" s="5"/>
      <c r="E847" s="5"/>
      <c r="F847" s="7"/>
      <c r="G847" s="7"/>
      <c r="H847" s="8"/>
      <c r="I847" s="12" t="str">
        <f>IFERROR(IF(COUNTA(A847:H847)=0,"",IF(OR(A847="",B847="",C847="",D847="",E847="",F847=""),"FALTA CAMPO",IF(COUNTIFS($A$6:$A$1005,A847,$B$6:$B$1005,B847)&gt;1,"DUPLICADO FECHA-SKU",IF(COUNTIF(CATALOGO!$A$6:$A$105,B847)&lt;&gt;1,"SKU NO VALIDO",IF(OR(A847&lt;DATE(1900,1,1),A847&gt;DATE(2100,12,31),A847&gt;CONFIG!$B$5,C847&lt;0,C847&gt;1000000,D847&lt;0,D847&gt;1000000,E847&lt;0,E847&gt;1000000,E847&gt;D847,ABS(F847)&gt;1000000000,ABS(G847)&gt;1000000000,ROUND(F847,2)&lt;&gt;F847,AND(G847&lt;&gt;"",ROUND(G847,2)&lt;&gt;G847)),"REVISAR VALOR","OK"))))),"REVISAR VALOR")</f>
        <v/>
      </c>
    </row>
    <row r="848" spans="1:9" x14ac:dyDescent="0.45">
      <c r="A848" s="4"/>
      <c r="B848" s="8"/>
      <c r="C848" s="5"/>
      <c r="D848" s="5"/>
      <c r="E848" s="5"/>
      <c r="F848" s="7"/>
      <c r="G848" s="7"/>
      <c r="H848" s="8"/>
      <c r="I848" s="12" t="str">
        <f>IFERROR(IF(COUNTA(A848:H848)=0,"",IF(OR(A848="",B848="",C848="",D848="",E848="",F848=""),"FALTA CAMPO",IF(COUNTIFS($A$6:$A$1005,A848,$B$6:$B$1005,B848)&gt;1,"DUPLICADO FECHA-SKU",IF(COUNTIF(CATALOGO!$A$6:$A$105,B848)&lt;&gt;1,"SKU NO VALIDO",IF(OR(A848&lt;DATE(1900,1,1),A848&gt;DATE(2100,12,31),A848&gt;CONFIG!$B$5,C848&lt;0,C848&gt;1000000,D848&lt;0,D848&gt;1000000,E848&lt;0,E848&gt;1000000,E848&gt;D848,ABS(F848)&gt;1000000000,ABS(G848)&gt;1000000000,ROUND(F848,2)&lt;&gt;F848,AND(G848&lt;&gt;"",ROUND(G848,2)&lt;&gt;G848)),"REVISAR VALOR","OK"))))),"REVISAR VALOR")</f>
        <v/>
      </c>
    </row>
    <row r="849" spans="1:9" x14ac:dyDescent="0.45">
      <c r="A849" s="4"/>
      <c r="B849" s="8"/>
      <c r="C849" s="5"/>
      <c r="D849" s="5"/>
      <c r="E849" s="5"/>
      <c r="F849" s="7"/>
      <c r="G849" s="7"/>
      <c r="H849" s="8"/>
      <c r="I849" s="12" t="str">
        <f>IFERROR(IF(COUNTA(A849:H849)=0,"",IF(OR(A849="",B849="",C849="",D849="",E849="",F849=""),"FALTA CAMPO",IF(COUNTIFS($A$6:$A$1005,A849,$B$6:$B$1005,B849)&gt;1,"DUPLICADO FECHA-SKU",IF(COUNTIF(CATALOGO!$A$6:$A$105,B849)&lt;&gt;1,"SKU NO VALIDO",IF(OR(A849&lt;DATE(1900,1,1),A849&gt;DATE(2100,12,31),A849&gt;CONFIG!$B$5,C849&lt;0,C849&gt;1000000,D849&lt;0,D849&gt;1000000,E849&lt;0,E849&gt;1000000,E849&gt;D849,ABS(F849)&gt;1000000000,ABS(G849)&gt;1000000000,ROUND(F849,2)&lt;&gt;F849,AND(G849&lt;&gt;"",ROUND(G849,2)&lt;&gt;G849)),"REVISAR VALOR","OK"))))),"REVISAR VALOR")</f>
        <v/>
      </c>
    </row>
    <row r="850" spans="1:9" x14ac:dyDescent="0.45">
      <c r="A850" s="4"/>
      <c r="B850" s="8"/>
      <c r="C850" s="5"/>
      <c r="D850" s="5"/>
      <c r="E850" s="5"/>
      <c r="F850" s="7"/>
      <c r="G850" s="7"/>
      <c r="H850" s="8"/>
      <c r="I850" s="12" t="str">
        <f>IFERROR(IF(COUNTA(A850:H850)=0,"",IF(OR(A850="",B850="",C850="",D850="",E850="",F850=""),"FALTA CAMPO",IF(COUNTIFS($A$6:$A$1005,A850,$B$6:$B$1005,B850)&gt;1,"DUPLICADO FECHA-SKU",IF(COUNTIF(CATALOGO!$A$6:$A$105,B850)&lt;&gt;1,"SKU NO VALIDO",IF(OR(A850&lt;DATE(1900,1,1),A850&gt;DATE(2100,12,31),A850&gt;CONFIG!$B$5,C850&lt;0,C850&gt;1000000,D850&lt;0,D850&gt;1000000,E850&lt;0,E850&gt;1000000,E850&gt;D850,ABS(F850)&gt;1000000000,ABS(G850)&gt;1000000000,ROUND(F850,2)&lt;&gt;F850,AND(G850&lt;&gt;"",ROUND(G850,2)&lt;&gt;G850)),"REVISAR VALOR","OK"))))),"REVISAR VALOR")</f>
        <v/>
      </c>
    </row>
    <row r="851" spans="1:9" x14ac:dyDescent="0.45">
      <c r="A851" s="4"/>
      <c r="B851" s="8"/>
      <c r="C851" s="5"/>
      <c r="D851" s="5"/>
      <c r="E851" s="5"/>
      <c r="F851" s="7"/>
      <c r="G851" s="7"/>
      <c r="H851" s="8"/>
      <c r="I851" s="12" t="str">
        <f>IFERROR(IF(COUNTA(A851:H851)=0,"",IF(OR(A851="",B851="",C851="",D851="",E851="",F851=""),"FALTA CAMPO",IF(COUNTIFS($A$6:$A$1005,A851,$B$6:$B$1005,B851)&gt;1,"DUPLICADO FECHA-SKU",IF(COUNTIF(CATALOGO!$A$6:$A$105,B851)&lt;&gt;1,"SKU NO VALIDO",IF(OR(A851&lt;DATE(1900,1,1),A851&gt;DATE(2100,12,31),A851&gt;CONFIG!$B$5,C851&lt;0,C851&gt;1000000,D851&lt;0,D851&gt;1000000,E851&lt;0,E851&gt;1000000,E851&gt;D851,ABS(F851)&gt;1000000000,ABS(G851)&gt;1000000000,ROUND(F851,2)&lt;&gt;F851,AND(G851&lt;&gt;"",ROUND(G851,2)&lt;&gt;G851)),"REVISAR VALOR","OK"))))),"REVISAR VALOR")</f>
        <v/>
      </c>
    </row>
    <row r="852" spans="1:9" x14ac:dyDescent="0.45">
      <c r="A852" s="4"/>
      <c r="B852" s="8"/>
      <c r="C852" s="5"/>
      <c r="D852" s="5"/>
      <c r="E852" s="5"/>
      <c r="F852" s="7"/>
      <c r="G852" s="7"/>
      <c r="H852" s="8"/>
      <c r="I852" s="12" t="str">
        <f>IFERROR(IF(COUNTA(A852:H852)=0,"",IF(OR(A852="",B852="",C852="",D852="",E852="",F852=""),"FALTA CAMPO",IF(COUNTIFS($A$6:$A$1005,A852,$B$6:$B$1005,B852)&gt;1,"DUPLICADO FECHA-SKU",IF(COUNTIF(CATALOGO!$A$6:$A$105,B852)&lt;&gt;1,"SKU NO VALIDO",IF(OR(A852&lt;DATE(1900,1,1),A852&gt;DATE(2100,12,31),A852&gt;CONFIG!$B$5,C852&lt;0,C852&gt;1000000,D852&lt;0,D852&gt;1000000,E852&lt;0,E852&gt;1000000,E852&gt;D852,ABS(F852)&gt;1000000000,ABS(G852)&gt;1000000000,ROUND(F852,2)&lt;&gt;F852,AND(G852&lt;&gt;"",ROUND(G852,2)&lt;&gt;G852)),"REVISAR VALOR","OK"))))),"REVISAR VALOR")</f>
        <v/>
      </c>
    </row>
    <row r="853" spans="1:9" x14ac:dyDescent="0.45">
      <c r="A853" s="4"/>
      <c r="B853" s="8"/>
      <c r="C853" s="5"/>
      <c r="D853" s="5"/>
      <c r="E853" s="5"/>
      <c r="F853" s="7"/>
      <c r="G853" s="7"/>
      <c r="H853" s="8"/>
      <c r="I853" s="12" t="str">
        <f>IFERROR(IF(COUNTA(A853:H853)=0,"",IF(OR(A853="",B853="",C853="",D853="",E853="",F853=""),"FALTA CAMPO",IF(COUNTIFS($A$6:$A$1005,A853,$B$6:$B$1005,B853)&gt;1,"DUPLICADO FECHA-SKU",IF(COUNTIF(CATALOGO!$A$6:$A$105,B853)&lt;&gt;1,"SKU NO VALIDO",IF(OR(A853&lt;DATE(1900,1,1),A853&gt;DATE(2100,12,31),A853&gt;CONFIG!$B$5,C853&lt;0,C853&gt;1000000,D853&lt;0,D853&gt;1000000,E853&lt;0,E853&gt;1000000,E853&gt;D853,ABS(F853)&gt;1000000000,ABS(G853)&gt;1000000000,ROUND(F853,2)&lt;&gt;F853,AND(G853&lt;&gt;"",ROUND(G853,2)&lt;&gt;G853)),"REVISAR VALOR","OK"))))),"REVISAR VALOR")</f>
        <v/>
      </c>
    </row>
    <row r="854" spans="1:9" x14ac:dyDescent="0.45">
      <c r="A854" s="4"/>
      <c r="B854" s="8"/>
      <c r="C854" s="5"/>
      <c r="D854" s="5"/>
      <c r="E854" s="5"/>
      <c r="F854" s="7"/>
      <c r="G854" s="7"/>
      <c r="H854" s="8"/>
      <c r="I854" s="12" t="str">
        <f>IFERROR(IF(COUNTA(A854:H854)=0,"",IF(OR(A854="",B854="",C854="",D854="",E854="",F854=""),"FALTA CAMPO",IF(COUNTIFS($A$6:$A$1005,A854,$B$6:$B$1005,B854)&gt;1,"DUPLICADO FECHA-SKU",IF(COUNTIF(CATALOGO!$A$6:$A$105,B854)&lt;&gt;1,"SKU NO VALIDO",IF(OR(A854&lt;DATE(1900,1,1),A854&gt;DATE(2100,12,31),A854&gt;CONFIG!$B$5,C854&lt;0,C854&gt;1000000,D854&lt;0,D854&gt;1000000,E854&lt;0,E854&gt;1000000,E854&gt;D854,ABS(F854)&gt;1000000000,ABS(G854)&gt;1000000000,ROUND(F854,2)&lt;&gt;F854,AND(G854&lt;&gt;"",ROUND(G854,2)&lt;&gt;G854)),"REVISAR VALOR","OK"))))),"REVISAR VALOR")</f>
        <v/>
      </c>
    </row>
    <row r="855" spans="1:9" x14ac:dyDescent="0.45">
      <c r="A855" s="4"/>
      <c r="B855" s="8"/>
      <c r="C855" s="5"/>
      <c r="D855" s="5"/>
      <c r="E855" s="5"/>
      <c r="F855" s="7"/>
      <c r="G855" s="7"/>
      <c r="H855" s="8"/>
      <c r="I855" s="12" t="str">
        <f>IFERROR(IF(COUNTA(A855:H855)=0,"",IF(OR(A855="",B855="",C855="",D855="",E855="",F855=""),"FALTA CAMPO",IF(COUNTIFS($A$6:$A$1005,A855,$B$6:$B$1005,B855)&gt;1,"DUPLICADO FECHA-SKU",IF(COUNTIF(CATALOGO!$A$6:$A$105,B855)&lt;&gt;1,"SKU NO VALIDO",IF(OR(A855&lt;DATE(1900,1,1),A855&gt;DATE(2100,12,31),A855&gt;CONFIG!$B$5,C855&lt;0,C855&gt;1000000,D855&lt;0,D855&gt;1000000,E855&lt;0,E855&gt;1000000,E855&gt;D855,ABS(F855)&gt;1000000000,ABS(G855)&gt;1000000000,ROUND(F855,2)&lt;&gt;F855,AND(G855&lt;&gt;"",ROUND(G855,2)&lt;&gt;G855)),"REVISAR VALOR","OK"))))),"REVISAR VALOR")</f>
        <v/>
      </c>
    </row>
    <row r="856" spans="1:9" x14ac:dyDescent="0.45">
      <c r="A856" s="4"/>
      <c r="B856" s="8"/>
      <c r="C856" s="5"/>
      <c r="D856" s="5"/>
      <c r="E856" s="5"/>
      <c r="F856" s="7"/>
      <c r="G856" s="7"/>
      <c r="H856" s="8"/>
      <c r="I856" s="12" t="str">
        <f>IFERROR(IF(COUNTA(A856:H856)=0,"",IF(OR(A856="",B856="",C856="",D856="",E856="",F856=""),"FALTA CAMPO",IF(COUNTIFS($A$6:$A$1005,A856,$B$6:$B$1005,B856)&gt;1,"DUPLICADO FECHA-SKU",IF(COUNTIF(CATALOGO!$A$6:$A$105,B856)&lt;&gt;1,"SKU NO VALIDO",IF(OR(A856&lt;DATE(1900,1,1),A856&gt;DATE(2100,12,31),A856&gt;CONFIG!$B$5,C856&lt;0,C856&gt;1000000,D856&lt;0,D856&gt;1000000,E856&lt;0,E856&gt;1000000,E856&gt;D856,ABS(F856)&gt;1000000000,ABS(G856)&gt;1000000000,ROUND(F856,2)&lt;&gt;F856,AND(G856&lt;&gt;"",ROUND(G856,2)&lt;&gt;G856)),"REVISAR VALOR","OK"))))),"REVISAR VALOR")</f>
        <v/>
      </c>
    </row>
    <row r="857" spans="1:9" x14ac:dyDescent="0.45">
      <c r="A857" s="4"/>
      <c r="B857" s="8"/>
      <c r="C857" s="5"/>
      <c r="D857" s="5"/>
      <c r="E857" s="5"/>
      <c r="F857" s="7"/>
      <c r="G857" s="7"/>
      <c r="H857" s="8"/>
      <c r="I857" s="12" t="str">
        <f>IFERROR(IF(COUNTA(A857:H857)=0,"",IF(OR(A857="",B857="",C857="",D857="",E857="",F857=""),"FALTA CAMPO",IF(COUNTIFS($A$6:$A$1005,A857,$B$6:$B$1005,B857)&gt;1,"DUPLICADO FECHA-SKU",IF(COUNTIF(CATALOGO!$A$6:$A$105,B857)&lt;&gt;1,"SKU NO VALIDO",IF(OR(A857&lt;DATE(1900,1,1),A857&gt;DATE(2100,12,31),A857&gt;CONFIG!$B$5,C857&lt;0,C857&gt;1000000,D857&lt;0,D857&gt;1000000,E857&lt;0,E857&gt;1000000,E857&gt;D857,ABS(F857)&gt;1000000000,ABS(G857)&gt;1000000000,ROUND(F857,2)&lt;&gt;F857,AND(G857&lt;&gt;"",ROUND(G857,2)&lt;&gt;G857)),"REVISAR VALOR","OK"))))),"REVISAR VALOR")</f>
        <v/>
      </c>
    </row>
    <row r="858" spans="1:9" x14ac:dyDescent="0.45">
      <c r="A858" s="4"/>
      <c r="B858" s="8"/>
      <c r="C858" s="5"/>
      <c r="D858" s="5"/>
      <c r="E858" s="5"/>
      <c r="F858" s="7"/>
      <c r="G858" s="7"/>
      <c r="H858" s="8"/>
      <c r="I858" s="12" t="str">
        <f>IFERROR(IF(COUNTA(A858:H858)=0,"",IF(OR(A858="",B858="",C858="",D858="",E858="",F858=""),"FALTA CAMPO",IF(COUNTIFS($A$6:$A$1005,A858,$B$6:$B$1005,B858)&gt;1,"DUPLICADO FECHA-SKU",IF(COUNTIF(CATALOGO!$A$6:$A$105,B858)&lt;&gt;1,"SKU NO VALIDO",IF(OR(A858&lt;DATE(1900,1,1),A858&gt;DATE(2100,12,31),A858&gt;CONFIG!$B$5,C858&lt;0,C858&gt;1000000,D858&lt;0,D858&gt;1000000,E858&lt;0,E858&gt;1000000,E858&gt;D858,ABS(F858)&gt;1000000000,ABS(G858)&gt;1000000000,ROUND(F858,2)&lt;&gt;F858,AND(G858&lt;&gt;"",ROUND(G858,2)&lt;&gt;G858)),"REVISAR VALOR","OK"))))),"REVISAR VALOR")</f>
        <v/>
      </c>
    </row>
    <row r="859" spans="1:9" x14ac:dyDescent="0.45">
      <c r="A859" s="4"/>
      <c r="B859" s="8"/>
      <c r="C859" s="5"/>
      <c r="D859" s="5"/>
      <c r="E859" s="5"/>
      <c r="F859" s="7"/>
      <c r="G859" s="7"/>
      <c r="H859" s="8"/>
      <c r="I859" s="12" t="str">
        <f>IFERROR(IF(COUNTA(A859:H859)=0,"",IF(OR(A859="",B859="",C859="",D859="",E859="",F859=""),"FALTA CAMPO",IF(COUNTIFS($A$6:$A$1005,A859,$B$6:$B$1005,B859)&gt;1,"DUPLICADO FECHA-SKU",IF(COUNTIF(CATALOGO!$A$6:$A$105,B859)&lt;&gt;1,"SKU NO VALIDO",IF(OR(A859&lt;DATE(1900,1,1),A859&gt;DATE(2100,12,31),A859&gt;CONFIG!$B$5,C859&lt;0,C859&gt;1000000,D859&lt;0,D859&gt;1000000,E859&lt;0,E859&gt;1000000,E859&gt;D859,ABS(F859)&gt;1000000000,ABS(G859)&gt;1000000000,ROUND(F859,2)&lt;&gt;F859,AND(G859&lt;&gt;"",ROUND(G859,2)&lt;&gt;G859)),"REVISAR VALOR","OK"))))),"REVISAR VALOR")</f>
        <v/>
      </c>
    </row>
    <row r="860" spans="1:9" x14ac:dyDescent="0.45">
      <c r="A860" s="4"/>
      <c r="B860" s="8"/>
      <c r="C860" s="5"/>
      <c r="D860" s="5"/>
      <c r="E860" s="5"/>
      <c r="F860" s="7"/>
      <c r="G860" s="7"/>
      <c r="H860" s="8"/>
      <c r="I860" s="12" t="str">
        <f>IFERROR(IF(COUNTA(A860:H860)=0,"",IF(OR(A860="",B860="",C860="",D860="",E860="",F860=""),"FALTA CAMPO",IF(COUNTIFS($A$6:$A$1005,A860,$B$6:$B$1005,B860)&gt;1,"DUPLICADO FECHA-SKU",IF(COUNTIF(CATALOGO!$A$6:$A$105,B860)&lt;&gt;1,"SKU NO VALIDO",IF(OR(A860&lt;DATE(1900,1,1),A860&gt;DATE(2100,12,31),A860&gt;CONFIG!$B$5,C860&lt;0,C860&gt;1000000,D860&lt;0,D860&gt;1000000,E860&lt;0,E860&gt;1000000,E860&gt;D860,ABS(F860)&gt;1000000000,ABS(G860)&gt;1000000000,ROUND(F860,2)&lt;&gt;F860,AND(G860&lt;&gt;"",ROUND(G860,2)&lt;&gt;G860)),"REVISAR VALOR","OK"))))),"REVISAR VALOR")</f>
        <v/>
      </c>
    </row>
    <row r="861" spans="1:9" x14ac:dyDescent="0.45">
      <c r="A861" s="4"/>
      <c r="B861" s="8"/>
      <c r="C861" s="5"/>
      <c r="D861" s="5"/>
      <c r="E861" s="5"/>
      <c r="F861" s="7"/>
      <c r="G861" s="7"/>
      <c r="H861" s="8"/>
      <c r="I861" s="12" t="str">
        <f>IFERROR(IF(COUNTA(A861:H861)=0,"",IF(OR(A861="",B861="",C861="",D861="",E861="",F861=""),"FALTA CAMPO",IF(COUNTIFS($A$6:$A$1005,A861,$B$6:$B$1005,B861)&gt;1,"DUPLICADO FECHA-SKU",IF(COUNTIF(CATALOGO!$A$6:$A$105,B861)&lt;&gt;1,"SKU NO VALIDO",IF(OR(A861&lt;DATE(1900,1,1),A861&gt;DATE(2100,12,31),A861&gt;CONFIG!$B$5,C861&lt;0,C861&gt;1000000,D861&lt;0,D861&gt;1000000,E861&lt;0,E861&gt;1000000,E861&gt;D861,ABS(F861)&gt;1000000000,ABS(G861)&gt;1000000000,ROUND(F861,2)&lt;&gt;F861,AND(G861&lt;&gt;"",ROUND(G861,2)&lt;&gt;G861)),"REVISAR VALOR","OK"))))),"REVISAR VALOR")</f>
        <v/>
      </c>
    </row>
    <row r="862" spans="1:9" x14ac:dyDescent="0.45">
      <c r="A862" s="4"/>
      <c r="B862" s="8"/>
      <c r="C862" s="5"/>
      <c r="D862" s="5"/>
      <c r="E862" s="5"/>
      <c r="F862" s="7"/>
      <c r="G862" s="7"/>
      <c r="H862" s="8"/>
      <c r="I862" s="12" t="str">
        <f>IFERROR(IF(COUNTA(A862:H862)=0,"",IF(OR(A862="",B862="",C862="",D862="",E862="",F862=""),"FALTA CAMPO",IF(COUNTIFS($A$6:$A$1005,A862,$B$6:$B$1005,B862)&gt;1,"DUPLICADO FECHA-SKU",IF(COUNTIF(CATALOGO!$A$6:$A$105,B862)&lt;&gt;1,"SKU NO VALIDO",IF(OR(A862&lt;DATE(1900,1,1),A862&gt;DATE(2100,12,31),A862&gt;CONFIG!$B$5,C862&lt;0,C862&gt;1000000,D862&lt;0,D862&gt;1000000,E862&lt;0,E862&gt;1000000,E862&gt;D862,ABS(F862)&gt;1000000000,ABS(G862)&gt;1000000000,ROUND(F862,2)&lt;&gt;F862,AND(G862&lt;&gt;"",ROUND(G862,2)&lt;&gt;G862)),"REVISAR VALOR","OK"))))),"REVISAR VALOR")</f>
        <v/>
      </c>
    </row>
    <row r="863" spans="1:9" x14ac:dyDescent="0.45">
      <c r="A863" s="4"/>
      <c r="B863" s="8"/>
      <c r="C863" s="5"/>
      <c r="D863" s="5"/>
      <c r="E863" s="5"/>
      <c r="F863" s="7"/>
      <c r="G863" s="7"/>
      <c r="H863" s="8"/>
      <c r="I863" s="12" t="str">
        <f>IFERROR(IF(COUNTA(A863:H863)=0,"",IF(OR(A863="",B863="",C863="",D863="",E863="",F863=""),"FALTA CAMPO",IF(COUNTIFS($A$6:$A$1005,A863,$B$6:$B$1005,B863)&gt;1,"DUPLICADO FECHA-SKU",IF(COUNTIF(CATALOGO!$A$6:$A$105,B863)&lt;&gt;1,"SKU NO VALIDO",IF(OR(A863&lt;DATE(1900,1,1),A863&gt;DATE(2100,12,31),A863&gt;CONFIG!$B$5,C863&lt;0,C863&gt;1000000,D863&lt;0,D863&gt;1000000,E863&lt;0,E863&gt;1000000,E863&gt;D863,ABS(F863)&gt;1000000000,ABS(G863)&gt;1000000000,ROUND(F863,2)&lt;&gt;F863,AND(G863&lt;&gt;"",ROUND(G863,2)&lt;&gt;G863)),"REVISAR VALOR","OK"))))),"REVISAR VALOR")</f>
        <v/>
      </c>
    </row>
    <row r="864" spans="1:9" x14ac:dyDescent="0.45">
      <c r="A864" s="4"/>
      <c r="B864" s="8"/>
      <c r="C864" s="5"/>
      <c r="D864" s="5"/>
      <c r="E864" s="5"/>
      <c r="F864" s="7"/>
      <c r="G864" s="7"/>
      <c r="H864" s="8"/>
      <c r="I864" s="12" t="str">
        <f>IFERROR(IF(COUNTA(A864:H864)=0,"",IF(OR(A864="",B864="",C864="",D864="",E864="",F864=""),"FALTA CAMPO",IF(COUNTIFS($A$6:$A$1005,A864,$B$6:$B$1005,B864)&gt;1,"DUPLICADO FECHA-SKU",IF(COUNTIF(CATALOGO!$A$6:$A$105,B864)&lt;&gt;1,"SKU NO VALIDO",IF(OR(A864&lt;DATE(1900,1,1),A864&gt;DATE(2100,12,31),A864&gt;CONFIG!$B$5,C864&lt;0,C864&gt;1000000,D864&lt;0,D864&gt;1000000,E864&lt;0,E864&gt;1000000,E864&gt;D864,ABS(F864)&gt;1000000000,ABS(G864)&gt;1000000000,ROUND(F864,2)&lt;&gt;F864,AND(G864&lt;&gt;"",ROUND(G864,2)&lt;&gt;G864)),"REVISAR VALOR","OK"))))),"REVISAR VALOR")</f>
        <v/>
      </c>
    </row>
    <row r="865" spans="1:9" x14ac:dyDescent="0.45">
      <c r="A865" s="4"/>
      <c r="B865" s="8"/>
      <c r="C865" s="5"/>
      <c r="D865" s="5"/>
      <c r="E865" s="5"/>
      <c r="F865" s="7"/>
      <c r="G865" s="7"/>
      <c r="H865" s="8"/>
      <c r="I865" s="12" t="str">
        <f>IFERROR(IF(COUNTA(A865:H865)=0,"",IF(OR(A865="",B865="",C865="",D865="",E865="",F865=""),"FALTA CAMPO",IF(COUNTIFS($A$6:$A$1005,A865,$B$6:$B$1005,B865)&gt;1,"DUPLICADO FECHA-SKU",IF(COUNTIF(CATALOGO!$A$6:$A$105,B865)&lt;&gt;1,"SKU NO VALIDO",IF(OR(A865&lt;DATE(1900,1,1),A865&gt;DATE(2100,12,31),A865&gt;CONFIG!$B$5,C865&lt;0,C865&gt;1000000,D865&lt;0,D865&gt;1000000,E865&lt;0,E865&gt;1000000,E865&gt;D865,ABS(F865)&gt;1000000000,ABS(G865)&gt;1000000000,ROUND(F865,2)&lt;&gt;F865,AND(G865&lt;&gt;"",ROUND(G865,2)&lt;&gt;G865)),"REVISAR VALOR","OK"))))),"REVISAR VALOR")</f>
        <v/>
      </c>
    </row>
    <row r="866" spans="1:9" x14ac:dyDescent="0.45">
      <c r="A866" s="4"/>
      <c r="B866" s="8"/>
      <c r="C866" s="5"/>
      <c r="D866" s="5"/>
      <c r="E866" s="5"/>
      <c r="F866" s="7"/>
      <c r="G866" s="7"/>
      <c r="H866" s="8"/>
      <c r="I866" s="12" t="str">
        <f>IFERROR(IF(COUNTA(A866:H866)=0,"",IF(OR(A866="",B866="",C866="",D866="",E866="",F866=""),"FALTA CAMPO",IF(COUNTIFS($A$6:$A$1005,A866,$B$6:$B$1005,B866)&gt;1,"DUPLICADO FECHA-SKU",IF(COUNTIF(CATALOGO!$A$6:$A$105,B866)&lt;&gt;1,"SKU NO VALIDO",IF(OR(A866&lt;DATE(1900,1,1),A866&gt;DATE(2100,12,31),A866&gt;CONFIG!$B$5,C866&lt;0,C866&gt;1000000,D866&lt;0,D866&gt;1000000,E866&lt;0,E866&gt;1000000,E866&gt;D866,ABS(F866)&gt;1000000000,ABS(G866)&gt;1000000000,ROUND(F866,2)&lt;&gt;F866,AND(G866&lt;&gt;"",ROUND(G866,2)&lt;&gt;G866)),"REVISAR VALOR","OK"))))),"REVISAR VALOR")</f>
        <v/>
      </c>
    </row>
    <row r="867" spans="1:9" x14ac:dyDescent="0.45">
      <c r="A867" s="4"/>
      <c r="B867" s="8"/>
      <c r="C867" s="5"/>
      <c r="D867" s="5"/>
      <c r="E867" s="5"/>
      <c r="F867" s="7"/>
      <c r="G867" s="7"/>
      <c r="H867" s="8"/>
      <c r="I867" s="12" t="str">
        <f>IFERROR(IF(COUNTA(A867:H867)=0,"",IF(OR(A867="",B867="",C867="",D867="",E867="",F867=""),"FALTA CAMPO",IF(COUNTIFS($A$6:$A$1005,A867,$B$6:$B$1005,B867)&gt;1,"DUPLICADO FECHA-SKU",IF(COUNTIF(CATALOGO!$A$6:$A$105,B867)&lt;&gt;1,"SKU NO VALIDO",IF(OR(A867&lt;DATE(1900,1,1),A867&gt;DATE(2100,12,31),A867&gt;CONFIG!$B$5,C867&lt;0,C867&gt;1000000,D867&lt;0,D867&gt;1000000,E867&lt;0,E867&gt;1000000,E867&gt;D867,ABS(F867)&gt;1000000000,ABS(G867)&gt;1000000000,ROUND(F867,2)&lt;&gt;F867,AND(G867&lt;&gt;"",ROUND(G867,2)&lt;&gt;G867)),"REVISAR VALOR","OK"))))),"REVISAR VALOR")</f>
        <v/>
      </c>
    </row>
    <row r="868" spans="1:9" x14ac:dyDescent="0.45">
      <c r="A868" s="4"/>
      <c r="B868" s="8"/>
      <c r="C868" s="5"/>
      <c r="D868" s="5"/>
      <c r="E868" s="5"/>
      <c r="F868" s="7"/>
      <c r="G868" s="7"/>
      <c r="H868" s="8"/>
      <c r="I868" s="12" t="str">
        <f>IFERROR(IF(COUNTA(A868:H868)=0,"",IF(OR(A868="",B868="",C868="",D868="",E868="",F868=""),"FALTA CAMPO",IF(COUNTIFS($A$6:$A$1005,A868,$B$6:$B$1005,B868)&gt;1,"DUPLICADO FECHA-SKU",IF(COUNTIF(CATALOGO!$A$6:$A$105,B868)&lt;&gt;1,"SKU NO VALIDO",IF(OR(A868&lt;DATE(1900,1,1),A868&gt;DATE(2100,12,31),A868&gt;CONFIG!$B$5,C868&lt;0,C868&gt;1000000,D868&lt;0,D868&gt;1000000,E868&lt;0,E868&gt;1000000,E868&gt;D868,ABS(F868)&gt;1000000000,ABS(G868)&gt;1000000000,ROUND(F868,2)&lt;&gt;F868,AND(G868&lt;&gt;"",ROUND(G868,2)&lt;&gt;G868)),"REVISAR VALOR","OK"))))),"REVISAR VALOR")</f>
        <v/>
      </c>
    </row>
    <row r="869" spans="1:9" x14ac:dyDescent="0.45">
      <c r="A869" s="4"/>
      <c r="B869" s="8"/>
      <c r="C869" s="5"/>
      <c r="D869" s="5"/>
      <c r="E869" s="5"/>
      <c r="F869" s="7"/>
      <c r="G869" s="7"/>
      <c r="H869" s="8"/>
      <c r="I869" s="12" t="str">
        <f>IFERROR(IF(COUNTA(A869:H869)=0,"",IF(OR(A869="",B869="",C869="",D869="",E869="",F869=""),"FALTA CAMPO",IF(COUNTIFS($A$6:$A$1005,A869,$B$6:$B$1005,B869)&gt;1,"DUPLICADO FECHA-SKU",IF(COUNTIF(CATALOGO!$A$6:$A$105,B869)&lt;&gt;1,"SKU NO VALIDO",IF(OR(A869&lt;DATE(1900,1,1),A869&gt;DATE(2100,12,31),A869&gt;CONFIG!$B$5,C869&lt;0,C869&gt;1000000,D869&lt;0,D869&gt;1000000,E869&lt;0,E869&gt;1000000,E869&gt;D869,ABS(F869)&gt;1000000000,ABS(G869)&gt;1000000000,ROUND(F869,2)&lt;&gt;F869,AND(G869&lt;&gt;"",ROUND(G869,2)&lt;&gt;G869)),"REVISAR VALOR","OK"))))),"REVISAR VALOR")</f>
        <v/>
      </c>
    </row>
    <row r="870" spans="1:9" x14ac:dyDescent="0.45">
      <c r="A870" s="4"/>
      <c r="B870" s="8"/>
      <c r="C870" s="5"/>
      <c r="D870" s="5"/>
      <c r="E870" s="5"/>
      <c r="F870" s="7"/>
      <c r="G870" s="7"/>
      <c r="H870" s="8"/>
      <c r="I870" s="12" t="str">
        <f>IFERROR(IF(COUNTA(A870:H870)=0,"",IF(OR(A870="",B870="",C870="",D870="",E870="",F870=""),"FALTA CAMPO",IF(COUNTIFS($A$6:$A$1005,A870,$B$6:$B$1005,B870)&gt;1,"DUPLICADO FECHA-SKU",IF(COUNTIF(CATALOGO!$A$6:$A$105,B870)&lt;&gt;1,"SKU NO VALIDO",IF(OR(A870&lt;DATE(1900,1,1),A870&gt;DATE(2100,12,31),A870&gt;CONFIG!$B$5,C870&lt;0,C870&gt;1000000,D870&lt;0,D870&gt;1000000,E870&lt;0,E870&gt;1000000,E870&gt;D870,ABS(F870)&gt;1000000000,ABS(G870)&gt;1000000000,ROUND(F870,2)&lt;&gt;F870,AND(G870&lt;&gt;"",ROUND(G870,2)&lt;&gt;G870)),"REVISAR VALOR","OK"))))),"REVISAR VALOR")</f>
        <v/>
      </c>
    </row>
    <row r="871" spans="1:9" x14ac:dyDescent="0.45">
      <c r="A871" s="4"/>
      <c r="B871" s="8"/>
      <c r="C871" s="5"/>
      <c r="D871" s="5"/>
      <c r="E871" s="5"/>
      <c r="F871" s="7"/>
      <c r="G871" s="7"/>
      <c r="H871" s="8"/>
      <c r="I871" s="12" t="str">
        <f>IFERROR(IF(COUNTA(A871:H871)=0,"",IF(OR(A871="",B871="",C871="",D871="",E871="",F871=""),"FALTA CAMPO",IF(COUNTIFS($A$6:$A$1005,A871,$B$6:$B$1005,B871)&gt;1,"DUPLICADO FECHA-SKU",IF(COUNTIF(CATALOGO!$A$6:$A$105,B871)&lt;&gt;1,"SKU NO VALIDO",IF(OR(A871&lt;DATE(1900,1,1),A871&gt;DATE(2100,12,31),A871&gt;CONFIG!$B$5,C871&lt;0,C871&gt;1000000,D871&lt;0,D871&gt;1000000,E871&lt;0,E871&gt;1000000,E871&gt;D871,ABS(F871)&gt;1000000000,ABS(G871)&gt;1000000000,ROUND(F871,2)&lt;&gt;F871,AND(G871&lt;&gt;"",ROUND(G871,2)&lt;&gt;G871)),"REVISAR VALOR","OK"))))),"REVISAR VALOR")</f>
        <v/>
      </c>
    </row>
    <row r="872" spans="1:9" x14ac:dyDescent="0.45">
      <c r="A872" s="4"/>
      <c r="B872" s="8"/>
      <c r="C872" s="5"/>
      <c r="D872" s="5"/>
      <c r="E872" s="5"/>
      <c r="F872" s="7"/>
      <c r="G872" s="7"/>
      <c r="H872" s="8"/>
      <c r="I872" s="12" t="str">
        <f>IFERROR(IF(COUNTA(A872:H872)=0,"",IF(OR(A872="",B872="",C872="",D872="",E872="",F872=""),"FALTA CAMPO",IF(COUNTIFS($A$6:$A$1005,A872,$B$6:$B$1005,B872)&gt;1,"DUPLICADO FECHA-SKU",IF(COUNTIF(CATALOGO!$A$6:$A$105,B872)&lt;&gt;1,"SKU NO VALIDO",IF(OR(A872&lt;DATE(1900,1,1),A872&gt;DATE(2100,12,31),A872&gt;CONFIG!$B$5,C872&lt;0,C872&gt;1000000,D872&lt;0,D872&gt;1000000,E872&lt;0,E872&gt;1000000,E872&gt;D872,ABS(F872)&gt;1000000000,ABS(G872)&gt;1000000000,ROUND(F872,2)&lt;&gt;F872,AND(G872&lt;&gt;"",ROUND(G872,2)&lt;&gt;G872)),"REVISAR VALOR","OK"))))),"REVISAR VALOR")</f>
        <v/>
      </c>
    </row>
    <row r="873" spans="1:9" x14ac:dyDescent="0.45">
      <c r="A873" s="4"/>
      <c r="B873" s="8"/>
      <c r="C873" s="5"/>
      <c r="D873" s="5"/>
      <c r="E873" s="5"/>
      <c r="F873" s="7"/>
      <c r="G873" s="7"/>
      <c r="H873" s="8"/>
      <c r="I873" s="12" t="str">
        <f>IFERROR(IF(COUNTA(A873:H873)=0,"",IF(OR(A873="",B873="",C873="",D873="",E873="",F873=""),"FALTA CAMPO",IF(COUNTIFS($A$6:$A$1005,A873,$B$6:$B$1005,B873)&gt;1,"DUPLICADO FECHA-SKU",IF(COUNTIF(CATALOGO!$A$6:$A$105,B873)&lt;&gt;1,"SKU NO VALIDO",IF(OR(A873&lt;DATE(1900,1,1),A873&gt;DATE(2100,12,31),A873&gt;CONFIG!$B$5,C873&lt;0,C873&gt;1000000,D873&lt;0,D873&gt;1000000,E873&lt;0,E873&gt;1000000,E873&gt;D873,ABS(F873)&gt;1000000000,ABS(G873)&gt;1000000000,ROUND(F873,2)&lt;&gt;F873,AND(G873&lt;&gt;"",ROUND(G873,2)&lt;&gt;G873)),"REVISAR VALOR","OK"))))),"REVISAR VALOR")</f>
        <v/>
      </c>
    </row>
    <row r="874" spans="1:9" x14ac:dyDescent="0.45">
      <c r="A874" s="4"/>
      <c r="B874" s="8"/>
      <c r="C874" s="5"/>
      <c r="D874" s="5"/>
      <c r="E874" s="5"/>
      <c r="F874" s="7"/>
      <c r="G874" s="7"/>
      <c r="H874" s="8"/>
      <c r="I874" s="12" t="str">
        <f>IFERROR(IF(COUNTA(A874:H874)=0,"",IF(OR(A874="",B874="",C874="",D874="",E874="",F874=""),"FALTA CAMPO",IF(COUNTIFS($A$6:$A$1005,A874,$B$6:$B$1005,B874)&gt;1,"DUPLICADO FECHA-SKU",IF(COUNTIF(CATALOGO!$A$6:$A$105,B874)&lt;&gt;1,"SKU NO VALIDO",IF(OR(A874&lt;DATE(1900,1,1),A874&gt;DATE(2100,12,31),A874&gt;CONFIG!$B$5,C874&lt;0,C874&gt;1000000,D874&lt;0,D874&gt;1000000,E874&lt;0,E874&gt;1000000,E874&gt;D874,ABS(F874)&gt;1000000000,ABS(G874)&gt;1000000000,ROUND(F874,2)&lt;&gt;F874,AND(G874&lt;&gt;"",ROUND(G874,2)&lt;&gt;G874)),"REVISAR VALOR","OK"))))),"REVISAR VALOR")</f>
        <v/>
      </c>
    </row>
    <row r="875" spans="1:9" x14ac:dyDescent="0.45">
      <c r="A875" s="4"/>
      <c r="B875" s="8"/>
      <c r="C875" s="5"/>
      <c r="D875" s="5"/>
      <c r="E875" s="5"/>
      <c r="F875" s="7"/>
      <c r="G875" s="7"/>
      <c r="H875" s="8"/>
      <c r="I875" s="12" t="str">
        <f>IFERROR(IF(COUNTA(A875:H875)=0,"",IF(OR(A875="",B875="",C875="",D875="",E875="",F875=""),"FALTA CAMPO",IF(COUNTIFS($A$6:$A$1005,A875,$B$6:$B$1005,B875)&gt;1,"DUPLICADO FECHA-SKU",IF(COUNTIF(CATALOGO!$A$6:$A$105,B875)&lt;&gt;1,"SKU NO VALIDO",IF(OR(A875&lt;DATE(1900,1,1),A875&gt;DATE(2100,12,31),A875&gt;CONFIG!$B$5,C875&lt;0,C875&gt;1000000,D875&lt;0,D875&gt;1000000,E875&lt;0,E875&gt;1000000,E875&gt;D875,ABS(F875)&gt;1000000000,ABS(G875)&gt;1000000000,ROUND(F875,2)&lt;&gt;F875,AND(G875&lt;&gt;"",ROUND(G875,2)&lt;&gt;G875)),"REVISAR VALOR","OK"))))),"REVISAR VALOR")</f>
        <v/>
      </c>
    </row>
    <row r="876" spans="1:9" x14ac:dyDescent="0.45">
      <c r="A876" s="4"/>
      <c r="B876" s="8"/>
      <c r="C876" s="5"/>
      <c r="D876" s="5"/>
      <c r="E876" s="5"/>
      <c r="F876" s="7"/>
      <c r="G876" s="7"/>
      <c r="H876" s="8"/>
      <c r="I876" s="12" t="str">
        <f>IFERROR(IF(COUNTA(A876:H876)=0,"",IF(OR(A876="",B876="",C876="",D876="",E876="",F876=""),"FALTA CAMPO",IF(COUNTIFS($A$6:$A$1005,A876,$B$6:$B$1005,B876)&gt;1,"DUPLICADO FECHA-SKU",IF(COUNTIF(CATALOGO!$A$6:$A$105,B876)&lt;&gt;1,"SKU NO VALIDO",IF(OR(A876&lt;DATE(1900,1,1),A876&gt;DATE(2100,12,31),A876&gt;CONFIG!$B$5,C876&lt;0,C876&gt;1000000,D876&lt;0,D876&gt;1000000,E876&lt;0,E876&gt;1000000,E876&gt;D876,ABS(F876)&gt;1000000000,ABS(G876)&gt;1000000000,ROUND(F876,2)&lt;&gt;F876,AND(G876&lt;&gt;"",ROUND(G876,2)&lt;&gt;G876)),"REVISAR VALOR","OK"))))),"REVISAR VALOR")</f>
        <v/>
      </c>
    </row>
    <row r="877" spans="1:9" x14ac:dyDescent="0.45">
      <c r="A877" s="4"/>
      <c r="B877" s="8"/>
      <c r="C877" s="5"/>
      <c r="D877" s="5"/>
      <c r="E877" s="5"/>
      <c r="F877" s="7"/>
      <c r="G877" s="7"/>
      <c r="H877" s="8"/>
      <c r="I877" s="12" t="str">
        <f>IFERROR(IF(COUNTA(A877:H877)=0,"",IF(OR(A877="",B877="",C877="",D877="",E877="",F877=""),"FALTA CAMPO",IF(COUNTIFS($A$6:$A$1005,A877,$B$6:$B$1005,B877)&gt;1,"DUPLICADO FECHA-SKU",IF(COUNTIF(CATALOGO!$A$6:$A$105,B877)&lt;&gt;1,"SKU NO VALIDO",IF(OR(A877&lt;DATE(1900,1,1),A877&gt;DATE(2100,12,31),A877&gt;CONFIG!$B$5,C877&lt;0,C877&gt;1000000,D877&lt;0,D877&gt;1000000,E877&lt;0,E877&gt;1000000,E877&gt;D877,ABS(F877)&gt;1000000000,ABS(G877)&gt;1000000000,ROUND(F877,2)&lt;&gt;F877,AND(G877&lt;&gt;"",ROUND(G877,2)&lt;&gt;G877)),"REVISAR VALOR","OK"))))),"REVISAR VALOR")</f>
        <v/>
      </c>
    </row>
    <row r="878" spans="1:9" x14ac:dyDescent="0.45">
      <c r="A878" s="4"/>
      <c r="B878" s="8"/>
      <c r="C878" s="5"/>
      <c r="D878" s="5"/>
      <c r="E878" s="5"/>
      <c r="F878" s="7"/>
      <c r="G878" s="7"/>
      <c r="H878" s="8"/>
      <c r="I878" s="12" t="str">
        <f>IFERROR(IF(COUNTA(A878:H878)=0,"",IF(OR(A878="",B878="",C878="",D878="",E878="",F878=""),"FALTA CAMPO",IF(COUNTIFS($A$6:$A$1005,A878,$B$6:$B$1005,B878)&gt;1,"DUPLICADO FECHA-SKU",IF(COUNTIF(CATALOGO!$A$6:$A$105,B878)&lt;&gt;1,"SKU NO VALIDO",IF(OR(A878&lt;DATE(1900,1,1),A878&gt;DATE(2100,12,31),A878&gt;CONFIG!$B$5,C878&lt;0,C878&gt;1000000,D878&lt;0,D878&gt;1000000,E878&lt;0,E878&gt;1000000,E878&gt;D878,ABS(F878)&gt;1000000000,ABS(G878)&gt;1000000000,ROUND(F878,2)&lt;&gt;F878,AND(G878&lt;&gt;"",ROUND(G878,2)&lt;&gt;G878)),"REVISAR VALOR","OK"))))),"REVISAR VALOR")</f>
        <v/>
      </c>
    </row>
    <row r="879" spans="1:9" x14ac:dyDescent="0.45">
      <c r="A879" s="4"/>
      <c r="B879" s="8"/>
      <c r="C879" s="5"/>
      <c r="D879" s="5"/>
      <c r="E879" s="5"/>
      <c r="F879" s="7"/>
      <c r="G879" s="7"/>
      <c r="H879" s="8"/>
      <c r="I879" s="12" t="str">
        <f>IFERROR(IF(COUNTA(A879:H879)=0,"",IF(OR(A879="",B879="",C879="",D879="",E879="",F879=""),"FALTA CAMPO",IF(COUNTIFS($A$6:$A$1005,A879,$B$6:$B$1005,B879)&gt;1,"DUPLICADO FECHA-SKU",IF(COUNTIF(CATALOGO!$A$6:$A$105,B879)&lt;&gt;1,"SKU NO VALIDO",IF(OR(A879&lt;DATE(1900,1,1),A879&gt;DATE(2100,12,31),A879&gt;CONFIG!$B$5,C879&lt;0,C879&gt;1000000,D879&lt;0,D879&gt;1000000,E879&lt;0,E879&gt;1000000,E879&gt;D879,ABS(F879)&gt;1000000000,ABS(G879)&gt;1000000000,ROUND(F879,2)&lt;&gt;F879,AND(G879&lt;&gt;"",ROUND(G879,2)&lt;&gt;G879)),"REVISAR VALOR","OK"))))),"REVISAR VALOR")</f>
        <v/>
      </c>
    </row>
    <row r="880" spans="1:9" x14ac:dyDescent="0.45">
      <c r="A880" s="4"/>
      <c r="B880" s="8"/>
      <c r="C880" s="5"/>
      <c r="D880" s="5"/>
      <c r="E880" s="5"/>
      <c r="F880" s="7"/>
      <c r="G880" s="7"/>
      <c r="H880" s="8"/>
      <c r="I880" s="12" t="str">
        <f>IFERROR(IF(COUNTA(A880:H880)=0,"",IF(OR(A880="",B880="",C880="",D880="",E880="",F880=""),"FALTA CAMPO",IF(COUNTIFS($A$6:$A$1005,A880,$B$6:$B$1005,B880)&gt;1,"DUPLICADO FECHA-SKU",IF(COUNTIF(CATALOGO!$A$6:$A$105,B880)&lt;&gt;1,"SKU NO VALIDO",IF(OR(A880&lt;DATE(1900,1,1),A880&gt;DATE(2100,12,31),A880&gt;CONFIG!$B$5,C880&lt;0,C880&gt;1000000,D880&lt;0,D880&gt;1000000,E880&lt;0,E880&gt;1000000,E880&gt;D880,ABS(F880)&gt;1000000000,ABS(G880)&gt;1000000000,ROUND(F880,2)&lt;&gt;F880,AND(G880&lt;&gt;"",ROUND(G880,2)&lt;&gt;G880)),"REVISAR VALOR","OK"))))),"REVISAR VALOR")</f>
        <v/>
      </c>
    </row>
    <row r="881" spans="1:9" x14ac:dyDescent="0.45">
      <c r="A881" s="4"/>
      <c r="B881" s="8"/>
      <c r="C881" s="5"/>
      <c r="D881" s="5"/>
      <c r="E881" s="5"/>
      <c r="F881" s="7"/>
      <c r="G881" s="7"/>
      <c r="H881" s="8"/>
      <c r="I881" s="12" t="str">
        <f>IFERROR(IF(COUNTA(A881:H881)=0,"",IF(OR(A881="",B881="",C881="",D881="",E881="",F881=""),"FALTA CAMPO",IF(COUNTIFS($A$6:$A$1005,A881,$B$6:$B$1005,B881)&gt;1,"DUPLICADO FECHA-SKU",IF(COUNTIF(CATALOGO!$A$6:$A$105,B881)&lt;&gt;1,"SKU NO VALIDO",IF(OR(A881&lt;DATE(1900,1,1),A881&gt;DATE(2100,12,31),A881&gt;CONFIG!$B$5,C881&lt;0,C881&gt;1000000,D881&lt;0,D881&gt;1000000,E881&lt;0,E881&gt;1000000,E881&gt;D881,ABS(F881)&gt;1000000000,ABS(G881)&gt;1000000000,ROUND(F881,2)&lt;&gt;F881,AND(G881&lt;&gt;"",ROUND(G881,2)&lt;&gt;G881)),"REVISAR VALOR","OK"))))),"REVISAR VALOR")</f>
        <v/>
      </c>
    </row>
    <row r="882" spans="1:9" x14ac:dyDescent="0.45">
      <c r="A882" s="4"/>
      <c r="B882" s="8"/>
      <c r="C882" s="5"/>
      <c r="D882" s="5"/>
      <c r="E882" s="5"/>
      <c r="F882" s="7"/>
      <c r="G882" s="7"/>
      <c r="H882" s="8"/>
      <c r="I882" s="12" t="str">
        <f>IFERROR(IF(COUNTA(A882:H882)=0,"",IF(OR(A882="",B882="",C882="",D882="",E882="",F882=""),"FALTA CAMPO",IF(COUNTIFS($A$6:$A$1005,A882,$B$6:$B$1005,B882)&gt;1,"DUPLICADO FECHA-SKU",IF(COUNTIF(CATALOGO!$A$6:$A$105,B882)&lt;&gt;1,"SKU NO VALIDO",IF(OR(A882&lt;DATE(1900,1,1),A882&gt;DATE(2100,12,31),A882&gt;CONFIG!$B$5,C882&lt;0,C882&gt;1000000,D882&lt;0,D882&gt;1000000,E882&lt;0,E882&gt;1000000,E882&gt;D882,ABS(F882)&gt;1000000000,ABS(G882)&gt;1000000000,ROUND(F882,2)&lt;&gt;F882,AND(G882&lt;&gt;"",ROUND(G882,2)&lt;&gt;G882)),"REVISAR VALOR","OK"))))),"REVISAR VALOR")</f>
        <v/>
      </c>
    </row>
    <row r="883" spans="1:9" x14ac:dyDescent="0.45">
      <c r="A883" s="4"/>
      <c r="B883" s="8"/>
      <c r="C883" s="5"/>
      <c r="D883" s="5"/>
      <c r="E883" s="5"/>
      <c r="F883" s="7"/>
      <c r="G883" s="7"/>
      <c r="H883" s="8"/>
      <c r="I883" s="12" t="str">
        <f>IFERROR(IF(COUNTA(A883:H883)=0,"",IF(OR(A883="",B883="",C883="",D883="",E883="",F883=""),"FALTA CAMPO",IF(COUNTIFS($A$6:$A$1005,A883,$B$6:$B$1005,B883)&gt;1,"DUPLICADO FECHA-SKU",IF(COUNTIF(CATALOGO!$A$6:$A$105,B883)&lt;&gt;1,"SKU NO VALIDO",IF(OR(A883&lt;DATE(1900,1,1),A883&gt;DATE(2100,12,31),A883&gt;CONFIG!$B$5,C883&lt;0,C883&gt;1000000,D883&lt;0,D883&gt;1000000,E883&lt;0,E883&gt;1000000,E883&gt;D883,ABS(F883)&gt;1000000000,ABS(G883)&gt;1000000000,ROUND(F883,2)&lt;&gt;F883,AND(G883&lt;&gt;"",ROUND(G883,2)&lt;&gt;G883)),"REVISAR VALOR","OK"))))),"REVISAR VALOR")</f>
        <v/>
      </c>
    </row>
    <row r="884" spans="1:9" x14ac:dyDescent="0.45">
      <c r="A884" s="4"/>
      <c r="B884" s="8"/>
      <c r="C884" s="5"/>
      <c r="D884" s="5"/>
      <c r="E884" s="5"/>
      <c r="F884" s="7"/>
      <c r="G884" s="7"/>
      <c r="H884" s="8"/>
      <c r="I884" s="12" t="str">
        <f>IFERROR(IF(COUNTA(A884:H884)=0,"",IF(OR(A884="",B884="",C884="",D884="",E884="",F884=""),"FALTA CAMPO",IF(COUNTIFS($A$6:$A$1005,A884,$B$6:$B$1005,B884)&gt;1,"DUPLICADO FECHA-SKU",IF(COUNTIF(CATALOGO!$A$6:$A$105,B884)&lt;&gt;1,"SKU NO VALIDO",IF(OR(A884&lt;DATE(1900,1,1),A884&gt;DATE(2100,12,31),A884&gt;CONFIG!$B$5,C884&lt;0,C884&gt;1000000,D884&lt;0,D884&gt;1000000,E884&lt;0,E884&gt;1000000,E884&gt;D884,ABS(F884)&gt;1000000000,ABS(G884)&gt;1000000000,ROUND(F884,2)&lt;&gt;F884,AND(G884&lt;&gt;"",ROUND(G884,2)&lt;&gt;G884)),"REVISAR VALOR","OK"))))),"REVISAR VALOR")</f>
        <v/>
      </c>
    </row>
    <row r="885" spans="1:9" x14ac:dyDescent="0.45">
      <c r="A885" s="4"/>
      <c r="B885" s="8"/>
      <c r="C885" s="5"/>
      <c r="D885" s="5"/>
      <c r="E885" s="5"/>
      <c r="F885" s="7"/>
      <c r="G885" s="7"/>
      <c r="H885" s="8"/>
      <c r="I885" s="12" t="str">
        <f>IFERROR(IF(COUNTA(A885:H885)=0,"",IF(OR(A885="",B885="",C885="",D885="",E885="",F885=""),"FALTA CAMPO",IF(COUNTIFS($A$6:$A$1005,A885,$B$6:$B$1005,B885)&gt;1,"DUPLICADO FECHA-SKU",IF(COUNTIF(CATALOGO!$A$6:$A$105,B885)&lt;&gt;1,"SKU NO VALIDO",IF(OR(A885&lt;DATE(1900,1,1),A885&gt;DATE(2100,12,31),A885&gt;CONFIG!$B$5,C885&lt;0,C885&gt;1000000,D885&lt;0,D885&gt;1000000,E885&lt;0,E885&gt;1000000,E885&gt;D885,ABS(F885)&gt;1000000000,ABS(G885)&gt;1000000000,ROUND(F885,2)&lt;&gt;F885,AND(G885&lt;&gt;"",ROUND(G885,2)&lt;&gt;G885)),"REVISAR VALOR","OK"))))),"REVISAR VALOR")</f>
        <v/>
      </c>
    </row>
    <row r="886" spans="1:9" x14ac:dyDescent="0.45">
      <c r="A886" s="4"/>
      <c r="B886" s="8"/>
      <c r="C886" s="5"/>
      <c r="D886" s="5"/>
      <c r="E886" s="5"/>
      <c r="F886" s="7"/>
      <c r="G886" s="7"/>
      <c r="H886" s="8"/>
      <c r="I886" s="12" t="str">
        <f>IFERROR(IF(COUNTA(A886:H886)=0,"",IF(OR(A886="",B886="",C886="",D886="",E886="",F886=""),"FALTA CAMPO",IF(COUNTIFS($A$6:$A$1005,A886,$B$6:$B$1005,B886)&gt;1,"DUPLICADO FECHA-SKU",IF(COUNTIF(CATALOGO!$A$6:$A$105,B886)&lt;&gt;1,"SKU NO VALIDO",IF(OR(A886&lt;DATE(1900,1,1),A886&gt;DATE(2100,12,31),A886&gt;CONFIG!$B$5,C886&lt;0,C886&gt;1000000,D886&lt;0,D886&gt;1000000,E886&lt;0,E886&gt;1000000,E886&gt;D886,ABS(F886)&gt;1000000000,ABS(G886)&gt;1000000000,ROUND(F886,2)&lt;&gt;F886,AND(G886&lt;&gt;"",ROUND(G886,2)&lt;&gt;G886)),"REVISAR VALOR","OK"))))),"REVISAR VALOR")</f>
        <v/>
      </c>
    </row>
    <row r="887" spans="1:9" x14ac:dyDescent="0.45">
      <c r="A887" s="4"/>
      <c r="B887" s="8"/>
      <c r="C887" s="5"/>
      <c r="D887" s="5"/>
      <c r="E887" s="5"/>
      <c r="F887" s="7"/>
      <c r="G887" s="7"/>
      <c r="H887" s="8"/>
      <c r="I887" s="12" t="str">
        <f>IFERROR(IF(COUNTA(A887:H887)=0,"",IF(OR(A887="",B887="",C887="",D887="",E887="",F887=""),"FALTA CAMPO",IF(COUNTIFS($A$6:$A$1005,A887,$B$6:$B$1005,B887)&gt;1,"DUPLICADO FECHA-SKU",IF(COUNTIF(CATALOGO!$A$6:$A$105,B887)&lt;&gt;1,"SKU NO VALIDO",IF(OR(A887&lt;DATE(1900,1,1),A887&gt;DATE(2100,12,31),A887&gt;CONFIG!$B$5,C887&lt;0,C887&gt;1000000,D887&lt;0,D887&gt;1000000,E887&lt;0,E887&gt;1000000,E887&gt;D887,ABS(F887)&gt;1000000000,ABS(G887)&gt;1000000000,ROUND(F887,2)&lt;&gt;F887,AND(G887&lt;&gt;"",ROUND(G887,2)&lt;&gt;G887)),"REVISAR VALOR","OK"))))),"REVISAR VALOR")</f>
        <v/>
      </c>
    </row>
    <row r="888" spans="1:9" x14ac:dyDescent="0.45">
      <c r="A888" s="4"/>
      <c r="B888" s="8"/>
      <c r="C888" s="5"/>
      <c r="D888" s="5"/>
      <c r="E888" s="5"/>
      <c r="F888" s="7"/>
      <c r="G888" s="7"/>
      <c r="H888" s="8"/>
      <c r="I888" s="12" t="str">
        <f>IFERROR(IF(COUNTA(A888:H888)=0,"",IF(OR(A888="",B888="",C888="",D888="",E888="",F888=""),"FALTA CAMPO",IF(COUNTIFS($A$6:$A$1005,A888,$B$6:$B$1005,B888)&gt;1,"DUPLICADO FECHA-SKU",IF(COUNTIF(CATALOGO!$A$6:$A$105,B888)&lt;&gt;1,"SKU NO VALIDO",IF(OR(A888&lt;DATE(1900,1,1),A888&gt;DATE(2100,12,31),A888&gt;CONFIG!$B$5,C888&lt;0,C888&gt;1000000,D888&lt;0,D888&gt;1000000,E888&lt;0,E888&gt;1000000,E888&gt;D888,ABS(F888)&gt;1000000000,ABS(G888)&gt;1000000000,ROUND(F888,2)&lt;&gt;F888,AND(G888&lt;&gt;"",ROUND(G888,2)&lt;&gt;G888)),"REVISAR VALOR","OK"))))),"REVISAR VALOR")</f>
        <v/>
      </c>
    </row>
    <row r="889" spans="1:9" x14ac:dyDescent="0.45">
      <c r="A889" s="4"/>
      <c r="B889" s="8"/>
      <c r="C889" s="5"/>
      <c r="D889" s="5"/>
      <c r="E889" s="5"/>
      <c r="F889" s="7"/>
      <c r="G889" s="7"/>
      <c r="H889" s="8"/>
      <c r="I889" s="12" t="str">
        <f>IFERROR(IF(COUNTA(A889:H889)=0,"",IF(OR(A889="",B889="",C889="",D889="",E889="",F889=""),"FALTA CAMPO",IF(COUNTIFS($A$6:$A$1005,A889,$B$6:$B$1005,B889)&gt;1,"DUPLICADO FECHA-SKU",IF(COUNTIF(CATALOGO!$A$6:$A$105,B889)&lt;&gt;1,"SKU NO VALIDO",IF(OR(A889&lt;DATE(1900,1,1),A889&gt;DATE(2100,12,31),A889&gt;CONFIG!$B$5,C889&lt;0,C889&gt;1000000,D889&lt;0,D889&gt;1000000,E889&lt;0,E889&gt;1000000,E889&gt;D889,ABS(F889)&gt;1000000000,ABS(G889)&gt;1000000000,ROUND(F889,2)&lt;&gt;F889,AND(G889&lt;&gt;"",ROUND(G889,2)&lt;&gt;G889)),"REVISAR VALOR","OK"))))),"REVISAR VALOR")</f>
        <v/>
      </c>
    </row>
    <row r="890" spans="1:9" x14ac:dyDescent="0.45">
      <c r="A890" s="4"/>
      <c r="B890" s="8"/>
      <c r="C890" s="5"/>
      <c r="D890" s="5"/>
      <c r="E890" s="5"/>
      <c r="F890" s="7"/>
      <c r="G890" s="7"/>
      <c r="H890" s="8"/>
      <c r="I890" s="12" t="str">
        <f>IFERROR(IF(COUNTA(A890:H890)=0,"",IF(OR(A890="",B890="",C890="",D890="",E890="",F890=""),"FALTA CAMPO",IF(COUNTIFS($A$6:$A$1005,A890,$B$6:$B$1005,B890)&gt;1,"DUPLICADO FECHA-SKU",IF(COUNTIF(CATALOGO!$A$6:$A$105,B890)&lt;&gt;1,"SKU NO VALIDO",IF(OR(A890&lt;DATE(1900,1,1),A890&gt;DATE(2100,12,31),A890&gt;CONFIG!$B$5,C890&lt;0,C890&gt;1000000,D890&lt;0,D890&gt;1000000,E890&lt;0,E890&gt;1000000,E890&gt;D890,ABS(F890)&gt;1000000000,ABS(G890)&gt;1000000000,ROUND(F890,2)&lt;&gt;F890,AND(G890&lt;&gt;"",ROUND(G890,2)&lt;&gt;G890)),"REVISAR VALOR","OK"))))),"REVISAR VALOR")</f>
        <v/>
      </c>
    </row>
    <row r="891" spans="1:9" x14ac:dyDescent="0.45">
      <c r="A891" s="4"/>
      <c r="B891" s="8"/>
      <c r="C891" s="5"/>
      <c r="D891" s="5"/>
      <c r="E891" s="5"/>
      <c r="F891" s="7"/>
      <c r="G891" s="7"/>
      <c r="H891" s="8"/>
      <c r="I891" s="12" t="str">
        <f>IFERROR(IF(COUNTA(A891:H891)=0,"",IF(OR(A891="",B891="",C891="",D891="",E891="",F891=""),"FALTA CAMPO",IF(COUNTIFS($A$6:$A$1005,A891,$B$6:$B$1005,B891)&gt;1,"DUPLICADO FECHA-SKU",IF(COUNTIF(CATALOGO!$A$6:$A$105,B891)&lt;&gt;1,"SKU NO VALIDO",IF(OR(A891&lt;DATE(1900,1,1),A891&gt;DATE(2100,12,31),A891&gt;CONFIG!$B$5,C891&lt;0,C891&gt;1000000,D891&lt;0,D891&gt;1000000,E891&lt;0,E891&gt;1000000,E891&gt;D891,ABS(F891)&gt;1000000000,ABS(G891)&gt;1000000000,ROUND(F891,2)&lt;&gt;F891,AND(G891&lt;&gt;"",ROUND(G891,2)&lt;&gt;G891)),"REVISAR VALOR","OK"))))),"REVISAR VALOR")</f>
        <v/>
      </c>
    </row>
    <row r="892" spans="1:9" x14ac:dyDescent="0.45">
      <c r="A892" s="4"/>
      <c r="B892" s="8"/>
      <c r="C892" s="5"/>
      <c r="D892" s="5"/>
      <c r="E892" s="5"/>
      <c r="F892" s="7"/>
      <c r="G892" s="7"/>
      <c r="H892" s="8"/>
      <c r="I892" s="12" t="str">
        <f>IFERROR(IF(COUNTA(A892:H892)=0,"",IF(OR(A892="",B892="",C892="",D892="",E892="",F892=""),"FALTA CAMPO",IF(COUNTIFS($A$6:$A$1005,A892,$B$6:$B$1005,B892)&gt;1,"DUPLICADO FECHA-SKU",IF(COUNTIF(CATALOGO!$A$6:$A$105,B892)&lt;&gt;1,"SKU NO VALIDO",IF(OR(A892&lt;DATE(1900,1,1),A892&gt;DATE(2100,12,31),A892&gt;CONFIG!$B$5,C892&lt;0,C892&gt;1000000,D892&lt;0,D892&gt;1000000,E892&lt;0,E892&gt;1000000,E892&gt;D892,ABS(F892)&gt;1000000000,ABS(G892)&gt;1000000000,ROUND(F892,2)&lt;&gt;F892,AND(G892&lt;&gt;"",ROUND(G892,2)&lt;&gt;G892)),"REVISAR VALOR","OK"))))),"REVISAR VALOR")</f>
        <v/>
      </c>
    </row>
    <row r="893" spans="1:9" x14ac:dyDescent="0.45">
      <c r="A893" s="4"/>
      <c r="B893" s="8"/>
      <c r="C893" s="5"/>
      <c r="D893" s="5"/>
      <c r="E893" s="5"/>
      <c r="F893" s="7"/>
      <c r="G893" s="7"/>
      <c r="H893" s="8"/>
      <c r="I893" s="12" t="str">
        <f>IFERROR(IF(COUNTA(A893:H893)=0,"",IF(OR(A893="",B893="",C893="",D893="",E893="",F893=""),"FALTA CAMPO",IF(COUNTIFS($A$6:$A$1005,A893,$B$6:$B$1005,B893)&gt;1,"DUPLICADO FECHA-SKU",IF(COUNTIF(CATALOGO!$A$6:$A$105,B893)&lt;&gt;1,"SKU NO VALIDO",IF(OR(A893&lt;DATE(1900,1,1),A893&gt;DATE(2100,12,31),A893&gt;CONFIG!$B$5,C893&lt;0,C893&gt;1000000,D893&lt;0,D893&gt;1000000,E893&lt;0,E893&gt;1000000,E893&gt;D893,ABS(F893)&gt;1000000000,ABS(G893)&gt;1000000000,ROUND(F893,2)&lt;&gt;F893,AND(G893&lt;&gt;"",ROUND(G893,2)&lt;&gt;G893)),"REVISAR VALOR","OK"))))),"REVISAR VALOR")</f>
        <v/>
      </c>
    </row>
    <row r="894" spans="1:9" x14ac:dyDescent="0.45">
      <c r="A894" s="4"/>
      <c r="B894" s="8"/>
      <c r="C894" s="5"/>
      <c r="D894" s="5"/>
      <c r="E894" s="5"/>
      <c r="F894" s="7"/>
      <c r="G894" s="7"/>
      <c r="H894" s="8"/>
      <c r="I894" s="12" t="str">
        <f>IFERROR(IF(COUNTA(A894:H894)=0,"",IF(OR(A894="",B894="",C894="",D894="",E894="",F894=""),"FALTA CAMPO",IF(COUNTIFS($A$6:$A$1005,A894,$B$6:$B$1005,B894)&gt;1,"DUPLICADO FECHA-SKU",IF(COUNTIF(CATALOGO!$A$6:$A$105,B894)&lt;&gt;1,"SKU NO VALIDO",IF(OR(A894&lt;DATE(1900,1,1),A894&gt;DATE(2100,12,31),A894&gt;CONFIG!$B$5,C894&lt;0,C894&gt;1000000,D894&lt;0,D894&gt;1000000,E894&lt;0,E894&gt;1000000,E894&gt;D894,ABS(F894)&gt;1000000000,ABS(G894)&gt;1000000000,ROUND(F894,2)&lt;&gt;F894,AND(G894&lt;&gt;"",ROUND(G894,2)&lt;&gt;G894)),"REVISAR VALOR","OK"))))),"REVISAR VALOR")</f>
        <v/>
      </c>
    </row>
    <row r="895" spans="1:9" x14ac:dyDescent="0.45">
      <c r="A895" s="4"/>
      <c r="B895" s="8"/>
      <c r="C895" s="5"/>
      <c r="D895" s="5"/>
      <c r="E895" s="5"/>
      <c r="F895" s="7"/>
      <c r="G895" s="7"/>
      <c r="H895" s="8"/>
      <c r="I895" s="12" t="str">
        <f>IFERROR(IF(COUNTA(A895:H895)=0,"",IF(OR(A895="",B895="",C895="",D895="",E895="",F895=""),"FALTA CAMPO",IF(COUNTIFS($A$6:$A$1005,A895,$B$6:$B$1005,B895)&gt;1,"DUPLICADO FECHA-SKU",IF(COUNTIF(CATALOGO!$A$6:$A$105,B895)&lt;&gt;1,"SKU NO VALIDO",IF(OR(A895&lt;DATE(1900,1,1),A895&gt;DATE(2100,12,31),A895&gt;CONFIG!$B$5,C895&lt;0,C895&gt;1000000,D895&lt;0,D895&gt;1000000,E895&lt;0,E895&gt;1000000,E895&gt;D895,ABS(F895)&gt;1000000000,ABS(G895)&gt;1000000000,ROUND(F895,2)&lt;&gt;F895,AND(G895&lt;&gt;"",ROUND(G895,2)&lt;&gt;G895)),"REVISAR VALOR","OK"))))),"REVISAR VALOR")</f>
        <v/>
      </c>
    </row>
    <row r="896" spans="1:9" x14ac:dyDescent="0.45">
      <c r="A896" s="4"/>
      <c r="B896" s="8"/>
      <c r="C896" s="5"/>
      <c r="D896" s="5"/>
      <c r="E896" s="5"/>
      <c r="F896" s="7"/>
      <c r="G896" s="7"/>
      <c r="H896" s="8"/>
      <c r="I896" s="12" t="str">
        <f>IFERROR(IF(COUNTA(A896:H896)=0,"",IF(OR(A896="",B896="",C896="",D896="",E896="",F896=""),"FALTA CAMPO",IF(COUNTIFS($A$6:$A$1005,A896,$B$6:$B$1005,B896)&gt;1,"DUPLICADO FECHA-SKU",IF(COUNTIF(CATALOGO!$A$6:$A$105,B896)&lt;&gt;1,"SKU NO VALIDO",IF(OR(A896&lt;DATE(1900,1,1),A896&gt;DATE(2100,12,31),A896&gt;CONFIG!$B$5,C896&lt;0,C896&gt;1000000,D896&lt;0,D896&gt;1000000,E896&lt;0,E896&gt;1000000,E896&gt;D896,ABS(F896)&gt;1000000000,ABS(G896)&gt;1000000000,ROUND(F896,2)&lt;&gt;F896,AND(G896&lt;&gt;"",ROUND(G896,2)&lt;&gt;G896)),"REVISAR VALOR","OK"))))),"REVISAR VALOR")</f>
        <v/>
      </c>
    </row>
    <row r="897" spans="1:9" x14ac:dyDescent="0.45">
      <c r="A897" s="4"/>
      <c r="B897" s="8"/>
      <c r="C897" s="5"/>
      <c r="D897" s="5"/>
      <c r="E897" s="5"/>
      <c r="F897" s="7"/>
      <c r="G897" s="7"/>
      <c r="H897" s="8"/>
      <c r="I897" s="12" t="str">
        <f>IFERROR(IF(COUNTA(A897:H897)=0,"",IF(OR(A897="",B897="",C897="",D897="",E897="",F897=""),"FALTA CAMPO",IF(COUNTIFS($A$6:$A$1005,A897,$B$6:$B$1005,B897)&gt;1,"DUPLICADO FECHA-SKU",IF(COUNTIF(CATALOGO!$A$6:$A$105,B897)&lt;&gt;1,"SKU NO VALIDO",IF(OR(A897&lt;DATE(1900,1,1),A897&gt;DATE(2100,12,31),A897&gt;CONFIG!$B$5,C897&lt;0,C897&gt;1000000,D897&lt;0,D897&gt;1000000,E897&lt;0,E897&gt;1000000,E897&gt;D897,ABS(F897)&gt;1000000000,ABS(G897)&gt;1000000000,ROUND(F897,2)&lt;&gt;F897,AND(G897&lt;&gt;"",ROUND(G897,2)&lt;&gt;G897)),"REVISAR VALOR","OK"))))),"REVISAR VALOR")</f>
        <v/>
      </c>
    </row>
    <row r="898" spans="1:9" x14ac:dyDescent="0.45">
      <c r="A898" s="4"/>
      <c r="B898" s="8"/>
      <c r="C898" s="5"/>
      <c r="D898" s="5"/>
      <c r="E898" s="5"/>
      <c r="F898" s="7"/>
      <c r="G898" s="7"/>
      <c r="H898" s="8"/>
      <c r="I898" s="12" t="str">
        <f>IFERROR(IF(COUNTA(A898:H898)=0,"",IF(OR(A898="",B898="",C898="",D898="",E898="",F898=""),"FALTA CAMPO",IF(COUNTIFS($A$6:$A$1005,A898,$B$6:$B$1005,B898)&gt;1,"DUPLICADO FECHA-SKU",IF(COUNTIF(CATALOGO!$A$6:$A$105,B898)&lt;&gt;1,"SKU NO VALIDO",IF(OR(A898&lt;DATE(1900,1,1),A898&gt;DATE(2100,12,31),A898&gt;CONFIG!$B$5,C898&lt;0,C898&gt;1000000,D898&lt;0,D898&gt;1000000,E898&lt;0,E898&gt;1000000,E898&gt;D898,ABS(F898)&gt;1000000000,ABS(G898)&gt;1000000000,ROUND(F898,2)&lt;&gt;F898,AND(G898&lt;&gt;"",ROUND(G898,2)&lt;&gt;G898)),"REVISAR VALOR","OK"))))),"REVISAR VALOR")</f>
        <v/>
      </c>
    </row>
    <row r="899" spans="1:9" x14ac:dyDescent="0.45">
      <c r="A899" s="4"/>
      <c r="B899" s="8"/>
      <c r="C899" s="5"/>
      <c r="D899" s="5"/>
      <c r="E899" s="5"/>
      <c r="F899" s="7"/>
      <c r="G899" s="7"/>
      <c r="H899" s="8"/>
      <c r="I899" s="12" t="str">
        <f>IFERROR(IF(COUNTA(A899:H899)=0,"",IF(OR(A899="",B899="",C899="",D899="",E899="",F899=""),"FALTA CAMPO",IF(COUNTIFS($A$6:$A$1005,A899,$B$6:$B$1005,B899)&gt;1,"DUPLICADO FECHA-SKU",IF(COUNTIF(CATALOGO!$A$6:$A$105,B899)&lt;&gt;1,"SKU NO VALIDO",IF(OR(A899&lt;DATE(1900,1,1),A899&gt;DATE(2100,12,31),A899&gt;CONFIG!$B$5,C899&lt;0,C899&gt;1000000,D899&lt;0,D899&gt;1000000,E899&lt;0,E899&gt;1000000,E899&gt;D899,ABS(F899)&gt;1000000000,ABS(G899)&gt;1000000000,ROUND(F899,2)&lt;&gt;F899,AND(G899&lt;&gt;"",ROUND(G899,2)&lt;&gt;G899)),"REVISAR VALOR","OK"))))),"REVISAR VALOR")</f>
        <v/>
      </c>
    </row>
    <row r="900" spans="1:9" x14ac:dyDescent="0.45">
      <c r="A900" s="4"/>
      <c r="B900" s="8"/>
      <c r="C900" s="5"/>
      <c r="D900" s="5"/>
      <c r="E900" s="5"/>
      <c r="F900" s="7"/>
      <c r="G900" s="7"/>
      <c r="H900" s="8"/>
      <c r="I900" s="12" t="str">
        <f>IFERROR(IF(COUNTA(A900:H900)=0,"",IF(OR(A900="",B900="",C900="",D900="",E900="",F900=""),"FALTA CAMPO",IF(COUNTIFS($A$6:$A$1005,A900,$B$6:$B$1005,B900)&gt;1,"DUPLICADO FECHA-SKU",IF(COUNTIF(CATALOGO!$A$6:$A$105,B900)&lt;&gt;1,"SKU NO VALIDO",IF(OR(A900&lt;DATE(1900,1,1),A900&gt;DATE(2100,12,31),A900&gt;CONFIG!$B$5,C900&lt;0,C900&gt;1000000,D900&lt;0,D900&gt;1000000,E900&lt;0,E900&gt;1000000,E900&gt;D900,ABS(F900)&gt;1000000000,ABS(G900)&gt;1000000000,ROUND(F900,2)&lt;&gt;F900,AND(G900&lt;&gt;"",ROUND(G900,2)&lt;&gt;G900)),"REVISAR VALOR","OK"))))),"REVISAR VALOR")</f>
        <v/>
      </c>
    </row>
    <row r="901" spans="1:9" x14ac:dyDescent="0.45">
      <c r="A901" s="4"/>
      <c r="B901" s="8"/>
      <c r="C901" s="5"/>
      <c r="D901" s="5"/>
      <c r="E901" s="5"/>
      <c r="F901" s="7"/>
      <c r="G901" s="7"/>
      <c r="H901" s="8"/>
      <c r="I901" s="12" t="str">
        <f>IFERROR(IF(COUNTA(A901:H901)=0,"",IF(OR(A901="",B901="",C901="",D901="",E901="",F901=""),"FALTA CAMPO",IF(COUNTIFS($A$6:$A$1005,A901,$B$6:$B$1005,B901)&gt;1,"DUPLICADO FECHA-SKU",IF(COUNTIF(CATALOGO!$A$6:$A$105,B901)&lt;&gt;1,"SKU NO VALIDO",IF(OR(A901&lt;DATE(1900,1,1),A901&gt;DATE(2100,12,31),A901&gt;CONFIG!$B$5,C901&lt;0,C901&gt;1000000,D901&lt;0,D901&gt;1000000,E901&lt;0,E901&gt;1000000,E901&gt;D901,ABS(F901)&gt;1000000000,ABS(G901)&gt;1000000000,ROUND(F901,2)&lt;&gt;F901,AND(G901&lt;&gt;"",ROUND(G901,2)&lt;&gt;G901)),"REVISAR VALOR","OK"))))),"REVISAR VALOR")</f>
        <v/>
      </c>
    </row>
    <row r="902" spans="1:9" x14ac:dyDescent="0.45">
      <c r="A902" s="4"/>
      <c r="B902" s="8"/>
      <c r="C902" s="5"/>
      <c r="D902" s="5"/>
      <c r="E902" s="5"/>
      <c r="F902" s="7"/>
      <c r="G902" s="7"/>
      <c r="H902" s="8"/>
      <c r="I902" s="12" t="str">
        <f>IFERROR(IF(COUNTA(A902:H902)=0,"",IF(OR(A902="",B902="",C902="",D902="",E902="",F902=""),"FALTA CAMPO",IF(COUNTIFS($A$6:$A$1005,A902,$B$6:$B$1005,B902)&gt;1,"DUPLICADO FECHA-SKU",IF(COUNTIF(CATALOGO!$A$6:$A$105,B902)&lt;&gt;1,"SKU NO VALIDO",IF(OR(A902&lt;DATE(1900,1,1),A902&gt;DATE(2100,12,31),A902&gt;CONFIG!$B$5,C902&lt;0,C902&gt;1000000,D902&lt;0,D902&gt;1000000,E902&lt;0,E902&gt;1000000,E902&gt;D902,ABS(F902)&gt;1000000000,ABS(G902)&gt;1000000000,ROUND(F902,2)&lt;&gt;F902,AND(G902&lt;&gt;"",ROUND(G902,2)&lt;&gt;G902)),"REVISAR VALOR","OK"))))),"REVISAR VALOR")</f>
        <v/>
      </c>
    </row>
    <row r="903" spans="1:9" x14ac:dyDescent="0.45">
      <c r="A903" s="4"/>
      <c r="B903" s="8"/>
      <c r="C903" s="5"/>
      <c r="D903" s="5"/>
      <c r="E903" s="5"/>
      <c r="F903" s="7"/>
      <c r="G903" s="7"/>
      <c r="H903" s="8"/>
      <c r="I903" s="12" t="str">
        <f>IFERROR(IF(COUNTA(A903:H903)=0,"",IF(OR(A903="",B903="",C903="",D903="",E903="",F903=""),"FALTA CAMPO",IF(COUNTIFS($A$6:$A$1005,A903,$B$6:$B$1005,B903)&gt;1,"DUPLICADO FECHA-SKU",IF(COUNTIF(CATALOGO!$A$6:$A$105,B903)&lt;&gt;1,"SKU NO VALIDO",IF(OR(A903&lt;DATE(1900,1,1),A903&gt;DATE(2100,12,31),A903&gt;CONFIG!$B$5,C903&lt;0,C903&gt;1000000,D903&lt;0,D903&gt;1000000,E903&lt;0,E903&gt;1000000,E903&gt;D903,ABS(F903)&gt;1000000000,ABS(G903)&gt;1000000000,ROUND(F903,2)&lt;&gt;F903,AND(G903&lt;&gt;"",ROUND(G903,2)&lt;&gt;G903)),"REVISAR VALOR","OK"))))),"REVISAR VALOR")</f>
        <v/>
      </c>
    </row>
    <row r="904" spans="1:9" x14ac:dyDescent="0.45">
      <c r="A904" s="4"/>
      <c r="B904" s="8"/>
      <c r="C904" s="5"/>
      <c r="D904" s="5"/>
      <c r="E904" s="5"/>
      <c r="F904" s="7"/>
      <c r="G904" s="7"/>
      <c r="H904" s="8"/>
      <c r="I904" s="12" t="str">
        <f>IFERROR(IF(COUNTA(A904:H904)=0,"",IF(OR(A904="",B904="",C904="",D904="",E904="",F904=""),"FALTA CAMPO",IF(COUNTIFS($A$6:$A$1005,A904,$B$6:$B$1005,B904)&gt;1,"DUPLICADO FECHA-SKU",IF(COUNTIF(CATALOGO!$A$6:$A$105,B904)&lt;&gt;1,"SKU NO VALIDO",IF(OR(A904&lt;DATE(1900,1,1),A904&gt;DATE(2100,12,31),A904&gt;CONFIG!$B$5,C904&lt;0,C904&gt;1000000,D904&lt;0,D904&gt;1000000,E904&lt;0,E904&gt;1000000,E904&gt;D904,ABS(F904)&gt;1000000000,ABS(G904)&gt;1000000000,ROUND(F904,2)&lt;&gt;F904,AND(G904&lt;&gt;"",ROUND(G904,2)&lt;&gt;G904)),"REVISAR VALOR","OK"))))),"REVISAR VALOR")</f>
        <v/>
      </c>
    </row>
    <row r="905" spans="1:9" x14ac:dyDescent="0.45">
      <c r="A905" s="4"/>
      <c r="B905" s="8"/>
      <c r="C905" s="5"/>
      <c r="D905" s="5"/>
      <c r="E905" s="5"/>
      <c r="F905" s="7"/>
      <c r="G905" s="7"/>
      <c r="H905" s="8"/>
      <c r="I905" s="12" t="str">
        <f>IFERROR(IF(COUNTA(A905:H905)=0,"",IF(OR(A905="",B905="",C905="",D905="",E905="",F905=""),"FALTA CAMPO",IF(COUNTIFS($A$6:$A$1005,A905,$B$6:$B$1005,B905)&gt;1,"DUPLICADO FECHA-SKU",IF(COUNTIF(CATALOGO!$A$6:$A$105,B905)&lt;&gt;1,"SKU NO VALIDO",IF(OR(A905&lt;DATE(1900,1,1),A905&gt;DATE(2100,12,31),A905&gt;CONFIG!$B$5,C905&lt;0,C905&gt;1000000,D905&lt;0,D905&gt;1000000,E905&lt;0,E905&gt;1000000,E905&gt;D905,ABS(F905)&gt;1000000000,ABS(G905)&gt;1000000000,ROUND(F905,2)&lt;&gt;F905,AND(G905&lt;&gt;"",ROUND(G905,2)&lt;&gt;G905)),"REVISAR VALOR","OK"))))),"REVISAR VALOR")</f>
        <v/>
      </c>
    </row>
    <row r="906" spans="1:9" x14ac:dyDescent="0.45">
      <c r="A906" s="4"/>
      <c r="B906" s="8"/>
      <c r="C906" s="5"/>
      <c r="D906" s="5"/>
      <c r="E906" s="5"/>
      <c r="F906" s="7"/>
      <c r="G906" s="7"/>
      <c r="H906" s="8"/>
      <c r="I906" s="12" t="str">
        <f>IFERROR(IF(COUNTA(A906:H906)=0,"",IF(OR(A906="",B906="",C906="",D906="",E906="",F906=""),"FALTA CAMPO",IF(COUNTIFS($A$6:$A$1005,A906,$B$6:$B$1005,B906)&gt;1,"DUPLICADO FECHA-SKU",IF(COUNTIF(CATALOGO!$A$6:$A$105,B906)&lt;&gt;1,"SKU NO VALIDO",IF(OR(A906&lt;DATE(1900,1,1),A906&gt;DATE(2100,12,31),A906&gt;CONFIG!$B$5,C906&lt;0,C906&gt;1000000,D906&lt;0,D906&gt;1000000,E906&lt;0,E906&gt;1000000,E906&gt;D906,ABS(F906)&gt;1000000000,ABS(G906)&gt;1000000000,ROUND(F906,2)&lt;&gt;F906,AND(G906&lt;&gt;"",ROUND(G906,2)&lt;&gt;G906)),"REVISAR VALOR","OK"))))),"REVISAR VALOR")</f>
        <v/>
      </c>
    </row>
    <row r="907" spans="1:9" x14ac:dyDescent="0.45">
      <c r="A907" s="4"/>
      <c r="B907" s="8"/>
      <c r="C907" s="5"/>
      <c r="D907" s="5"/>
      <c r="E907" s="5"/>
      <c r="F907" s="7"/>
      <c r="G907" s="7"/>
      <c r="H907" s="8"/>
      <c r="I907" s="12" t="str">
        <f>IFERROR(IF(COUNTA(A907:H907)=0,"",IF(OR(A907="",B907="",C907="",D907="",E907="",F907=""),"FALTA CAMPO",IF(COUNTIFS($A$6:$A$1005,A907,$B$6:$B$1005,B907)&gt;1,"DUPLICADO FECHA-SKU",IF(COUNTIF(CATALOGO!$A$6:$A$105,B907)&lt;&gt;1,"SKU NO VALIDO",IF(OR(A907&lt;DATE(1900,1,1),A907&gt;DATE(2100,12,31),A907&gt;CONFIG!$B$5,C907&lt;0,C907&gt;1000000,D907&lt;0,D907&gt;1000000,E907&lt;0,E907&gt;1000000,E907&gt;D907,ABS(F907)&gt;1000000000,ABS(G907)&gt;1000000000,ROUND(F907,2)&lt;&gt;F907,AND(G907&lt;&gt;"",ROUND(G907,2)&lt;&gt;G907)),"REVISAR VALOR","OK"))))),"REVISAR VALOR")</f>
        <v/>
      </c>
    </row>
    <row r="908" spans="1:9" x14ac:dyDescent="0.45">
      <c r="A908" s="4"/>
      <c r="B908" s="8"/>
      <c r="C908" s="5"/>
      <c r="D908" s="5"/>
      <c r="E908" s="5"/>
      <c r="F908" s="7"/>
      <c r="G908" s="7"/>
      <c r="H908" s="8"/>
      <c r="I908" s="12" t="str">
        <f>IFERROR(IF(COUNTA(A908:H908)=0,"",IF(OR(A908="",B908="",C908="",D908="",E908="",F908=""),"FALTA CAMPO",IF(COUNTIFS($A$6:$A$1005,A908,$B$6:$B$1005,B908)&gt;1,"DUPLICADO FECHA-SKU",IF(COUNTIF(CATALOGO!$A$6:$A$105,B908)&lt;&gt;1,"SKU NO VALIDO",IF(OR(A908&lt;DATE(1900,1,1),A908&gt;DATE(2100,12,31),A908&gt;CONFIG!$B$5,C908&lt;0,C908&gt;1000000,D908&lt;0,D908&gt;1000000,E908&lt;0,E908&gt;1000000,E908&gt;D908,ABS(F908)&gt;1000000000,ABS(G908)&gt;1000000000,ROUND(F908,2)&lt;&gt;F908,AND(G908&lt;&gt;"",ROUND(G908,2)&lt;&gt;G908)),"REVISAR VALOR","OK"))))),"REVISAR VALOR")</f>
        <v/>
      </c>
    </row>
    <row r="909" spans="1:9" x14ac:dyDescent="0.45">
      <c r="A909" s="4"/>
      <c r="B909" s="8"/>
      <c r="C909" s="5"/>
      <c r="D909" s="5"/>
      <c r="E909" s="5"/>
      <c r="F909" s="7"/>
      <c r="G909" s="7"/>
      <c r="H909" s="8"/>
      <c r="I909" s="12" t="str">
        <f>IFERROR(IF(COUNTA(A909:H909)=0,"",IF(OR(A909="",B909="",C909="",D909="",E909="",F909=""),"FALTA CAMPO",IF(COUNTIFS($A$6:$A$1005,A909,$B$6:$B$1005,B909)&gt;1,"DUPLICADO FECHA-SKU",IF(COUNTIF(CATALOGO!$A$6:$A$105,B909)&lt;&gt;1,"SKU NO VALIDO",IF(OR(A909&lt;DATE(1900,1,1),A909&gt;DATE(2100,12,31),A909&gt;CONFIG!$B$5,C909&lt;0,C909&gt;1000000,D909&lt;0,D909&gt;1000000,E909&lt;0,E909&gt;1000000,E909&gt;D909,ABS(F909)&gt;1000000000,ABS(G909)&gt;1000000000,ROUND(F909,2)&lt;&gt;F909,AND(G909&lt;&gt;"",ROUND(G909,2)&lt;&gt;G909)),"REVISAR VALOR","OK"))))),"REVISAR VALOR")</f>
        <v/>
      </c>
    </row>
    <row r="910" spans="1:9" x14ac:dyDescent="0.45">
      <c r="A910" s="4"/>
      <c r="B910" s="8"/>
      <c r="C910" s="5"/>
      <c r="D910" s="5"/>
      <c r="E910" s="5"/>
      <c r="F910" s="7"/>
      <c r="G910" s="7"/>
      <c r="H910" s="8"/>
      <c r="I910" s="12" t="str">
        <f>IFERROR(IF(COUNTA(A910:H910)=0,"",IF(OR(A910="",B910="",C910="",D910="",E910="",F910=""),"FALTA CAMPO",IF(COUNTIFS($A$6:$A$1005,A910,$B$6:$B$1005,B910)&gt;1,"DUPLICADO FECHA-SKU",IF(COUNTIF(CATALOGO!$A$6:$A$105,B910)&lt;&gt;1,"SKU NO VALIDO",IF(OR(A910&lt;DATE(1900,1,1),A910&gt;DATE(2100,12,31),A910&gt;CONFIG!$B$5,C910&lt;0,C910&gt;1000000,D910&lt;0,D910&gt;1000000,E910&lt;0,E910&gt;1000000,E910&gt;D910,ABS(F910)&gt;1000000000,ABS(G910)&gt;1000000000,ROUND(F910,2)&lt;&gt;F910,AND(G910&lt;&gt;"",ROUND(G910,2)&lt;&gt;G910)),"REVISAR VALOR","OK"))))),"REVISAR VALOR")</f>
        <v/>
      </c>
    </row>
    <row r="911" spans="1:9" x14ac:dyDescent="0.45">
      <c r="A911" s="4"/>
      <c r="B911" s="8"/>
      <c r="C911" s="5"/>
      <c r="D911" s="5"/>
      <c r="E911" s="5"/>
      <c r="F911" s="7"/>
      <c r="G911" s="7"/>
      <c r="H911" s="8"/>
      <c r="I911" s="12" t="str">
        <f>IFERROR(IF(COUNTA(A911:H911)=0,"",IF(OR(A911="",B911="",C911="",D911="",E911="",F911=""),"FALTA CAMPO",IF(COUNTIFS($A$6:$A$1005,A911,$B$6:$B$1005,B911)&gt;1,"DUPLICADO FECHA-SKU",IF(COUNTIF(CATALOGO!$A$6:$A$105,B911)&lt;&gt;1,"SKU NO VALIDO",IF(OR(A911&lt;DATE(1900,1,1),A911&gt;DATE(2100,12,31),A911&gt;CONFIG!$B$5,C911&lt;0,C911&gt;1000000,D911&lt;0,D911&gt;1000000,E911&lt;0,E911&gt;1000000,E911&gt;D911,ABS(F911)&gt;1000000000,ABS(G911)&gt;1000000000,ROUND(F911,2)&lt;&gt;F911,AND(G911&lt;&gt;"",ROUND(G911,2)&lt;&gt;G911)),"REVISAR VALOR","OK"))))),"REVISAR VALOR")</f>
        <v/>
      </c>
    </row>
    <row r="912" spans="1:9" x14ac:dyDescent="0.45">
      <c r="A912" s="4"/>
      <c r="B912" s="8"/>
      <c r="C912" s="5"/>
      <c r="D912" s="5"/>
      <c r="E912" s="5"/>
      <c r="F912" s="7"/>
      <c r="G912" s="7"/>
      <c r="H912" s="8"/>
      <c r="I912" s="12" t="str">
        <f>IFERROR(IF(COUNTA(A912:H912)=0,"",IF(OR(A912="",B912="",C912="",D912="",E912="",F912=""),"FALTA CAMPO",IF(COUNTIFS($A$6:$A$1005,A912,$B$6:$B$1005,B912)&gt;1,"DUPLICADO FECHA-SKU",IF(COUNTIF(CATALOGO!$A$6:$A$105,B912)&lt;&gt;1,"SKU NO VALIDO",IF(OR(A912&lt;DATE(1900,1,1),A912&gt;DATE(2100,12,31),A912&gt;CONFIG!$B$5,C912&lt;0,C912&gt;1000000,D912&lt;0,D912&gt;1000000,E912&lt;0,E912&gt;1000000,E912&gt;D912,ABS(F912)&gt;1000000000,ABS(G912)&gt;1000000000,ROUND(F912,2)&lt;&gt;F912,AND(G912&lt;&gt;"",ROUND(G912,2)&lt;&gt;G912)),"REVISAR VALOR","OK"))))),"REVISAR VALOR")</f>
        <v/>
      </c>
    </row>
    <row r="913" spans="1:9" x14ac:dyDescent="0.45">
      <c r="A913" s="4"/>
      <c r="B913" s="8"/>
      <c r="C913" s="5"/>
      <c r="D913" s="5"/>
      <c r="E913" s="5"/>
      <c r="F913" s="7"/>
      <c r="G913" s="7"/>
      <c r="H913" s="8"/>
      <c r="I913" s="12" t="str">
        <f>IFERROR(IF(COUNTA(A913:H913)=0,"",IF(OR(A913="",B913="",C913="",D913="",E913="",F913=""),"FALTA CAMPO",IF(COUNTIFS($A$6:$A$1005,A913,$B$6:$B$1005,B913)&gt;1,"DUPLICADO FECHA-SKU",IF(COUNTIF(CATALOGO!$A$6:$A$105,B913)&lt;&gt;1,"SKU NO VALIDO",IF(OR(A913&lt;DATE(1900,1,1),A913&gt;DATE(2100,12,31),A913&gt;CONFIG!$B$5,C913&lt;0,C913&gt;1000000,D913&lt;0,D913&gt;1000000,E913&lt;0,E913&gt;1000000,E913&gt;D913,ABS(F913)&gt;1000000000,ABS(G913)&gt;1000000000,ROUND(F913,2)&lt;&gt;F913,AND(G913&lt;&gt;"",ROUND(G913,2)&lt;&gt;G913)),"REVISAR VALOR","OK"))))),"REVISAR VALOR")</f>
        <v/>
      </c>
    </row>
    <row r="914" spans="1:9" x14ac:dyDescent="0.45">
      <c r="A914" s="4"/>
      <c r="B914" s="8"/>
      <c r="C914" s="5"/>
      <c r="D914" s="5"/>
      <c r="E914" s="5"/>
      <c r="F914" s="7"/>
      <c r="G914" s="7"/>
      <c r="H914" s="8"/>
      <c r="I914" s="12" t="str">
        <f>IFERROR(IF(COUNTA(A914:H914)=0,"",IF(OR(A914="",B914="",C914="",D914="",E914="",F914=""),"FALTA CAMPO",IF(COUNTIFS($A$6:$A$1005,A914,$B$6:$B$1005,B914)&gt;1,"DUPLICADO FECHA-SKU",IF(COUNTIF(CATALOGO!$A$6:$A$105,B914)&lt;&gt;1,"SKU NO VALIDO",IF(OR(A914&lt;DATE(1900,1,1),A914&gt;DATE(2100,12,31),A914&gt;CONFIG!$B$5,C914&lt;0,C914&gt;1000000,D914&lt;0,D914&gt;1000000,E914&lt;0,E914&gt;1000000,E914&gt;D914,ABS(F914)&gt;1000000000,ABS(G914)&gt;1000000000,ROUND(F914,2)&lt;&gt;F914,AND(G914&lt;&gt;"",ROUND(G914,2)&lt;&gt;G914)),"REVISAR VALOR","OK"))))),"REVISAR VALOR")</f>
        <v/>
      </c>
    </row>
    <row r="915" spans="1:9" x14ac:dyDescent="0.45">
      <c r="A915" s="4"/>
      <c r="B915" s="8"/>
      <c r="C915" s="5"/>
      <c r="D915" s="5"/>
      <c r="E915" s="5"/>
      <c r="F915" s="7"/>
      <c r="G915" s="7"/>
      <c r="H915" s="8"/>
      <c r="I915" s="12" t="str">
        <f>IFERROR(IF(COUNTA(A915:H915)=0,"",IF(OR(A915="",B915="",C915="",D915="",E915="",F915=""),"FALTA CAMPO",IF(COUNTIFS($A$6:$A$1005,A915,$B$6:$B$1005,B915)&gt;1,"DUPLICADO FECHA-SKU",IF(COUNTIF(CATALOGO!$A$6:$A$105,B915)&lt;&gt;1,"SKU NO VALIDO",IF(OR(A915&lt;DATE(1900,1,1),A915&gt;DATE(2100,12,31),A915&gt;CONFIG!$B$5,C915&lt;0,C915&gt;1000000,D915&lt;0,D915&gt;1000000,E915&lt;0,E915&gt;1000000,E915&gt;D915,ABS(F915)&gt;1000000000,ABS(G915)&gt;1000000000,ROUND(F915,2)&lt;&gt;F915,AND(G915&lt;&gt;"",ROUND(G915,2)&lt;&gt;G915)),"REVISAR VALOR","OK"))))),"REVISAR VALOR")</f>
        <v/>
      </c>
    </row>
    <row r="916" spans="1:9" x14ac:dyDescent="0.45">
      <c r="A916" s="4"/>
      <c r="B916" s="8"/>
      <c r="C916" s="5"/>
      <c r="D916" s="5"/>
      <c r="E916" s="5"/>
      <c r="F916" s="7"/>
      <c r="G916" s="7"/>
      <c r="H916" s="8"/>
      <c r="I916" s="12" t="str">
        <f>IFERROR(IF(COUNTA(A916:H916)=0,"",IF(OR(A916="",B916="",C916="",D916="",E916="",F916=""),"FALTA CAMPO",IF(COUNTIFS($A$6:$A$1005,A916,$B$6:$B$1005,B916)&gt;1,"DUPLICADO FECHA-SKU",IF(COUNTIF(CATALOGO!$A$6:$A$105,B916)&lt;&gt;1,"SKU NO VALIDO",IF(OR(A916&lt;DATE(1900,1,1),A916&gt;DATE(2100,12,31),A916&gt;CONFIG!$B$5,C916&lt;0,C916&gt;1000000,D916&lt;0,D916&gt;1000000,E916&lt;0,E916&gt;1000000,E916&gt;D916,ABS(F916)&gt;1000000000,ABS(G916)&gt;1000000000,ROUND(F916,2)&lt;&gt;F916,AND(G916&lt;&gt;"",ROUND(G916,2)&lt;&gt;G916)),"REVISAR VALOR","OK"))))),"REVISAR VALOR")</f>
        <v/>
      </c>
    </row>
    <row r="917" spans="1:9" x14ac:dyDescent="0.45">
      <c r="A917" s="4"/>
      <c r="B917" s="8"/>
      <c r="C917" s="5"/>
      <c r="D917" s="5"/>
      <c r="E917" s="5"/>
      <c r="F917" s="7"/>
      <c r="G917" s="7"/>
      <c r="H917" s="8"/>
      <c r="I917" s="12" t="str">
        <f>IFERROR(IF(COUNTA(A917:H917)=0,"",IF(OR(A917="",B917="",C917="",D917="",E917="",F917=""),"FALTA CAMPO",IF(COUNTIFS($A$6:$A$1005,A917,$B$6:$B$1005,B917)&gt;1,"DUPLICADO FECHA-SKU",IF(COUNTIF(CATALOGO!$A$6:$A$105,B917)&lt;&gt;1,"SKU NO VALIDO",IF(OR(A917&lt;DATE(1900,1,1),A917&gt;DATE(2100,12,31),A917&gt;CONFIG!$B$5,C917&lt;0,C917&gt;1000000,D917&lt;0,D917&gt;1000000,E917&lt;0,E917&gt;1000000,E917&gt;D917,ABS(F917)&gt;1000000000,ABS(G917)&gt;1000000000,ROUND(F917,2)&lt;&gt;F917,AND(G917&lt;&gt;"",ROUND(G917,2)&lt;&gt;G917)),"REVISAR VALOR","OK"))))),"REVISAR VALOR")</f>
        <v/>
      </c>
    </row>
    <row r="918" spans="1:9" x14ac:dyDescent="0.45">
      <c r="A918" s="4"/>
      <c r="B918" s="8"/>
      <c r="C918" s="5"/>
      <c r="D918" s="5"/>
      <c r="E918" s="5"/>
      <c r="F918" s="7"/>
      <c r="G918" s="7"/>
      <c r="H918" s="8"/>
      <c r="I918" s="12" t="str">
        <f>IFERROR(IF(COUNTA(A918:H918)=0,"",IF(OR(A918="",B918="",C918="",D918="",E918="",F918=""),"FALTA CAMPO",IF(COUNTIFS($A$6:$A$1005,A918,$B$6:$B$1005,B918)&gt;1,"DUPLICADO FECHA-SKU",IF(COUNTIF(CATALOGO!$A$6:$A$105,B918)&lt;&gt;1,"SKU NO VALIDO",IF(OR(A918&lt;DATE(1900,1,1),A918&gt;DATE(2100,12,31),A918&gt;CONFIG!$B$5,C918&lt;0,C918&gt;1000000,D918&lt;0,D918&gt;1000000,E918&lt;0,E918&gt;1000000,E918&gt;D918,ABS(F918)&gt;1000000000,ABS(G918)&gt;1000000000,ROUND(F918,2)&lt;&gt;F918,AND(G918&lt;&gt;"",ROUND(G918,2)&lt;&gt;G918)),"REVISAR VALOR","OK"))))),"REVISAR VALOR")</f>
        <v/>
      </c>
    </row>
    <row r="919" spans="1:9" x14ac:dyDescent="0.45">
      <c r="A919" s="4"/>
      <c r="B919" s="8"/>
      <c r="C919" s="5"/>
      <c r="D919" s="5"/>
      <c r="E919" s="5"/>
      <c r="F919" s="7"/>
      <c r="G919" s="7"/>
      <c r="H919" s="8"/>
      <c r="I919" s="12" t="str">
        <f>IFERROR(IF(COUNTA(A919:H919)=0,"",IF(OR(A919="",B919="",C919="",D919="",E919="",F919=""),"FALTA CAMPO",IF(COUNTIFS($A$6:$A$1005,A919,$B$6:$B$1005,B919)&gt;1,"DUPLICADO FECHA-SKU",IF(COUNTIF(CATALOGO!$A$6:$A$105,B919)&lt;&gt;1,"SKU NO VALIDO",IF(OR(A919&lt;DATE(1900,1,1),A919&gt;DATE(2100,12,31),A919&gt;CONFIG!$B$5,C919&lt;0,C919&gt;1000000,D919&lt;0,D919&gt;1000000,E919&lt;0,E919&gt;1000000,E919&gt;D919,ABS(F919)&gt;1000000000,ABS(G919)&gt;1000000000,ROUND(F919,2)&lt;&gt;F919,AND(G919&lt;&gt;"",ROUND(G919,2)&lt;&gt;G919)),"REVISAR VALOR","OK"))))),"REVISAR VALOR")</f>
        <v/>
      </c>
    </row>
    <row r="920" spans="1:9" x14ac:dyDescent="0.45">
      <c r="A920" s="4"/>
      <c r="B920" s="8"/>
      <c r="C920" s="5"/>
      <c r="D920" s="5"/>
      <c r="E920" s="5"/>
      <c r="F920" s="7"/>
      <c r="G920" s="7"/>
      <c r="H920" s="8"/>
      <c r="I920" s="12" t="str">
        <f>IFERROR(IF(COUNTA(A920:H920)=0,"",IF(OR(A920="",B920="",C920="",D920="",E920="",F920=""),"FALTA CAMPO",IF(COUNTIFS($A$6:$A$1005,A920,$B$6:$B$1005,B920)&gt;1,"DUPLICADO FECHA-SKU",IF(COUNTIF(CATALOGO!$A$6:$A$105,B920)&lt;&gt;1,"SKU NO VALIDO",IF(OR(A920&lt;DATE(1900,1,1),A920&gt;DATE(2100,12,31),A920&gt;CONFIG!$B$5,C920&lt;0,C920&gt;1000000,D920&lt;0,D920&gt;1000000,E920&lt;0,E920&gt;1000000,E920&gt;D920,ABS(F920)&gt;1000000000,ABS(G920)&gt;1000000000,ROUND(F920,2)&lt;&gt;F920,AND(G920&lt;&gt;"",ROUND(G920,2)&lt;&gt;G920)),"REVISAR VALOR","OK"))))),"REVISAR VALOR")</f>
        <v/>
      </c>
    </row>
    <row r="921" spans="1:9" x14ac:dyDescent="0.45">
      <c r="A921" s="4"/>
      <c r="B921" s="8"/>
      <c r="C921" s="5"/>
      <c r="D921" s="5"/>
      <c r="E921" s="5"/>
      <c r="F921" s="7"/>
      <c r="G921" s="7"/>
      <c r="H921" s="8"/>
      <c r="I921" s="12" t="str">
        <f>IFERROR(IF(COUNTA(A921:H921)=0,"",IF(OR(A921="",B921="",C921="",D921="",E921="",F921=""),"FALTA CAMPO",IF(COUNTIFS($A$6:$A$1005,A921,$B$6:$B$1005,B921)&gt;1,"DUPLICADO FECHA-SKU",IF(COUNTIF(CATALOGO!$A$6:$A$105,B921)&lt;&gt;1,"SKU NO VALIDO",IF(OR(A921&lt;DATE(1900,1,1),A921&gt;DATE(2100,12,31),A921&gt;CONFIG!$B$5,C921&lt;0,C921&gt;1000000,D921&lt;0,D921&gt;1000000,E921&lt;0,E921&gt;1000000,E921&gt;D921,ABS(F921)&gt;1000000000,ABS(G921)&gt;1000000000,ROUND(F921,2)&lt;&gt;F921,AND(G921&lt;&gt;"",ROUND(G921,2)&lt;&gt;G921)),"REVISAR VALOR","OK"))))),"REVISAR VALOR")</f>
        <v/>
      </c>
    </row>
    <row r="922" spans="1:9" x14ac:dyDescent="0.45">
      <c r="A922" s="4"/>
      <c r="B922" s="8"/>
      <c r="C922" s="5"/>
      <c r="D922" s="5"/>
      <c r="E922" s="5"/>
      <c r="F922" s="7"/>
      <c r="G922" s="7"/>
      <c r="H922" s="8"/>
      <c r="I922" s="12" t="str">
        <f>IFERROR(IF(COUNTA(A922:H922)=0,"",IF(OR(A922="",B922="",C922="",D922="",E922="",F922=""),"FALTA CAMPO",IF(COUNTIFS($A$6:$A$1005,A922,$B$6:$B$1005,B922)&gt;1,"DUPLICADO FECHA-SKU",IF(COUNTIF(CATALOGO!$A$6:$A$105,B922)&lt;&gt;1,"SKU NO VALIDO",IF(OR(A922&lt;DATE(1900,1,1),A922&gt;DATE(2100,12,31),A922&gt;CONFIG!$B$5,C922&lt;0,C922&gt;1000000,D922&lt;0,D922&gt;1000000,E922&lt;0,E922&gt;1000000,E922&gt;D922,ABS(F922)&gt;1000000000,ABS(G922)&gt;1000000000,ROUND(F922,2)&lt;&gt;F922,AND(G922&lt;&gt;"",ROUND(G922,2)&lt;&gt;G922)),"REVISAR VALOR","OK"))))),"REVISAR VALOR")</f>
        <v/>
      </c>
    </row>
    <row r="923" spans="1:9" x14ac:dyDescent="0.45">
      <c r="A923" s="4"/>
      <c r="B923" s="8"/>
      <c r="C923" s="5"/>
      <c r="D923" s="5"/>
      <c r="E923" s="5"/>
      <c r="F923" s="7"/>
      <c r="G923" s="7"/>
      <c r="H923" s="8"/>
      <c r="I923" s="12" t="str">
        <f>IFERROR(IF(COUNTA(A923:H923)=0,"",IF(OR(A923="",B923="",C923="",D923="",E923="",F923=""),"FALTA CAMPO",IF(COUNTIFS($A$6:$A$1005,A923,$B$6:$B$1005,B923)&gt;1,"DUPLICADO FECHA-SKU",IF(COUNTIF(CATALOGO!$A$6:$A$105,B923)&lt;&gt;1,"SKU NO VALIDO",IF(OR(A923&lt;DATE(1900,1,1),A923&gt;DATE(2100,12,31),A923&gt;CONFIG!$B$5,C923&lt;0,C923&gt;1000000,D923&lt;0,D923&gt;1000000,E923&lt;0,E923&gt;1000000,E923&gt;D923,ABS(F923)&gt;1000000000,ABS(G923)&gt;1000000000,ROUND(F923,2)&lt;&gt;F923,AND(G923&lt;&gt;"",ROUND(G923,2)&lt;&gt;G923)),"REVISAR VALOR","OK"))))),"REVISAR VALOR")</f>
        <v/>
      </c>
    </row>
    <row r="924" spans="1:9" x14ac:dyDescent="0.45">
      <c r="A924" s="4"/>
      <c r="B924" s="8"/>
      <c r="C924" s="5"/>
      <c r="D924" s="5"/>
      <c r="E924" s="5"/>
      <c r="F924" s="7"/>
      <c r="G924" s="7"/>
      <c r="H924" s="8"/>
      <c r="I924" s="12" t="str">
        <f>IFERROR(IF(COUNTA(A924:H924)=0,"",IF(OR(A924="",B924="",C924="",D924="",E924="",F924=""),"FALTA CAMPO",IF(COUNTIFS($A$6:$A$1005,A924,$B$6:$B$1005,B924)&gt;1,"DUPLICADO FECHA-SKU",IF(COUNTIF(CATALOGO!$A$6:$A$105,B924)&lt;&gt;1,"SKU NO VALIDO",IF(OR(A924&lt;DATE(1900,1,1),A924&gt;DATE(2100,12,31),A924&gt;CONFIG!$B$5,C924&lt;0,C924&gt;1000000,D924&lt;0,D924&gt;1000000,E924&lt;0,E924&gt;1000000,E924&gt;D924,ABS(F924)&gt;1000000000,ABS(G924)&gt;1000000000,ROUND(F924,2)&lt;&gt;F924,AND(G924&lt;&gt;"",ROUND(G924,2)&lt;&gt;G924)),"REVISAR VALOR","OK"))))),"REVISAR VALOR")</f>
        <v/>
      </c>
    </row>
    <row r="925" spans="1:9" x14ac:dyDescent="0.45">
      <c r="A925" s="4"/>
      <c r="B925" s="8"/>
      <c r="C925" s="5"/>
      <c r="D925" s="5"/>
      <c r="E925" s="5"/>
      <c r="F925" s="7"/>
      <c r="G925" s="7"/>
      <c r="H925" s="8"/>
      <c r="I925" s="12" t="str">
        <f>IFERROR(IF(COUNTA(A925:H925)=0,"",IF(OR(A925="",B925="",C925="",D925="",E925="",F925=""),"FALTA CAMPO",IF(COUNTIFS($A$6:$A$1005,A925,$B$6:$B$1005,B925)&gt;1,"DUPLICADO FECHA-SKU",IF(COUNTIF(CATALOGO!$A$6:$A$105,B925)&lt;&gt;1,"SKU NO VALIDO",IF(OR(A925&lt;DATE(1900,1,1),A925&gt;DATE(2100,12,31),A925&gt;CONFIG!$B$5,C925&lt;0,C925&gt;1000000,D925&lt;0,D925&gt;1000000,E925&lt;0,E925&gt;1000000,E925&gt;D925,ABS(F925)&gt;1000000000,ABS(G925)&gt;1000000000,ROUND(F925,2)&lt;&gt;F925,AND(G925&lt;&gt;"",ROUND(G925,2)&lt;&gt;G925)),"REVISAR VALOR","OK"))))),"REVISAR VALOR")</f>
        <v/>
      </c>
    </row>
    <row r="926" spans="1:9" x14ac:dyDescent="0.45">
      <c r="A926" s="4"/>
      <c r="B926" s="8"/>
      <c r="C926" s="5"/>
      <c r="D926" s="5"/>
      <c r="E926" s="5"/>
      <c r="F926" s="7"/>
      <c r="G926" s="7"/>
      <c r="H926" s="8"/>
      <c r="I926" s="12" t="str">
        <f>IFERROR(IF(COUNTA(A926:H926)=0,"",IF(OR(A926="",B926="",C926="",D926="",E926="",F926=""),"FALTA CAMPO",IF(COUNTIFS($A$6:$A$1005,A926,$B$6:$B$1005,B926)&gt;1,"DUPLICADO FECHA-SKU",IF(COUNTIF(CATALOGO!$A$6:$A$105,B926)&lt;&gt;1,"SKU NO VALIDO",IF(OR(A926&lt;DATE(1900,1,1),A926&gt;DATE(2100,12,31),A926&gt;CONFIG!$B$5,C926&lt;0,C926&gt;1000000,D926&lt;0,D926&gt;1000000,E926&lt;0,E926&gt;1000000,E926&gt;D926,ABS(F926)&gt;1000000000,ABS(G926)&gt;1000000000,ROUND(F926,2)&lt;&gt;F926,AND(G926&lt;&gt;"",ROUND(G926,2)&lt;&gt;G926)),"REVISAR VALOR","OK"))))),"REVISAR VALOR")</f>
        <v/>
      </c>
    </row>
    <row r="927" spans="1:9" x14ac:dyDescent="0.45">
      <c r="A927" s="4"/>
      <c r="B927" s="8"/>
      <c r="C927" s="5"/>
      <c r="D927" s="5"/>
      <c r="E927" s="5"/>
      <c r="F927" s="7"/>
      <c r="G927" s="7"/>
      <c r="H927" s="8"/>
      <c r="I927" s="12" t="str">
        <f>IFERROR(IF(COUNTA(A927:H927)=0,"",IF(OR(A927="",B927="",C927="",D927="",E927="",F927=""),"FALTA CAMPO",IF(COUNTIFS($A$6:$A$1005,A927,$B$6:$B$1005,B927)&gt;1,"DUPLICADO FECHA-SKU",IF(COUNTIF(CATALOGO!$A$6:$A$105,B927)&lt;&gt;1,"SKU NO VALIDO",IF(OR(A927&lt;DATE(1900,1,1),A927&gt;DATE(2100,12,31),A927&gt;CONFIG!$B$5,C927&lt;0,C927&gt;1000000,D927&lt;0,D927&gt;1000000,E927&lt;0,E927&gt;1000000,E927&gt;D927,ABS(F927)&gt;1000000000,ABS(G927)&gt;1000000000,ROUND(F927,2)&lt;&gt;F927,AND(G927&lt;&gt;"",ROUND(G927,2)&lt;&gt;G927)),"REVISAR VALOR","OK"))))),"REVISAR VALOR")</f>
        <v/>
      </c>
    </row>
    <row r="928" spans="1:9" x14ac:dyDescent="0.45">
      <c r="A928" s="4"/>
      <c r="B928" s="8"/>
      <c r="C928" s="5"/>
      <c r="D928" s="5"/>
      <c r="E928" s="5"/>
      <c r="F928" s="7"/>
      <c r="G928" s="7"/>
      <c r="H928" s="8"/>
      <c r="I928" s="12" t="str">
        <f>IFERROR(IF(COUNTA(A928:H928)=0,"",IF(OR(A928="",B928="",C928="",D928="",E928="",F928=""),"FALTA CAMPO",IF(COUNTIFS($A$6:$A$1005,A928,$B$6:$B$1005,B928)&gt;1,"DUPLICADO FECHA-SKU",IF(COUNTIF(CATALOGO!$A$6:$A$105,B928)&lt;&gt;1,"SKU NO VALIDO",IF(OR(A928&lt;DATE(1900,1,1),A928&gt;DATE(2100,12,31),A928&gt;CONFIG!$B$5,C928&lt;0,C928&gt;1000000,D928&lt;0,D928&gt;1000000,E928&lt;0,E928&gt;1000000,E928&gt;D928,ABS(F928)&gt;1000000000,ABS(G928)&gt;1000000000,ROUND(F928,2)&lt;&gt;F928,AND(G928&lt;&gt;"",ROUND(G928,2)&lt;&gt;G928)),"REVISAR VALOR","OK"))))),"REVISAR VALOR")</f>
        <v/>
      </c>
    </row>
    <row r="929" spans="1:9" x14ac:dyDescent="0.45">
      <c r="A929" s="4"/>
      <c r="B929" s="8"/>
      <c r="C929" s="5"/>
      <c r="D929" s="5"/>
      <c r="E929" s="5"/>
      <c r="F929" s="7"/>
      <c r="G929" s="7"/>
      <c r="H929" s="8"/>
      <c r="I929" s="12" t="str">
        <f>IFERROR(IF(COUNTA(A929:H929)=0,"",IF(OR(A929="",B929="",C929="",D929="",E929="",F929=""),"FALTA CAMPO",IF(COUNTIFS($A$6:$A$1005,A929,$B$6:$B$1005,B929)&gt;1,"DUPLICADO FECHA-SKU",IF(COUNTIF(CATALOGO!$A$6:$A$105,B929)&lt;&gt;1,"SKU NO VALIDO",IF(OR(A929&lt;DATE(1900,1,1),A929&gt;DATE(2100,12,31),A929&gt;CONFIG!$B$5,C929&lt;0,C929&gt;1000000,D929&lt;0,D929&gt;1000000,E929&lt;0,E929&gt;1000000,E929&gt;D929,ABS(F929)&gt;1000000000,ABS(G929)&gt;1000000000,ROUND(F929,2)&lt;&gt;F929,AND(G929&lt;&gt;"",ROUND(G929,2)&lt;&gt;G929)),"REVISAR VALOR","OK"))))),"REVISAR VALOR")</f>
        <v/>
      </c>
    </row>
    <row r="930" spans="1:9" x14ac:dyDescent="0.45">
      <c r="A930" s="4"/>
      <c r="B930" s="8"/>
      <c r="C930" s="5"/>
      <c r="D930" s="5"/>
      <c r="E930" s="5"/>
      <c r="F930" s="7"/>
      <c r="G930" s="7"/>
      <c r="H930" s="8"/>
      <c r="I930" s="12" t="str">
        <f>IFERROR(IF(COUNTA(A930:H930)=0,"",IF(OR(A930="",B930="",C930="",D930="",E930="",F930=""),"FALTA CAMPO",IF(COUNTIFS($A$6:$A$1005,A930,$B$6:$B$1005,B930)&gt;1,"DUPLICADO FECHA-SKU",IF(COUNTIF(CATALOGO!$A$6:$A$105,B930)&lt;&gt;1,"SKU NO VALIDO",IF(OR(A930&lt;DATE(1900,1,1),A930&gt;DATE(2100,12,31),A930&gt;CONFIG!$B$5,C930&lt;0,C930&gt;1000000,D930&lt;0,D930&gt;1000000,E930&lt;0,E930&gt;1000000,E930&gt;D930,ABS(F930)&gt;1000000000,ABS(G930)&gt;1000000000,ROUND(F930,2)&lt;&gt;F930,AND(G930&lt;&gt;"",ROUND(G930,2)&lt;&gt;G930)),"REVISAR VALOR","OK"))))),"REVISAR VALOR")</f>
        <v/>
      </c>
    </row>
    <row r="931" spans="1:9" x14ac:dyDescent="0.45">
      <c r="A931" s="4"/>
      <c r="B931" s="8"/>
      <c r="C931" s="5"/>
      <c r="D931" s="5"/>
      <c r="E931" s="5"/>
      <c r="F931" s="7"/>
      <c r="G931" s="7"/>
      <c r="H931" s="8"/>
      <c r="I931" s="12" t="str">
        <f>IFERROR(IF(COUNTA(A931:H931)=0,"",IF(OR(A931="",B931="",C931="",D931="",E931="",F931=""),"FALTA CAMPO",IF(COUNTIFS($A$6:$A$1005,A931,$B$6:$B$1005,B931)&gt;1,"DUPLICADO FECHA-SKU",IF(COUNTIF(CATALOGO!$A$6:$A$105,B931)&lt;&gt;1,"SKU NO VALIDO",IF(OR(A931&lt;DATE(1900,1,1),A931&gt;DATE(2100,12,31),A931&gt;CONFIG!$B$5,C931&lt;0,C931&gt;1000000,D931&lt;0,D931&gt;1000000,E931&lt;0,E931&gt;1000000,E931&gt;D931,ABS(F931)&gt;1000000000,ABS(G931)&gt;1000000000,ROUND(F931,2)&lt;&gt;F931,AND(G931&lt;&gt;"",ROUND(G931,2)&lt;&gt;G931)),"REVISAR VALOR","OK"))))),"REVISAR VALOR")</f>
        <v/>
      </c>
    </row>
    <row r="932" spans="1:9" x14ac:dyDescent="0.45">
      <c r="A932" s="4"/>
      <c r="B932" s="8"/>
      <c r="C932" s="5"/>
      <c r="D932" s="5"/>
      <c r="E932" s="5"/>
      <c r="F932" s="7"/>
      <c r="G932" s="7"/>
      <c r="H932" s="8"/>
      <c r="I932" s="12" t="str">
        <f>IFERROR(IF(COUNTA(A932:H932)=0,"",IF(OR(A932="",B932="",C932="",D932="",E932="",F932=""),"FALTA CAMPO",IF(COUNTIFS($A$6:$A$1005,A932,$B$6:$B$1005,B932)&gt;1,"DUPLICADO FECHA-SKU",IF(COUNTIF(CATALOGO!$A$6:$A$105,B932)&lt;&gt;1,"SKU NO VALIDO",IF(OR(A932&lt;DATE(1900,1,1),A932&gt;DATE(2100,12,31),A932&gt;CONFIG!$B$5,C932&lt;0,C932&gt;1000000,D932&lt;0,D932&gt;1000000,E932&lt;0,E932&gt;1000000,E932&gt;D932,ABS(F932)&gt;1000000000,ABS(G932)&gt;1000000000,ROUND(F932,2)&lt;&gt;F932,AND(G932&lt;&gt;"",ROUND(G932,2)&lt;&gt;G932)),"REVISAR VALOR","OK"))))),"REVISAR VALOR")</f>
        <v/>
      </c>
    </row>
    <row r="933" spans="1:9" x14ac:dyDescent="0.45">
      <c r="A933" s="4"/>
      <c r="B933" s="8"/>
      <c r="C933" s="5"/>
      <c r="D933" s="5"/>
      <c r="E933" s="5"/>
      <c r="F933" s="7"/>
      <c r="G933" s="7"/>
      <c r="H933" s="8"/>
      <c r="I933" s="12" t="str">
        <f>IFERROR(IF(COUNTA(A933:H933)=0,"",IF(OR(A933="",B933="",C933="",D933="",E933="",F933=""),"FALTA CAMPO",IF(COUNTIFS($A$6:$A$1005,A933,$B$6:$B$1005,B933)&gt;1,"DUPLICADO FECHA-SKU",IF(COUNTIF(CATALOGO!$A$6:$A$105,B933)&lt;&gt;1,"SKU NO VALIDO",IF(OR(A933&lt;DATE(1900,1,1),A933&gt;DATE(2100,12,31),A933&gt;CONFIG!$B$5,C933&lt;0,C933&gt;1000000,D933&lt;0,D933&gt;1000000,E933&lt;0,E933&gt;1000000,E933&gt;D933,ABS(F933)&gt;1000000000,ABS(G933)&gt;1000000000,ROUND(F933,2)&lt;&gt;F933,AND(G933&lt;&gt;"",ROUND(G933,2)&lt;&gt;G933)),"REVISAR VALOR","OK"))))),"REVISAR VALOR")</f>
        <v/>
      </c>
    </row>
    <row r="934" spans="1:9" x14ac:dyDescent="0.45">
      <c r="A934" s="4"/>
      <c r="B934" s="8"/>
      <c r="C934" s="5"/>
      <c r="D934" s="5"/>
      <c r="E934" s="5"/>
      <c r="F934" s="7"/>
      <c r="G934" s="7"/>
      <c r="H934" s="8"/>
      <c r="I934" s="12" t="str">
        <f>IFERROR(IF(COUNTA(A934:H934)=0,"",IF(OR(A934="",B934="",C934="",D934="",E934="",F934=""),"FALTA CAMPO",IF(COUNTIFS($A$6:$A$1005,A934,$B$6:$B$1005,B934)&gt;1,"DUPLICADO FECHA-SKU",IF(COUNTIF(CATALOGO!$A$6:$A$105,B934)&lt;&gt;1,"SKU NO VALIDO",IF(OR(A934&lt;DATE(1900,1,1),A934&gt;DATE(2100,12,31),A934&gt;CONFIG!$B$5,C934&lt;0,C934&gt;1000000,D934&lt;0,D934&gt;1000000,E934&lt;0,E934&gt;1000000,E934&gt;D934,ABS(F934)&gt;1000000000,ABS(G934)&gt;1000000000,ROUND(F934,2)&lt;&gt;F934,AND(G934&lt;&gt;"",ROUND(G934,2)&lt;&gt;G934)),"REVISAR VALOR","OK"))))),"REVISAR VALOR")</f>
        <v/>
      </c>
    </row>
    <row r="935" spans="1:9" x14ac:dyDescent="0.45">
      <c r="A935" s="4"/>
      <c r="B935" s="8"/>
      <c r="C935" s="5"/>
      <c r="D935" s="5"/>
      <c r="E935" s="5"/>
      <c r="F935" s="7"/>
      <c r="G935" s="7"/>
      <c r="H935" s="8"/>
      <c r="I935" s="12" t="str">
        <f>IFERROR(IF(COUNTA(A935:H935)=0,"",IF(OR(A935="",B935="",C935="",D935="",E935="",F935=""),"FALTA CAMPO",IF(COUNTIFS($A$6:$A$1005,A935,$B$6:$B$1005,B935)&gt;1,"DUPLICADO FECHA-SKU",IF(COUNTIF(CATALOGO!$A$6:$A$105,B935)&lt;&gt;1,"SKU NO VALIDO",IF(OR(A935&lt;DATE(1900,1,1),A935&gt;DATE(2100,12,31),A935&gt;CONFIG!$B$5,C935&lt;0,C935&gt;1000000,D935&lt;0,D935&gt;1000000,E935&lt;0,E935&gt;1000000,E935&gt;D935,ABS(F935)&gt;1000000000,ABS(G935)&gt;1000000000,ROUND(F935,2)&lt;&gt;F935,AND(G935&lt;&gt;"",ROUND(G935,2)&lt;&gt;G935)),"REVISAR VALOR","OK"))))),"REVISAR VALOR")</f>
        <v/>
      </c>
    </row>
    <row r="936" spans="1:9" x14ac:dyDescent="0.45">
      <c r="A936" s="4"/>
      <c r="B936" s="8"/>
      <c r="C936" s="5"/>
      <c r="D936" s="5"/>
      <c r="E936" s="5"/>
      <c r="F936" s="7"/>
      <c r="G936" s="7"/>
      <c r="H936" s="8"/>
      <c r="I936" s="12" t="str">
        <f>IFERROR(IF(COUNTA(A936:H936)=0,"",IF(OR(A936="",B936="",C936="",D936="",E936="",F936=""),"FALTA CAMPO",IF(COUNTIFS($A$6:$A$1005,A936,$B$6:$B$1005,B936)&gt;1,"DUPLICADO FECHA-SKU",IF(COUNTIF(CATALOGO!$A$6:$A$105,B936)&lt;&gt;1,"SKU NO VALIDO",IF(OR(A936&lt;DATE(1900,1,1),A936&gt;DATE(2100,12,31),A936&gt;CONFIG!$B$5,C936&lt;0,C936&gt;1000000,D936&lt;0,D936&gt;1000000,E936&lt;0,E936&gt;1000000,E936&gt;D936,ABS(F936)&gt;1000000000,ABS(G936)&gt;1000000000,ROUND(F936,2)&lt;&gt;F936,AND(G936&lt;&gt;"",ROUND(G936,2)&lt;&gt;G936)),"REVISAR VALOR","OK"))))),"REVISAR VALOR")</f>
        <v/>
      </c>
    </row>
    <row r="937" spans="1:9" x14ac:dyDescent="0.45">
      <c r="A937" s="4"/>
      <c r="B937" s="8"/>
      <c r="C937" s="5"/>
      <c r="D937" s="5"/>
      <c r="E937" s="5"/>
      <c r="F937" s="7"/>
      <c r="G937" s="7"/>
      <c r="H937" s="8"/>
      <c r="I937" s="12" t="str">
        <f>IFERROR(IF(COUNTA(A937:H937)=0,"",IF(OR(A937="",B937="",C937="",D937="",E937="",F937=""),"FALTA CAMPO",IF(COUNTIFS($A$6:$A$1005,A937,$B$6:$B$1005,B937)&gt;1,"DUPLICADO FECHA-SKU",IF(COUNTIF(CATALOGO!$A$6:$A$105,B937)&lt;&gt;1,"SKU NO VALIDO",IF(OR(A937&lt;DATE(1900,1,1),A937&gt;DATE(2100,12,31),A937&gt;CONFIG!$B$5,C937&lt;0,C937&gt;1000000,D937&lt;0,D937&gt;1000000,E937&lt;0,E937&gt;1000000,E937&gt;D937,ABS(F937)&gt;1000000000,ABS(G937)&gt;1000000000,ROUND(F937,2)&lt;&gt;F937,AND(G937&lt;&gt;"",ROUND(G937,2)&lt;&gt;G937)),"REVISAR VALOR","OK"))))),"REVISAR VALOR")</f>
        <v/>
      </c>
    </row>
    <row r="938" spans="1:9" x14ac:dyDescent="0.45">
      <c r="A938" s="4"/>
      <c r="B938" s="8"/>
      <c r="C938" s="5"/>
      <c r="D938" s="5"/>
      <c r="E938" s="5"/>
      <c r="F938" s="7"/>
      <c r="G938" s="7"/>
      <c r="H938" s="8"/>
      <c r="I938" s="12" t="str">
        <f>IFERROR(IF(COUNTA(A938:H938)=0,"",IF(OR(A938="",B938="",C938="",D938="",E938="",F938=""),"FALTA CAMPO",IF(COUNTIFS($A$6:$A$1005,A938,$B$6:$B$1005,B938)&gt;1,"DUPLICADO FECHA-SKU",IF(COUNTIF(CATALOGO!$A$6:$A$105,B938)&lt;&gt;1,"SKU NO VALIDO",IF(OR(A938&lt;DATE(1900,1,1),A938&gt;DATE(2100,12,31),A938&gt;CONFIG!$B$5,C938&lt;0,C938&gt;1000000,D938&lt;0,D938&gt;1000000,E938&lt;0,E938&gt;1000000,E938&gt;D938,ABS(F938)&gt;1000000000,ABS(G938)&gt;1000000000,ROUND(F938,2)&lt;&gt;F938,AND(G938&lt;&gt;"",ROUND(G938,2)&lt;&gt;G938)),"REVISAR VALOR","OK"))))),"REVISAR VALOR")</f>
        <v/>
      </c>
    </row>
    <row r="939" spans="1:9" x14ac:dyDescent="0.45">
      <c r="A939" s="4"/>
      <c r="B939" s="8"/>
      <c r="C939" s="5"/>
      <c r="D939" s="5"/>
      <c r="E939" s="5"/>
      <c r="F939" s="7"/>
      <c r="G939" s="7"/>
      <c r="H939" s="8"/>
      <c r="I939" s="12" t="str">
        <f>IFERROR(IF(COUNTA(A939:H939)=0,"",IF(OR(A939="",B939="",C939="",D939="",E939="",F939=""),"FALTA CAMPO",IF(COUNTIFS($A$6:$A$1005,A939,$B$6:$B$1005,B939)&gt;1,"DUPLICADO FECHA-SKU",IF(COUNTIF(CATALOGO!$A$6:$A$105,B939)&lt;&gt;1,"SKU NO VALIDO",IF(OR(A939&lt;DATE(1900,1,1),A939&gt;DATE(2100,12,31),A939&gt;CONFIG!$B$5,C939&lt;0,C939&gt;1000000,D939&lt;0,D939&gt;1000000,E939&lt;0,E939&gt;1000000,E939&gt;D939,ABS(F939)&gt;1000000000,ABS(G939)&gt;1000000000,ROUND(F939,2)&lt;&gt;F939,AND(G939&lt;&gt;"",ROUND(G939,2)&lt;&gt;G939)),"REVISAR VALOR","OK"))))),"REVISAR VALOR")</f>
        <v/>
      </c>
    </row>
    <row r="940" spans="1:9" x14ac:dyDescent="0.45">
      <c r="A940" s="4"/>
      <c r="B940" s="8"/>
      <c r="C940" s="5"/>
      <c r="D940" s="5"/>
      <c r="E940" s="5"/>
      <c r="F940" s="7"/>
      <c r="G940" s="7"/>
      <c r="H940" s="8"/>
      <c r="I940" s="12" t="str">
        <f>IFERROR(IF(COUNTA(A940:H940)=0,"",IF(OR(A940="",B940="",C940="",D940="",E940="",F940=""),"FALTA CAMPO",IF(COUNTIFS($A$6:$A$1005,A940,$B$6:$B$1005,B940)&gt;1,"DUPLICADO FECHA-SKU",IF(COUNTIF(CATALOGO!$A$6:$A$105,B940)&lt;&gt;1,"SKU NO VALIDO",IF(OR(A940&lt;DATE(1900,1,1),A940&gt;DATE(2100,12,31),A940&gt;CONFIG!$B$5,C940&lt;0,C940&gt;1000000,D940&lt;0,D940&gt;1000000,E940&lt;0,E940&gt;1000000,E940&gt;D940,ABS(F940)&gt;1000000000,ABS(G940)&gt;1000000000,ROUND(F940,2)&lt;&gt;F940,AND(G940&lt;&gt;"",ROUND(G940,2)&lt;&gt;G940)),"REVISAR VALOR","OK"))))),"REVISAR VALOR")</f>
        <v/>
      </c>
    </row>
    <row r="941" spans="1:9" x14ac:dyDescent="0.45">
      <c r="A941" s="4"/>
      <c r="B941" s="8"/>
      <c r="C941" s="5"/>
      <c r="D941" s="5"/>
      <c r="E941" s="5"/>
      <c r="F941" s="7"/>
      <c r="G941" s="7"/>
      <c r="H941" s="8"/>
      <c r="I941" s="12" t="str">
        <f>IFERROR(IF(COUNTA(A941:H941)=0,"",IF(OR(A941="",B941="",C941="",D941="",E941="",F941=""),"FALTA CAMPO",IF(COUNTIFS($A$6:$A$1005,A941,$B$6:$B$1005,B941)&gt;1,"DUPLICADO FECHA-SKU",IF(COUNTIF(CATALOGO!$A$6:$A$105,B941)&lt;&gt;1,"SKU NO VALIDO",IF(OR(A941&lt;DATE(1900,1,1),A941&gt;DATE(2100,12,31),A941&gt;CONFIG!$B$5,C941&lt;0,C941&gt;1000000,D941&lt;0,D941&gt;1000000,E941&lt;0,E941&gt;1000000,E941&gt;D941,ABS(F941)&gt;1000000000,ABS(G941)&gt;1000000000,ROUND(F941,2)&lt;&gt;F941,AND(G941&lt;&gt;"",ROUND(G941,2)&lt;&gt;G941)),"REVISAR VALOR","OK"))))),"REVISAR VALOR")</f>
        <v/>
      </c>
    </row>
    <row r="942" spans="1:9" x14ac:dyDescent="0.45">
      <c r="A942" s="4"/>
      <c r="B942" s="8"/>
      <c r="C942" s="5"/>
      <c r="D942" s="5"/>
      <c r="E942" s="5"/>
      <c r="F942" s="7"/>
      <c r="G942" s="7"/>
      <c r="H942" s="8"/>
      <c r="I942" s="12" t="str">
        <f>IFERROR(IF(COUNTA(A942:H942)=0,"",IF(OR(A942="",B942="",C942="",D942="",E942="",F942=""),"FALTA CAMPO",IF(COUNTIFS($A$6:$A$1005,A942,$B$6:$B$1005,B942)&gt;1,"DUPLICADO FECHA-SKU",IF(COUNTIF(CATALOGO!$A$6:$A$105,B942)&lt;&gt;1,"SKU NO VALIDO",IF(OR(A942&lt;DATE(1900,1,1),A942&gt;DATE(2100,12,31),A942&gt;CONFIG!$B$5,C942&lt;0,C942&gt;1000000,D942&lt;0,D942&gt;1000000,E942&lt;0,E942&gt;1000000,E942&gt;D942,ABS(F942)&gt;1000000000,ABS(G942)&gt;1000000000,ROUND(F942,2)&lt;&gt;F942,AND(G942&lt;&gt;"",ROUND(G942,2)&lt;&gt;G942)),"REVISAR VALOR","OK"))))),"REVISAR VALOR")</f>
        <v/>
      </c>
    </row>
    <row r="943" spans="1:9" x14ac:dyDescent="0.45">
      <c r="A943" s="4"/>
      <c r="B943" s="8"/>
      <c r="C943" s="5"/>
      <c r="D943" s="5"/>
      <c r="E943" s="5"/>
      <c r="F943" s="7"/>
      <c r="G943" s="7"/>
      <c r="H943" s="8"/>
      <c r="I943" s="12" t="str">
        <f>IFERROR(IF(COUNTA(A943:H943)=0,"",IF(OR(A943="",B943="",C943="",D943="",E943="",F943=""),"FALTA CAMPO",IF(COUNTIFS($A$6:$A$1005,A943,$B$6:$B$1005,B943)&gt;1,"DUPLICADO FECHA-SKU",IF(COUNTIF(CATALOGO!$A$6:$A$105,B943)&lt;&gt;1,"SKU NO VALIDO",IF(OR(A943&lt;DATE(1900,1,1),A943&gt;DATE(2100,12,31),A943&gt;CONFIG!$B$5,C943&lt;0,C943&gt;1000000,D943&lt;0,D943&gt;1000000,E943&lt;0,E943&gt;1000000,E943&gt;D943,ABS(F943)&gt;1000000000,ABS(G943)&gt;1000000000,ROUND(F943,2)&lt;&gt;F943,AND(G943&lt;&gt;"",ROUND(G943,2)&lt;&gt;G943)),"REVISAR VALOR","OK"))))),"REVISAR VALOR")</f>
        <v/>
      </c>
    </row>
    <row r="944" spans="1:9" x14ac:dyDescent="0.45">
      <c r="A944" s="4"/>
      <c r="B944" s="8"/>
      <c r="C944" s="5"/>
      <c r="D944" s="5"/>
      <c r="E944" s="5"/>
      <c r="F944" s="7"/>
      <c r="G944" s="7"/>
      <c r="H944" s="8"/>
      <c r="I944" s="12" t="str">
        <f>IFERROR(IF(COUNTA(A944:H944)=0,"",IF(OR(A944="",B944="",C944="",D944="",E944="",F944=""),"FALTA CAMPO",IF(COUNTIFS($A$6:$A$1005,A944,$B$6:$B$1005,B944)&gt;1,"DUPLICADO FECHA-SKU",IF(COUNTIF(CATALOGO!$A$6:$A$105,B944)&lt;&gt;1,"SKU NO VALIDO",IF(OR(A944&lt;DATE(1900,1,1),A944&gt;DATE(2100,12,31),A944&gt;CONFIG!$B$5,C944&lt;0,C944&gt;1000000,D944&lt;0,D944&gt;1000000,E944&lt;0,E944&gt;1000000,E944&gt;D944,ABS(F944)&gt;1000000000,ABS(G944)&gt;1000000000,ROUND(F944,2)&lt;&gt;F944,AND(G944&lt;&gt;"",ROUND(G944,2)&lt;&gt;G944)),"REVISAR VALOR","OK"))))),"REVISAR VALOR")</f>
        <v/>
      </c>
    </row>
    <row r="945" spans="1:9" x14ac:dyDescent="0.45">
      <c r="A945" s="4"/>
      <c r="B945" s="8"/>
      <c r="C945" s="5"/>
      <c r="D945" s="5"/>
      <c r="E945" s="5"/>
      <c r="F945" s="7"/>
      <c r="G945" s="7"/>
      <c r="H945" s="8"/>
      <c r="I945" s="12" t="str">
        <f>IFERROR(IF(COUNTA(A945:H945)=0,"",IF(OR(A945="",B945="",C945="",D945="",E945="",F945=""),"FALTA CAMPO",IF(COUNTIFS($A$6:$A$1005,A945,$B$6:$B$1005,B945)&gt;1,"DUPLICADO FECHA-SKU",IF(COUNTIF(CATALOGO!$A$6:$A$105,B945)&lt;&gt;1,"SKU NO VALIDO",IF(OR(A945&lt;DATE(1900,1,1),A945&gt;DATE(2100,12,31),A945&gt;CONFIG!$B$5,C945&lt;0,C945&gt;1000000,D945&lt;0,D945&gt;1000000,E945&lt;0,E945&gt;1000000,E945&gt;D945,ABS(F945)&gt;1000000000,ABS(G945)&gt;1000000000,ROUND(F945,2)&lt;&gt;F945,AND(G945&lt;&gt;"",ROUND(G945,2)&lt;&gt;G945)),"REVISAR VALOR","OK"))))),"REVISAR VALOR")</f>
        <v/>
      </c>
    </row>
    <row r="946" spans="1:9" x14ac:dyDescent="0.45">
      <c r="A946" s="4"/>
      <c r="B946" s="8"/>
      <c r="C946" s="5"/>
      <c r="D946" s="5"/>
      <c r="E946" s="5"/>
      <c r="F946" s="7"/>
      <c r="G946" s="7"/>
      <c r="H946" s="8"/>
      <c r="I946" s="12" t="str">
        <f>IFERROR(IF(COUNTA(A946:H946)=0,"",IF(OR(A946="",B946="",C946="",D946="",E946="",F946=""),"FALTA CAMPO",IF(COUNTIFS($A$6:$A$1005,A946,$B$6:$B$1005,B946)&gt;1,"DUPLICADO FECHA-SKU",IF(COUNTIF(CATALOGO!$A$6:$A$105,B946)&lt;&gt;1,"SKU NO VALIDO",IF(OR(A946&lt;DATE(1900,1,1),A946&gt;DATE(2100,12,31),A946&gt;CONFIG!$B$5,C946&lt;0,C946&gt;1000000,D946&lt;0,D946&gt;1000000,E946&lt;0,E946&gt;1000000,E946&gt;D946,ABS(F946)&gt;1000000000,ABS(G946)&gt;1000000000,ROUND(F946,2)&lt;&gt;F946,AND(G946&lt;&gt;"",ROUND(G946,2)&lt;&gt;G946)),"REVISAR VALOR","OK"))))),"REVISAR VALOR")</f>
        <v/>
      </c>
    </row>
    <row r="947" spans="1:9" x14ac:dyDescent="0.45">
      <c r="A947" s="4"/>
      <c r="B947" s="8"/>
      <c r="C947" s="5"/>
      <c r="D947" s="5"/>
      <c r="E947" s="5"/>
      <c r="F947" s="7"/>
      <c r="G947" s="7"/>
      <c r="H947" s="8"/>
      <c r="I947" s="12" t="str">
        <f>IFERROR(IF(COUNTA(A947:H947)=0,"",IF(OR(A947="",B947="",C947="",D947="",E947="",F947=""),"FALTA CAMPO",IF(COUNTIFS($A$6:$A$1005,A947,$B$6:$B$1005,B947)&gt;1,"DUPLICADO FECHA-SKU",IF(COUNTIF(CATALOGO!$A$6:$A$105,B947)&lt;&gt;1,"SKU NO VALIDO",IF(OR(A947&lt;DATE(1900,1,1),A947&gt;DATE(2100,12,31),A947&gt;CONFIG!$B$5,C947&lt;0,C947&gt;1000000,D947&lt;0,D947&gt;1000000,E947&lt;0,E947&gt;1000000,E947&gt;D947,ABS(F947)&gt;1000000000,ABS(G947)&gt;1000000000,ROUND(F947,2)&lt;&gt;F947,AND(G947&lt;&gt;"",ROUND(G947,2)&lt;&gt;G947)),"REVISAR VALOR","OK"))))),"REVISAR VALOR")</f>
        <v/>
      </c>
    </row>
    <row r="948" spans="1:9" x14ac:dyDescent="0.45">
      <c r="A948" s="4"/>
      <c r="B948" s="8"/>
      <c r="C948" s="5"/>
      <c r="D948" s="5"/>
      <c r="E948" s="5"/>
      <c r="F948" s="7"/>
      <c r="G948" s="7"/>
      <c r="H948" s="8"/>
      <c r="I948" s="12" t="str">
        <f>IFERROR(IF(COUNTA(A948:H948)=0,"",IF(OR(A948="",B948="",C948="",D948="",E948="",F948=""),"FALTA CAMPO",IF(COUNTIFS($A$6:$A$1005,A948,$B$6:$B$1005,B948)&gt;1,"DUPLICADO FECHA-SKU",IF(COUNTIF(CATALOGO!$A$6:$A$105,B948)&lt;&gt;1,"SKU NO VALIDO",IF(OR(A948&lt;DATE(1900,1,1),A948&gt;DATE(2100,12,31),A948&gt;CONFIG!$B$5,C948&lt;0,C948&gt;1000000,D948&lt;0,D948&gt;1000000,E948&lt;0,E948&gt;1000000,E948&gt;D948,ABS(F948)&gt;1000000000,ABS(G948)&gt;1000000000,ROUND(F948,2)&lt;&gt;F948,AND(G948&lt;&gt;"",ROUND(G948,2)&lt;&gt;G948)),"REVISAR VALOR","OK"))))),"REVISAR VALOR")</f>
        <v/>
      </c>
    </row>
    <row r="949" spans="1:9" x14ac:dyDescent="0.45">
      <c r="A949" s="4"/>
      <c r="B949" s="8"/>
      <c r="C949" s="5"/>
      <c r="D949" s="5"/>
      <c r="E949" s="5"/>
      <c r="F949" s="7"/>
      <c r="G949" s="7"/>
      <c r="H949" s="8"/>
      <c r="I949" s="12" t="str">
        <f>IFERROR(IF(COUNTA(A949:H949)=0,"",IF(OR(A949="",B949="",C949="",D949="",E949="",F949=""),"FALTA CAMPO",IF(COUNTIFS($A$6:$A$1005,A949,$B$6:$B$1005,B949)&gt;1,"DUPLICADO FECHA-SKU",IF(COUNTIF(CATALOGO!$A$6:$A$105,B949)&lt;&gt;1,"SKU NO VALIDO",IF(OR(A949&lt;DATE(1900,1,1),A949&gt;DATE(2100,12,31),A949&gt;CONFIG!$B$5,C949&lt;0,C949&gt;1000000,D949&lt;0,D949&gt;1000000,E949&lt;0,E949&gt;1000000,E949&gt;D949,ABS(F949)&gt;1000000000,ABS(G949)&gt;1000000000,ROUND(F949,2)&lt;&gt;F949,AND(G949&lt;&gt;"",ROUND(G949,2)&lt;&gt;G949)),"REVISAR VALOR","OK"))))),"REVISAR VALOR")</f>
        <v/>
      </c>
    </row>
    <row r="950" spans="1:9" x14ac:dyDescent="0.45">
      <c r="A950" s="4"/>
      <c r="B950" s="8"/>
      <c r="C950" s="5"/>
      <c r="D950" s="5"/>
      <c r="E950" s="5"/>
      <c r="F950" s="7"/>
      <c r="G950" s="7"/>
      <c r="H950" s="8"/>
      <c r="I950" s="12" t="str">
        <f>IFERROR(IF(COUNTA(A950:H950)=0,"",IF(OR(A950="",B950="",C950="",D950="",E950="",F950=""),"FALTA CAMPO",IF(COUNTIFS($A$6:$A$1005,A950,$B$6:$B$1005,B950)&gt;1,"DUPLICADO FECHA-SKU",IF(COUNTIF(CATALOGO!$A$6:$A$105,B950)&lt;&gt;1,"SKU NO VALIDO",IF(OR(A950&lt;DATE(1900,1,1),A950&gt;DATE(2100,12,31),A950&gt;CONFIG!$B$5,C950&lt;0,C950&gt;1000000,D950&lt;0,D950&gt;1000000,E950&lt;0,E950&gt;1000000,E950&gt;D950,ABS(F950)&gt;1000000000,ABS(G950)&gt;1000000000,ROUND(F950,2)&lt;&gt;F950,AND(G950&lt;&gt;"",ROUND(G950,2)&lt;&gt;G950)),"REVISAR VALOR","OK"))))),"REVISAR VALOR")</f>
        <v/>
      </c>
    </row>
    <row r="951" spans="1:9" x14ac:dyDescent="0.45">
      <c r="A951" s="4"/>
      <c r="B951" s="8"/>
      <c r="C951" s="5"/>
      <c r="D951" s="5"/>
      <c r="E951" s="5"/>
      <c r="F951" s="7"/>
      <c r="G951" s="7"/>
      <c r="H951" s="8"/>
      <c r="I951" s="12" t="str">
        <f>IFERROR(IF(COUNTA(A951:H951)=0,"",IF(OR(A951="",B951="",C951="",D951="",E951="",F951=""),"FALTA CAMPO",IF(COUNTIFS($A$6:$A$1005,A951,$B$6:$B$1005,B951)&gt;1,"DUPLICADO FECHA-SKU",IF(COUNTIF(CATALOGO!$A$6:$A$105,B951)&lt;&gt;1,"SKU NO VALIDO",IF(OR(A951&lt;DATE(1900,1,1),A951&gt;DATE(2100,12,31),A951&gt;CONFIG!$B$5,C951&lt;0,C951&gt;1000000,D951&lt;0,D951&gt;1000000,E951&lt;0,E951&gt;1000000,E951&gt;D951,ABS(F951)&gt;1000000000,ABS(G951)&gt;1000000000,ROUND(F951,2)&lt;&gt;F951,AND(G951&lt;&gt;"",ROUND(G951,2)&lt;&gt;G951)),"REVISAR VALOR","OK"))))),"REVISAR VALOR")</f>
        <v/>
      </c>
    </row>
    <row r="952" spans="1:9" x14ac:dyDescent="0.45">
      <c r="A952" s="4"/>
      <c r="B952" s="8"/>
      <c r="C952" s="5"/>
      <c r="D952" s="5"/>
      <c r="E952" s="5"/>
      <c r="F952" s="7"/>
      <c r="G952" s="7"/>
      <c r="H952" s="8"/>
      <c r="I952" s="12" t="str">
        <f>IFERROR(IF(COUNTA(A952:H952)=0,"",IF(OR(A952="",B952="",C952="",D952="",E952="",F952=""),"FALTA CAMPO",IF(COUNTIFS($A$6:$A$1005,A952,$B$6:$B$1005,B952)&gt;1,"DUPLICADO FECHA-SKU",IF(COUNTIF(CATALOGO!$A$6:$A$105,B952)&lt;&gt;1,"SKU NO VALIDO",IF(OR(A952&lt;DATE(1900,1,1),A952&gt;DATE(2100,12,31),A952&gt;CONFIG!$B$5,C952&lt;0,C952&gt;1000000,D952&lt;0,D952&gt;1000000,E952&lt;0,E952&gt;1000000,E952&gt;D952,ABS(F952)&gt;1000000000,ABS(G952)&gt;1000000000,ROUND(F952,2)&lt;&gt;F952,AND(G952&lt;&gt;"",ROUND(G952,2)&lt;&gt;G952)),"REVISAR VALOR","OK"))))),"REVISAR VALOR")</f>
        <v/>
      </c>
    </row>
    <row r="953" spans="1:9" x14ac:dyDescent="0.45">
      <c r="A953" s="4"/>
      <c r="B953" s="8"/>
      <c r="C953" s="5"/>
      <c r="D953" s="5"/>
      <c r="E953" s="5"/>
      <c r="F953" s="7"/>
      <c r="G953" s="7"/>
      <c r="H953" s="8"/>
      <c r="I953" s="12" t="str">
        <f>IFERROR(IF(COUNTA(A953:H953)=0,"",IF(OR(A953="",B953="",C953="",D953="",E953="",F953=""),"FALTA CAMPO",IF(COUNTIFS($A$6:$A$1005,A953,$B$6:$B$1005,B953)&gt;1,"DUPLICADO FECHA-SKU",IF(COUNTIF(CATALOGO!$A$6:$A$105,B953)&lt;&gt;1,"SKU NO VALIDO",IF(OR(A953&lt;DATE(1900,1,1),A953&gt;DATE(2100,12,31),A953&gt;CONFIG!$B$5,C953&lt;0,C953&gt;1000000,D953&lt;0,D953&gt;1000000,E953&lt;0,E953&gt;1000000,E953&gt;D953,ABS(F953)&gt;1000000000,ABS(G953)&gt;1000000000,ROUND(F953,2)&lt;&gt;F953,AND(G953&lt;&gt;"",ROUND(G953,2)&lt;&gt;G953)),"REVISAR VALOR","OK"))))),"REVISAR VALOR")</f>
        <v/>
      </c>
    </row>
    <row r="954" spans="1:9" x14ac:dyDescent="0.45">
      <c r="A954" s="4"/>
      <c r="B954" s="8"/>
      <c r="C954" s="5"/>
      <c r="D954" s="5"/>
      <c r="E954" s="5"/>
      <c r="F954" s="7"/>
      <c r="G954" s="7"/>
      <c r="H954" s="8"/>
      <c r="I954" s="12" t="str">
        <f>IFERROR(IF(COUNTA(A954:H954)=0,"",IF(OR(A954="",B954="",C954="",D954="",E954="",F954=""),"FALTA CAMPO",IF(COUNTIFS($A$6:$A$1005,A954,$B$6:$B$1005,B954)&gt;1,"DUPLICADO FECHA-SKU",IF(COUNTIF(CATALOGO!$A$6:$A$105,B954)&lt;&gt;1,"SKU NO VALIDO",IF(OR(A954&lt;DATE(1900,1,1),A954&gt;DATE(2100,12,31),A954&gt;CONFIG!$B$5,C954&lt;0,C954&gt;1000000,D954&lt;0,D954&gt;1000000,E954&lt;0,E954&gt;1000000,E954&gt;D954,ABS(F954)&gt;1000000000,ABS(G954)&gt;1000000000,ROUND(F954,2)&lt;&gt;F954,AND(G954&lt;&gt;"",ROUND(G954,2)&lt;&gt;G954)),"REVISAR VALOR","OK"))))),"REVISAR VALOR")</f>
        <v/>
      </c>
    </row>
    <row r="955" spans="1:9" x14ac:dyDescent="0.45">
      <c r="A955" s="4"/>
      <c r="B955" s="8"/>
      <c r="C955" s="5"/>
      <c r="D955" s="5"/>
      <c r="E955" s="5"/>
      <c r="F955" s="7"/>
      <c r="G955" s="7"/>
      <c r="H955" s="8"/>
      <c r="I955" s="12" t="str">
        <f>IFERROR(IF(COUNTA(A955:H955)=0,"",IF(OR(A955="",B955="",C955="",D955="",E955="",F955=""),"FALTA CAMPO",IF(COUNTIFS($A$6:$A$1005,A955,$B$6:$B$1005,B955)&gt;1,"DUPLICADO FECHA-SKU",IF(COUNTIF(CATALOGO!$A$6:$A$105,B955)&lt;&gt;1,"SKU NO VALIDO",IF(OR(A955&lt;DATE(1900,1,1),A955&gt;DATE(2100,12,31),A955&gt;CONFIG!$B$5,C955&lt;0,C955&gt;1000000,D955&lt;0,D955&gt;1000000,E955&lt;0,E955&gt;1000000,E955&gt;D955,ABS(F955)&gt;1000000000,ABS(G955)&gt;1000000000,ROUND(F955,2)&lt;&gt;F955,AND(G955&lt;&gt;"",ROUND(G955,2)&lt;&gt;G955)),"REVISAR VALOR","OK"))))),"REVISAR VALOR")</f>
        <v/>
      </c>
    </row>
    <row r="956" spans="1:9" x14ac:dyDescent="0.45">
      <c r="A956" s="4"/>
      <c r="B956" s="8"/>
      <c r="C956" s="5"/>
      <c r="D956" s="5"/>
      <c r="E956" s="5"/>
      <c r="F956" s="7"/>
      <c r="G956" s="7"/>
      <c r="H956" s="8"/>
      <c r="I956" s="12" t="str">
        <f>IFERROR(IF(COUNTA(A956:H956)=0,"",IF(OR(A956="",B956="",C956="",D956="",E956="",F956=""),"FALTA CAMPO",IF(COUNTIFS($A$6:$A$1005,A956,$B$6:$B$1005,B956)&gt;1,"DUPLICADO FECHA-SKU",IF(COUNTIF(CATALOGO!$A$6:$A$105,B956)&lt;&gt;1,"SKU NO VALIDO",IF(OR(A956&lt;DATE(1900,1,1),A956&gt;DATE(2100,12,31),A956&gt;CONFIG!$B$5,C956&lt;0,C956&gt;1000000,D956&lt;0,D956&gt;1000000,E956&lt;0,E956&gt;1000000,E956&gt;D956,ABS(F956)&gt;1000000000,ABS(G956)&gt;1000000000,ROUND(F956,2)&lt;&gt;F956,AND(G956&lt;&gt;"",ROUND(G956,2)&lt;&gt;G956)),"REVISAR VALOR","OK"))))),"REVISAR VALOR")</f>
        <v/>
      </c>
    </row>
    <row r="957" spans="1:9" x14ac:dyDescent="0.45">
      <c r="A957" s="4"/>
      <c r="B957" s="8"/>
      <c r="C957" s="5"/>
      <c r="D957" s="5"/>
      <c r="E957" s="5"/>
      <c r="F957" s="7"/>
      <c r="G957" s="7"/>
      <c r="H957" s="8"/>
      <c r="I957" s="12" t="str">
        <f>IFERROR(IF(COUNTA(A957:H957)=0,"",IF(OR(A957="",B957="",C957="",D957="",E957="",F957=""),"FALTA CAMPO",IF(COUNTIFS($A$6:$A$1005,A957,$B$6:$B$1005,B957)&gt;1,"DUPLICADO FECHA-SKU",IF(COUNTIF(CATALOGO!$A$6:$A$105,B957)&lt;&gt;1,"SKU NO VALIDO",IF(OR(A957&lt;DATE(1900,1,1),A957&gt;DATE(2100,12,31),A957&gt;CONFIG!$B$5,C957&lt;0,C957&gt;1000000,D957&lt;0,D957&gt;1000000,E957&lt;0,E957&gt;1000000,E957&gt;D957,ABS(F957)&gt;1000000000,ABS(G957)&gt;1000000000,ROUND(F957,2)&lt;&gt;F957,AND(G957&lt;&gt;"",ROUND(G957,2)&lt;&gt;G957)),"REVISAR VALOR","OK"))))),"REVISAR VALOR")</f>
        <v/>
      </c>
    </row>
    <row r="958" spans="1:9" x14ac:dyDescent="0.45">
      <c r="A958" s="4"/>
      <c r="B958" s="8"/>
      <c r="C958" s="5"/>
      <c r="D958" s="5"/>
      <c r="E958" s="5"/>
      <c r="F958" s="7"/>
      <c r="G958" s="7"/>
      <c r="H958" s="8"/>
      <c r="I958" s="12" t="str">
        <f>IFERROR(IF(COUNTA(A958:H958)=0,"",IF(OR(A958="",B958="",C958="",D958="",E958="",F958=""),"FALTA CAMPO",IF(COUNTIFS($A$6:$A$1005,A958,$B$6:$B$1005,B958)&gt;1,"DUPLICADO FECHA-SKU",IF(COUNTIF(CATALOGO!$A$6:$A$105,B958)&lt;&gt;1,"SKU NO VALIDO",IF(OR(A958&lt;DATE(1900,1,1),A958&gt;DATE(2100,12,31),A958&gt;CONFIG!$B$5,C958&lt;0,C958&gt;1000000,D958&lt;0,D958&gt;1000000,E958&lt;0,E958&gt;1000000,E958&gt;D958,ABS(F958)&gt;1000000000,ABS(G958)&gt;1000000000,ROUND(F958,2)&lt;&gt;F958,AND(G958&lt;&gt;"",ROUND(G958,2)&lt;&gt;G958)),"REVISAR VALOR","OK"))))),"REVISAR VALOR")</f>
        <v/>
      </c>
    </row>
    <row r="959" spans="1:9" x14ac:dyDescent="0.45">
      <c r="A959" s="4"/>
      <c r="B959" s="8"/>
      <c r="C959" s="5"/>
      <c r="D959" s="5"/>
      <c r="E959" s="5"/>
      <c r="F959" s="7"/>
      <c r="G959" s="7"/>
      <c r="H959" s="8"/>
      <c r="I959" s="12" t="str">
        <f>IFERROR(IF(COUNTA(A959:H959)=0,"",IF(OR(A959="",B959="",C959="",D959="",E959="",F959=""),"FALTA CAMPO",IF(COUNTIFS($A$6:$A$1005,A959,$B$6:$B$1005,B959)&gt;1,"DUPLICADO FECHA-SKU",IF(COUNTIF(CATALOGO!$A$6:$A$105,B959)&lt;&gt;1,"SKU NO VALIDO",IF(OR(A959&lt;DATE(1900,1,1),A959&gt;DATE(2100,12,31),A959&gt;CONFIG!$B$5,C959&lt;0,C959&gt;1000000,D959&lt;0,D959&gt;1000000,E959&lt;0,E959&gt;1000000,E959&gt;D959,ABS(F959)&gt;1000000000,ABS(G959)&gt;1000000000,ROUND(F959,2)&lt;&gt;F959,AND(G959&lt;&gt;"",ROUND(G959,2)&lt;&gt;G959)),"REVISAR VALOR","OK"))))),"REVISAR VALOR")</f>
        <v/>
      </c>
    </row>
    <row r="960" spans="1:9" x14ac:dyDescent="0.45">
      <c r="A960" s="4"/>
      <c r="B960" s="8"/>
      <c r="C960" s="5"/>
      <c r="D960" s="5"/>
      <c r="E960" s="5"/>
      <c r="F960" s="7"/>
      <c r="G960" s="7"/>
      <c r="H960" s="8"/>
      <c r="I960" s="12" t="str">
        <f>IFERROR(IF(COUNTA(A960:H960)=0,"",IF(OR(A960="",B960="",C960="",D960="",E960="",F960=""),"FALTA CAMPO",IF(COUNTIFS($A$6:$A$1005,A960,$B$6:$B$1005,B960)&gt;1,"DUPLICADO FECHA-SKU",IF(COUNTIF(CATALOGO!$A$6:$A$105,B960)&lt;&gt;1,"SKU NO VALIDO",IF(OR(A960&lt;DATE(1900,1,1),A960&gt;DATE(2100,12,31),A960&gt;CONFIG!$B$5,C960&lt;0,C960&gt;1000000,D960&lt;0,D960&gt;1000000,E960&lt;0,E960&gt;1000000,E960&gt;D960,ABS(F960)&gt;1000000000,ABS(G960)&gt;1000000000,ROUND(F960,2)&lt;&gt;F960,AND(G960&lt;&gt;"",ROUND(G960,2)&lt;&gt;G960)),"REVISAR VALOR","OK"))))),"REVISAR VALOR")</f>
        <v/>
      </c>
    </row>
    <row r="961" spans="1:9" x14ac:dyDescent="0.45">
      <c r="A961" s="4"/>
      <c r="B961" s="8"/>
      <c r="C961" s="5"/>
      <c r="D961" s="5"/>
      <c r="E961" s="5"/>
      <c r="F961" s="7"/>
      <c r="G961" s="7"/>
      <c r="H961" s="8"/>
      <c r="I961" s="12" t="str">
        <f>IFERROR(IF(COUNTA(A961:H961)=0,"",IF(OR(A961="",B961="",C961="",D961="",E961="",F961=""),"FALTA CAMPO",IF(COUNTIFS($A$6:$A$1005,A961,$B$6:$B$1005,B961)&gt;1,"DUPLICADO FECHA-SKU",IF(COUNTIF(CATALOGO!$A$6:$A$105,B961)&lt;&gt;1,"SKU NO VALIDO",IF(OR(A961&lt;DATE(1900,1,1),A961&gt;DATE(2100,12,31),A961&gt;CONFIG!$B$5,C961&lt;0,C961&gt;1000000,D961&lt;0,D961&gt;1000000,E961&lt;0,E961&gt;1000000,E961&gt;D961,ABS(F961)&gt;1000000000,ABS(G961)&gt;1000000000,ROUND(F961,2)&lt;&gt;F961,AND(G961&lt;&gt;"",ROUND(G961,2)&lt;&gt;G961)),"REVISAR VALOR","OK"))))),"REVISAR VALOR")</f>
        <v/>
      </c>
    </row>
    <row r="962" spans="1:9" x14ac:dyDescent="0.45">
      <c r="A962" s="4"/>
      <c r="B962" s="8"/>
      <c r="C962" s="5"/>
      <c r="D962" s="5"/>
      <c r="E962" s="5"/>
      <c r="F962" s="7"/>
      <c r="G962" s="7"/>
      <c r="H962" s="8"/>
      <c r="I962" s="12" t="str">
        <f>IFERROR(IF(COUNTA(A962:H962)=0,"",IF(OR(A962="",B962="",C962="",D962="",E962="",F962=""),"FALTA CAMPO",IF(COUNTIFS($A$6:$A$1005,A962,$B$6:$B$1005,B962)&gt;1,"DUPLICADO FECHA-SKU",IF(COUNTIF(CATALOGO!$A$6:$A$105,B962)&lt;&gt;1,"SKU NO VALIDO",IF(OR(A962&lt;DATE(1900,1,1),A962&gt;DATE(2100,12,31),A962&gt;CONFIG!$B$5,C962&lt;0,C962&gt;1000000,D962&lt;0,D962&gt;1000000,E962&lt;0,E962&gt;1000000,E962&gt;D962,ABS(F962)&gt;1000000000,ABS(G962)&gt;1000000000,ROUND(F962,2)&lt;&gt;F962,AND(G962&lt;&gt;"",ROUND(G962,2)&lt;&gt;G962)),"REVISAR VALOR","OK"))))),"REVISAR VALOR")</f>
        <v/>
      </c>
    </row>
    <row r="963" spans="1:9" x14ac:dyDescent="0.45">
      <c r="A963" s="4"/>
      <c r="B963" s="8"/>
      <c r="C963" s="5"/>
      <c r="D963" s="5"/>
      <c r="E963" s="5"/>
      <c r="F963" s="7"/>
      <c r="G963" s="7"/>
      <c r="H963" s="8"/>
      <c r="I963" s="12" t="str">
        <f>IFERROR(IF(COUNTA(A963:H963)=0,"",IF(OR(A963="",B963="",C963="",D963="",E963="",F963=""),"FALTA CAMPO",IF(COUNTIFS($A$6:$A$1005,A963,$B$6:$B$1005,B963)&gt;1,"DUPLICADO FECHA-SKU",IF(COUNTIF(CATALOGO!$A$6:$A$105,B963)&lt;&gt;1,"SKU NO VALIDO",IF(OR(A963&lt;DATE(1900,1,1),A963&gt;DATE(2100,12,31),A963&gt;CONFIG!$B$5,C963&lt;0,C963&gt;1000000,D963&lt;0,D963&gt;1000000,E963&lt;0,E963&gt;1000000,E963&gt;D963,ABS(F963)&gt;1000000000,ABS(G963)&gt;1000000000,ROUND(F963,2)&lt;&gt;F963,AND(G963&lt;&gt;"",ROUND(G963,2)&lt;&gt;G963)),"REVISAR VALOR","OK"))))),"REVISAR VALOR")</f>
        <v/>
      </c>
    </row>
    <row r="964" spans="1:9" x14ac:dyDescent="0.45">
      <c r="A964" s="4"/>
      <c r="B964" s="8"/>
      <c r="C964" s="5"/>
      <c r="D964" s="5"/>
      <c r="E964" s="5"/>
      <c r="F964" s="7"/>
      <c r="G964" s="7"/>
      <c r="H964" s="8"/>
      <c r="I964" s="12" t="str">
        <f>IFERROR(IF(COUNTA(A964:H964)=0,"",IF(OR(A964="",B964="",C964="",D964="",E964="",F964=""),"FALTA CAMPO",IF(COUNTIFS($A$6:$A$1005,A964,$B$6:$B$1005,B964)&gt;1,"DUPLICADO FECHA-SKU",IF(COUNTIF(CATALOGO!$A$6:$A$105,B964)&lt;&gt;1,"SKU NO VALIDO",IF(OR(A964&lt;DATE(1900,1,1),A964&gt;DATE(2100,12,31),A964&gt;CONFIG!$B$5,C964&lt;0,C964&gt;1000000,D964&lt;0,D964&gt;1000000,E964&lt;0,E964&gt;1000000,E964&gt;D964,ABS(F964)&gt;1000000000,ABS(G964)&gt;1000000000,ROUND(F964,2)&lt;&gt;F964,AND(G964&lt;&gt;"",ROUND(G964,2)&lt;&gt;G964)),"REVISAR VALOR","OK"))))),"REVISAR VALOR")</f>
        <v/>
      </c>
    </row>
    <row r="965" spans="1:9" x14ac:dyDescent="0.45">
      <c r="A965" s="4"/>
      <c r="B965" s="8"/>
      <c r="C965" s="5"/>
      <c r="D965" s="5"/>
      <c r="E965" s="5"/>
      <c r="F965" s="7"/>
      <c r="G965" s="7"/>
      <c r="H965" s="8"/>
      <c r="I965" s="12" t="str">
        <f>IFERROR(IF(COUNTA(A965:H965)=0,"",IF(OR(A965="",B965="",C965="",D965="",E965="",F965=""),"FALTA CAMPO",IF(COUNTIFS($A$6:$A$1005,A965,$B$6:$B$1005,B965)&gt;1,"DUPLICADO FECHA-SKU",IF(COUNTIF(CATALOGO!$A$6:$A$105,B965)&lt;&gt;1,"SKU NO VALIDO",IF(OR(A965&lt;DATE(1900,1,1),A965&gt;DATE(2100,12,31),A965&gt;CONFIG!$B$5,C965&lt;0,C965&gt;1000000,D965&lt;0,D965&gt;1000000,E965&lt;0,E965&gt;1000000,E965&gt;D965,ABS(F965)&gt;1000000000,ABS(G965)&gt;1000000000,ROUND(F965,2)&lt;&gt;F965,AND(G965&lt;&gt;"",ROUND(G965,2)&lt;&gt;G965)),"REVISAR VALOR","OK"))))),"REVISAR VALOR")</f>
        <v/>
      </c>
    </row>
    <row r="966" spans="1:9" x14ac:dyDescent="0.45">
      <c r="A966" s="4"/>
      <c r="B966" s="8"/>
      <c r="C966" s="5"/>
      <c r="D966" s="5"/>
      <c r="E966" s="5"/>
      <c r="F966" s="7"/>
      <c r="G966" s="7"/>
      <c r="H966" s="8"/>
      <c r="I966" s="12" t="str">
        <f>IFERROR(IF(COUNTA(A966:H966)=0,"",IF(OR(A966="",B966="",C966="",D966="",E966="",F966=""),"FALTA CAMPO",IF(COUNTIFS($A$6:$A$1005,A966,$B$6:$B$1005,B966)&gt;1,"DUPLICADO FECHA-SKU",IF(COUNTIF(CATALOGO!$A$6:$A$105,B966)&lt;&gt;1,"SKU NO VALIDO",IF(OR(A966&lt;DATE(1900,1,1),A966&gt;DATE(2100,12,31),A966&gt;CONFIG!$B$5,C966&lt;0,C966&gt;1000000,D966&lt;0,D966&gt;1000000,E966&lt;0,E966&gt;1000000,E966&gt;D966,ABS(F966)&gt;1000000000,ABS(G966)&gt;1000000000,ROUND(F966,2)&lt;&gt;F966,AND(G966&lt;&gt;"",ROUND(G966,2)&lt;&gt;G966)),"REVISAR VALOR","OK"))))),"REVISAR VALOR")</f>
        <v/>
      </c>
    </row>
    <row r="967" spans="1:9" x14ac:dyDescent="0.45">
      <c r="A967" s="4"/>
      <c r="B967" s="8"/>
      <c r="C967" s="5"/>
      <c r="D967" s="5"/>
      <c r="E967" s="5"/>
      <c r="F967" s="7"/>
      <c r="G967" s="7"/>
      <c r="H967" s="8"/>
      <c r="I967" s="12" t="str">
        <f>IFERROR(IF(COUNTA(A967:H967)=0,"",IF(OR(A967="",B967="",C967="",D967="",E967="",F967=""),"FALTA CAMPO",IF(COUNTIFS($A$6:$A$1005,A967,$B$6:$B$1005,B967)&gt;1,"DUPLICADO FECHA-SKU",IF(COUNTIF(CATALOGO!$A$6:$A$105,B967)&lt;&gt;1,"SKU NO VALIDO",IF(OR(A967&lt;DATE(1900,1,1),A967&gt;DATE(2100,12,31),A967&gt;CONFIG!$B$5,C967&lt;0,C967&gt;1000000,D967&lt;0,D967&gt;1000000,E967&lt;0,E967&gt;1000000,E967&gt;D967,ABS(F967)&gt;1000000000,ABS(G967)&gt;1000000000,ROUND(F967,2)&lt;&gt;F967,AND(G967&lt;&gt;"",ROUND(G967,2)&lt;&gt;G967)),"REVISAR VALOR","OK"))))),"REVISAR VALOR")</f>
        <v/>
      </c>
    </row>
    <row r="968" spans="1:9" x14ac:dyDescent="0.45">
      <c r="A968" s="4"/>
      <c r="B968" s="8"/>
      <c r="C968" s="5"/>
      <c r="D968" s="5"/>
      <c r="E968" s="5"/>
      <c r="F968" s="7"/>
      <c r="G968" s="7"/>
      <c r="H968" s="8"/>
      <c r="I968" s="12" t="str">
        <f>IFERROR(IF(COUNTA(A968:H968)=0,"",IF(OR(A968="",B968="",C968="",D968="",E968="",F968=""),"FALTA CAMPO",IF(COUNTIFS($A$6:$A$1005,A968,$B$6:$B$1005,B968)&gt;1,"DUPLICADO FECHA-SKU",IF(COUNTIF(CATALOGO!$A$6:$A$105,B968)&lt;&gt;1,"SKU NO VALIDO",IF(OR(A968&lt;DATE(1900,1,1),A968&gt;DATE(2100,12,31),A968&gt;CONFIG!$B$5,C968&lt;0,C968&gt;1000000,D968&lt;0,D968&gt;1000000,E968&lt;0,E968&gt;1000000,E968&gt;D968,ABS(F968)&gt;1000000000,ABS(G968)&gt;1000000000,ROUND(F968,2)&lt;&gt;F968,AND(G968&lt;&gt;"",ROUND(G968,2)&lt;&gt;G968)),"REVISAR VALOR","OK"))))),"REVISAR VALOR")</f>
        <v/>
      </c>
    </row>
    <row r="969" spans="1:9" x14ac:dyDescent="0.45">
      <c r="A969" s="4"/>
      <c r="B969" s="8"/>
      <c r="C969" s="5"/>
      <c r="D969" s="5"/>
      <c r="E969" s="5"/>
      <c r="F969" s="7"/>
      <c r="G969" s="7"/>
      <c r="H969" s="8"/>
      <c r="I969" s="12" t="str">
        <f>IFERROR(IF(COUNTA(A969:H969)=0,"",IF(OR(A969="",B969="",C969="",D969="",E969="",F969=""),"FALTA CAMPO",IF(COUNTIFS($A$6:$A$1005,A969,$B$6:$B$1005,B969)&gt;1,"DUPLICADO FECHA-SKU",IF(COUNTIF(CATALOGO!$A$6:$A$105,B969)&lt;&gt;1,"SKU NO VALIDO",IF(OR(A969&lt;DATE(1900,1,1),A969&gt;DATE(2100,12,31),A969&gt;CONFIG!$B$5,C969&lt;0,C969&gt;1000000,D969&lt;0,D969&gt;1000000,E969&lt;0,E969&gt;1000000,E969&gt;D969,ABS(F969)&gt;1000000000,ABS(G969)&gt;1000000000,ROUND(F969,2)&lt;&gt;F969,AND(G969&lt;&gt;"",ROUND(G969,2)&lt;&gt;G969)),"REVISAR VALOR","OK"))))),"REVISAR VALOR")</f>
        <v/>
      </c>
    </row>
    <row r="970" spans="1:9" x14ac:dyDescent="0.45">
      <c r="A970" s="4"/>
      <c r="B970" s="8"/>
      <c r="C970" s="5"/>
      <c r="D970" s="5"/>
      <c r="E970" s="5"/>
      <c r="F970" s="7"/>
      <c r="G970" s="7"/>
      <c r="H970" s="8"/>
      <c r="I970" s="12" t="str">
        <f>IFERROR(IF(COUNTA(A970:H970)=0,"",IF(OR(A970="",B970="",C970="",D970="",E970="",F970=""),"FALTA CAMPO",IF(COUNTIFS($A$6:$A$1005,A970,$B$6:$B$1005,B970)&gt;1,"DUPLICADO FECHA-SKU",IF(COUNTIF(CATALOGO!$A$6:$A$105,B970)&lt;&gt;1,"SKU NO VALIDO",IF(OR(A970&lt;DATE(1900,1,1),A970&gt;DATE(2100,12,31),A970&gt;CONFIG!$B$5,C970&lt;0,C970&gt;1000000,D970&lt;0,D970&gt;1000000,E970&lt;0,E970&gt;1000000,E970&gt;D970,ABS(F970)&gt;1000000000,ABS(G970)&gt;1000000000,ROUND(F970,2)&lt;&gt;F970,AND(G970&lt;&gt;"",ROUND(G970,2)&lt;&gt;G970)),"REVISAR VALOR","OK"))))),"REVISAR VALOR")</f>
        <v/>
      </c>
    </row>
    <row r="971" spans="1:9" x14ac:dyDescent="0.45">
      <c r="A971" s="4"/>
      <c r="B971" s="8"/>
      <c r="C971" s="5"/>
      <c r="D971" s="5"/>
      <c r="E971" s="5"/>
      <c r="F971" s="7"/>
      <c r="G971" s="7"/>
      <c r="H971" s="8"/>
      <c r="I971" s="12" t="str">
        <f>IFERROR(IF(COUNTA(A971:H971)=0,"",IF(OR(A971="",B971="",C971="",D971="",E971="",F971=""),"FALTA CAMPO",IF(COUNTIFS($A$6:$A$1005,A971,$B$6:$B$1005,B971)&gt;1,"DUPLICADO FECHA-SKU",IF(COUNTIF(CATALOGO!$A$6:$A$105,B971)&lt;&gt;1,"SKU NO VALIDO",IF(OR(A971&lt;DATE(1900,1,1),A971&gt;DATE(2100,12,31),A971&gt;CONFIG!$B$5,C971&lt;0,C971&gt;1000000,D971&lt;0,D971&gt;1000000,E971&lt;0,E971&gt;1000000,E971&gt;D971,ABS(F971)&gt;1000000000,ABS(G971)&gt;1000000000,ROUND(F971,2)&lt;&gt;F971,AND(G971&lt;&gt;"",ROUND(G971,2)&lt;&gt;G971)),"REVISAR VALOR","OK"))))),"REVISAR VALOR")</f>
        <v/>
      </c>
    </row>
    <row r="972" spans="1:9" x14ac:dyDescent="0.45">
      <c r="A972" s="4"/>
      <c r="B972" s="8"/>
      <c r="C972" s="5"/>
      <c r="D972" s="5"/>
      <c r="E972" s="5"/>
      <c r="F972" s="7"/>
      <c r="G972" s="7"/>
      <c r="H972" s="8"/>
      <c r="I972" s="12" t="str">
        <f>IFERROR(IF(COUNTA(A972:H972)=0,"",IF(OR(A972="",B972="",C972="",D972="",E972="",F972=""),"FALTA CAMPO",IF(COUNTIFS($A$6:$A$1005,A972,$B$6:$B$1005,B972)&gt;1,"DUPLICADO FECHA-SKU",IF(COUNTIF(CATALOGO!$A$6:$A$105,B972)&lt;&gt;1,"SKU NO VALIDO",IF(OR(A972&lt;DATE(1900,1,1),A972&gt;DATE(2100,12,31),A972&gt;CONFIG!$B$5,C972&lt;0,C972&gt;1000000,D972&lt;0,D972&gt;1000000,E972&lt;0,E972&gt;1000000,E972&gt;D972,ABS(F972)&gt;1000000000,ABS(G972)&gt;1000000000,ROUND(F972,2)&lt;&gt;F972,AND(G972&lt;&gt;"",ROUND(G972,2)&lt;&gt;G972)),"REVISAR VALOR","OK"))))),"REVISAR VALOR")</f>
        <v/>
      </c>
    </row>
    <row r="973" spans="1:9" x14ac:dyDescent="0.45">
      <c r="A973" s="4"/>
      <c r="B973" s="8"/>
      <c r="C973" s="5"/>
      <c r="D973" s="5"/>
      <c r="E973" s="5"/>
      <c r="F973" s="7"/>
      <c r="G973" s="7"/>
      <c r="H973" s="8"/>
      <c r="I973" s="12" t="str">
        <f>IFERROR(IF(COUNTA(A973:H973)=0,"",IF(OR(A973="",B973="",C973="",D973="",E973="",F973=""),"FALTA CAMPO",IF(COUNTIFS($A$6:$A$1005,A973,$B$6:$B$1005,B973)&gt;1,"DUPLICADO FECHA-SKU",IF(COUNTIF(CATALOGO!$A$6:$A$105,B973)&lt;&gt;1,"SKU NO VALIDO",IF(OR(A973&lt;DATE(1900,1,1),A973&gt;DATE(2100,12,31),A973&gt;CONFIG!$B$5,C973&lt;0,C973&gt;1000000,D973&lt;0,D973&gt;1000000,E973&lt;0,E973&gt;1000000,E973&gt;D973,ABS(F973)&gt;1000000000,ABS(G973)&gt;1000000000,ROUND(F973,2)&lt;&gt;F973,AND(G973&lt;&gt;"",ROUND(G973,2)&lt;&gt;G973)),"REVISAR VALOR","OK"))))),"REVISAR VALOR")</f>
        <v/>
      </c>
    </row>
    <row r="974" spans="1:9" x14ac:dyDescent="0.45">
      <c r="A974" s="4"/>
      <c r="B974" s="8"/>
      <c r="C974" s="5"/>
      <c r="D974" s="5"/>
      <c r="E974" s="5"/>
      <c r="F974" s="7"/>
      <c r="G974" s="7"/>
      <c r="H974" s="8"/>
      <c r="I974" s="12" t="str">
        <f>IFERROR(IF(COUNTA(A974:H974)=0,"",IF(OR(A974="",B974="",C974="",D974="",E974="",F974=""),"FALTA CAMPO",IF(COUNTIFS($A$6:$A$1005,A974,$B$6:$B$1005,B974)&gt;1,"DUPLICADO FECHA-SKU",IF(COUNTIF(CATALOGO!$A$6:$A$105,B974)&lt;&gt;1,"SKU NO VALIDO",IF(OR(A974&lt;DATE(1900,1,1),A974&gt;DATE(2100,12,31),A974&gt;CONFIG!$B$5,C974&lt;0,C974&gt;1000000,D974&lt;0,D974&gt;1000000,E974&lt;0,E974&gt;1000000,E974&gt;D974,ABS(F974)&gt;1000000000,ABS(G974)&gt;1000000000,ROUND(F974,2)&lt;&gt;F974,AND(G974&lt;&gt;"",ROUND(G974,2)&lt;&gt;G974)),"REVISAR VALOR","OK"))))),"REVISAR VALOR")</f>
        <v/>
      </c>
    </row>
    <row r="975" spans="1:9" x14ac:dyDescent="0.45">
      <c r="A975" s="4"/>
      <c r="B975" s="8"/>
      <c r="C975" s="5"/>
      <c r="D975" s="5"/>
      <c r="E975" s="5"/>
      <c r="F975" s="7"/>
      <c r="G975" s="7"/>
      <c r="H975" s="8"/>
      <c r="I975" s="12" t="str">
        <f>IFERROR(IF(COUNTA(A975:H975)=0,"",IF(OR(A975="",B975="",C975="",D975="",E975="",F975=""),"FALTA CAMPO",IF(COUNTIFS($A$6:$A$1005,A975,$B$6:$B$1005,B975)&gt;1,"DUPLICADO FECHA-SKU",IF(COUNTIF(CATALOGO!$A$6:$A$105,B975)&lt;&gt;1,"SKU NO VALIDO",IF(OR(A975&lt;DATE(1900,1,1),A975&gt;DATE(2100,12,31),A975&gt;CONFIG!$B$5,C975&lt;0,C975&gt;1000000,D975&lt;0,D975&gt;1000000,E975&lt;0,E975&gt;1000000,E975&gt;D975,ABS(F975)&gt;1000000000,ABS(G975)&gt;1000000000,ROUND(F975,2)&lt;&gt;F975,AND(G975&lt;&gt;"",ROUND(G975,2)&lt;&gt;G975)),"REVISAR VALOR","OK"))))),"REVISAR VALOR")</f>
        <v/>
      </c>
    </row>
    <row r="976" spans="1:9" x14ac:dyDescent="0.45">
      <c r="A976" s="4"/>
      <c r="B976" s="8"/>
      <c r="C976" s="5"/>
      <c r="D976" s="5"/>
      <c r="E976" s="5"/>
      <c r="F976" s="7"/>
      <c r="G976" s="7"/>
      <c r="H976" s="8"/>
      <c r="I976" s="12" t="str">
        <f>IFERROR(IF(COUNTA(A976:H976)=0,"",IF(OR(A976="",B976="",C976="",D976="",E976="",F976=""),"FALTA CAMPO",IF(COUNTIFS($A$6:$A$1005,A976,$B$6:$B$1005,B976)&gt;1,"DUPLICADO FECHA-SKU",IF(COUNTIF(CATALOGO!$A$6:$A$105,B976)&lt;&gt;1,"SKU NO VALIDO",IF(OR(A976&lt;DATE(1900,1,1),A976&gt;DATE(2100,12,31),A976&gt;CONFIG!$B$5,C976&lt;0,C976&gt;1000000,D976&lt;0,D976&gt;1000000,E976&lt;0,E976&gt;1000000,E976&gt;D976,ABS(F976)&gt;1000000000,ABS(G976)&gt;1000000000,ROUND(F976,2)&lt;&gt;F976,AND(G976&lt;&gt;"",ROUND(G976,2)&lt;&gt;G976)),"REVISAR VALOR","OK"))))),"REVISAR VALOR")</f>
        <v/>
      </c>
    </row>
    <row r="977" spans="1:9" x14ac:dyDescent="0.45">
      <c r="A977" s="4"/>
      <c r="B977" s="8"/>
      <c r="C977" s="5"/>
      <c r="D977" s="5"/>
      <c r="E977" s="5"/>
      <c r="F977" s="7"/>
      <c r="G977" s="7"/>
      <c r="H977" s="8"/>
      <c r="I977" s="12" t="str">
        <f>IFERROR(IF(COUNTA(A977:H977)=0,"",IF(OR(A977="",B977="",C977="",D977="",E977="",F977=""),"FALTA CAMPO",IF(COUNTIFS($A$6:$A$1005,A977,$B$6:$B$1005,B977)&gt;1,"DUPLICADO FECHA-SKU",IF(COUNTIF(CATALOGO!$A$6:$A$105,B977)&lt;&gt;1,"SKU NO VALIDO",IF(OR(A977&lt;DATE(1900,1,1),A977&gt;DATE(2100,12,31),A977&gt;CONFIG!$B$5,C977&lt;0,C977&gt;1000000,D977&lt;0,D977&gt;1000000,E977&lt;0,E977&gt;1000000,E977&gt;D977,ABS(F977)&gt;1000000000,ABS(G977)&gt;1000000000,ROUND(F977,2)&lt;&gt;F977,AND(G977&lt;&gt;"",ROUND(G977,2)&lt;&gt;G977)),"REVISAR VALOR","OK"))))),"REVISAR VALOR")</f>
        <v/>
      </c>
    </row>
    <row r="978" spans="1:9" x14ac:dyDescent="0.45">
      <c r="A978" s="4"/>
      <c r="B978" s="8"/>
      <c r="C978" s="5"/>
      <c r="D978" s="5"/>
      <c r="E978" s="5"/>
      <c r="F978" s="7"/>
      <c r="G978" s="7"/>
      <c r="H978" s="8"/>
      <c r="I978" s="12" t="str">
        <f>IFERROR(IF(COUNTA(A978:H978)=0,"",IF(OR(A978="",B978="",C978="",D978="",E978="",F978=""),"FALTA CAMPO",IF(COUNTIFS($A$6:$A$1005,A978,$B$6:$B$1005,B978)&gt;1,"DUPLICADO FECHA-SKU",IF(COUNTIF(CATALOGO!$A$6:$A$105,B978)&lt;&gt;1,"SKU NO VALIDO",IF(OR(A978&lt;DATE(1900,1,1),A978&gt;DATE(2100,12,31),A978&gt;CONFIG!$B$5,C978&lt;0,C978&gt;1000000,D978&lt;0,D978&gt;1000000,E978&lt;0,E978&gt;1000000,E978&gt;D978,ABS(F978)&gt;1000000000,ABS(G978)&gt;1000000000,ROUND(F978,2)&lt;&gt;F978,AND(G978&lt;&gt;"",ROUND(G978,2)&lt;&gt;G978)),"REVISAR VALOR","OK"))))),"REVISAR VALOR")</f>
        <v/>
      </c>
    </row>
    <row r="979" spans="1:9" x14ac:dyDescent="0.45">
      <c r="A979" s="4"/>
      <c r="B979" s="8"/>
      <c r="C979" s="5"/>
      <c r="D979" s="5"/>
      <c r="E979" s="5"/>
      <c r="F979" s="7"/>
      <c r="G979" s="7"/>
      <c r="H979" s="8"/>
      <c r="I979" s="12" t="str">
        <f>IFERROR(IF(COUNTA(A979:H979)=0,"",IF(OR(A979="",B979="",C979="",D979="",E979="",F979=""),"FALTA CAMPO",IF(COUNTIFS($A$6:$A$1005,A979,$B$6:$B$1005,B979)&gt;1,"DUPLICADO FECHA-SKU",IF(COUNTIF(CATALOGO!$A$6:$A$105,B979)&lt;&gt;1,"SKU NO VALIDO",IF(OR(A979&lt;DATE(1900,1,1),A979&gt;DATE(2100,12,31),A979&gt;CONFIG!$B$5,C979&lt;0,C979&gt;1000000,D979&lt;0,D979&gt;1000000,E979&lt;0,E979&gt;1000000,E979&gt;D979,ABS(F979)&gt;1000000000,ABS(G979)&gt;1000000000,ROUND(F979,2)&lt;&gt;F979,AND(G979&lt;&gt;"",ROUND(G979,2)&lt;&gt;G979)),"REVISAR VALOR","OK"))))),"REVISAR VALOR")</f>
        <v/>
      </c>
    </row>
    <row r="980" spans="1:9" x14ac:dyDescent="0.45">
      <c r="A980" s="4"/>
      <c r="B980" s="8"/>
      <c r="C980" s="5"/>
      <c r="D980" s="5"/>
      <c r="E980" s="5"/>
      <c r="F980" s="7"/>
      <c r="G980" s="7"/>
      <c r="H980" s="8"/>
      <c r="I980" s="12" t="str">
        <f>IFERROR(IF(COUNTA(A980:H980)=0,"",IF(OR(A980="",B980="",C980="",D980="",E980="",F980=""),"FALTA CAMPO",IF(COUNTIFS($A$6:$A$1005,A980,$B$6:$B$1005,B980)&gt;1,"DUPLICADO FECHA-SKU",IF(COUNTIF(CATALOGO!$A$6:$A$105,B980)&lt;&gt;1,"SKU NO VALIDO",IF(OR(A980&lt;DATE(1900,1,1),A980&gt;DATE(2100,12,31),A980&gt;CONFIG!$B$5,C980&lt;0,C980&gt;1000000,D980&lt;0,D980&gt;1000000,E980&lt;0,E980&gt;1000000,E980&gt;D980,ABS(F980)&gt;1000000000,ABS(G980)&gt;1000000000,ROUND(F980,2)&lt;&gt;F980,AND(G980&lt;&gt;"",ROUND(G980,2)&lt;&gt;G980)),"REVISAR VALOR","OK"))))),"REVISAR VALOR")</f>
        <v/>
      </c>
    </row>
    <row r="981" spans="1:9" x14ac:dyDescent="0.45">
      <c r="A981" s="4"/>
      <c r="B981" s="8"/>
      <c r="C981" s="5"/>
      <c r="D981" s="5"/>
      <c r="E981" s="5"/>
      <c r="F981" s="7"/>
      <c r="G981" s="7"/>
      <c r="H981" s="8"/>
      <c r="I981" s="12" t="str">
        <f>IFERROR(IF(COUNTA(A981:H981)=0,"",IF(OR(A981="",B981="",C981="",D981="",E981="",F981=""),"FALTA CAMPO",IF(COUNTIFS($A$6:$A$1005,A981,$B$6:$B$1005,B981)&gt;1,"DUPLICADO FECHA-SKU",IF(COUNTIF(CATALOGO!$A$6:$A$105,B981)&lt;&gt;1,"SKU NO VALIDO",IF(OR(A981&lt;DATE(1900,1,1),A981&gt;DATE(2100,12,31),A981&gt;CONFIG!$B$5,C981&lt;0,C981&gt;1000000,D981&lt;0,D981&gt;1000000,E981&lt;0,E981&gt;1000000,E981&gt;D981,ABS(F981)&gt;1000000000,ABS(G981)&gt;1000000000,ROUND(F981,2)&lt;&gt;F981,AND(G981&lt;&gt;"",ROUND(G981,2)&lt;&gt;G981)),"REVISAR VALOR","OK"))))),"REVISAR VALOR")</f>
        <v/>
      </c>
    </row>
    <row r="982" spans="1:9" x14ac:dyDescent="0.45">
      <c r="A982" s="4"/>
      <c r="B982" s="8"/>
      <c r="C982" s="5"/>
      <c r="D982" s="5"/>
      <c r="E982" s="5"/>
      <c r="F982" s="7"/>
      <c r="G982" s="7"/>
      <c r="H982" s="8"/>
      <c r="I982" s="12" t="str">
        <f>IFERROR(IF(COUNTA(A982:H982)=0,"",IF(OR(A982="",B982="",C982="",D982="",E982="",F982=""),"FALTA CAMPO",IF(COUNTIFS($A$6:$A$1005,A982,$B$6:$B$1005,B982)&gt;1,"DUPLICADO FECHA-SKU",IF(COUNTIF(CATALOGO!$A$6:$A$105,B982)&lt;&gt;1,"SKU NO VALIDO",IF(OR(A982&lt;DATE(1900,1,1),A982&gt;DATE(2100,12,31),A982&gt;CONFIG!$B$5,C982&lt;0,C982&gt;1000000,D982&lt;0,D982&gt;1000000,E982&lt;0,E982&gt;1000000,E982&gt;D982,ABS(F982)&gt;1000000000,ABS(G982)&gt;1000000000,ROUND(F982,2)&lt;&gt;F982,AND(G982&lt;&gt;"",ROUND(G982,2)&lt;&gt;G982)),"REVISAR VALOR","OK"))))),"REVISAR VALOR")</f>
        <v/>
      </c>
    </row>
    <row r="983" spans="1:9" x14ac:dyDescent="0.45">
      <c r="A983" s="4"/>
      <c r="B983" s="8"/>
      <c r="C983" s="5"/>
      <c r="D983" s="5"/>
      <c r="E983" s="5"/>
      <c r="F983" s="7"/>
      <c r="G983" s="7"/>
      <c r="H983" s="8"/>
      <c r="I983" s="12" t="str">
        <f>IFERROR(IF(COUNTA(A983:H983)=0,"",IF(OR(A983="",B983="",C983="",D983="",E983="",F983=""),"FALTA CAMPO",IF(COUNTIFS($A$6:$A$1005,A983,$B$6:$B$1005,B983)&gt;1,"DUPLICADO FECHA-SKU",IF(COUNTIF(CATALOGO!$A$6:$A$105,B983)&lt;&gt;1,"SKU NO VALIDO",IF(OR(A983&lt;DATE(1900,1,1),A983&gt;DATE(2100,12,31),A983&gt;CONFIG!$B$5,C983&lt;0,C983&gt;1000000,D983&lt;0,D983&gt;1000000,E983&lt;0,E983&gt;1000000,E983&gt;D983,ABS(F983)&gt;1000000000,ABS(G983)&gt;1000000000,ROUND(F983,2)&lt;&gt;F983,AND(G983&lt;&gt;"",ROUND(G983,2)&lt;&gt;G983)),"REVISAR VALOR","OK"))))),"REVISAR VALOR")</f>
        <v/>
      </c>
    </row>
    <row r="984" spans="1:9" x14ac:dyDescent="0.45">
      <c r="A984" s="4"/>
      <c r="B984" s="8"/>
      <c r="C984" s="5"/>
      <c r="D984" s="5"/>
      <c r="E984" s="5"/>
      <c r="F984" s="7"/>
      <c r="G984" s="7"/>
      <c r="H984" s="8"/>
      <c r="I984" s="12" t="str">
        <f>IFERROR(IF(COUNTA(A984:H984)=0,"",IF(OR(A984="",B984="",C984="",D984="",E984="",F984=""),"FALTA CAMPO",IF(COUNTIFS($A$6:$A$1005,A984,$B$6:$B$1005,B984)&gt;1,"DUPLICADO FECHA-SKU",IF(COUNTIF(CATALOGO!$A$6:$A$105,B984)&lt;&gt;1,"SKU NO VALIDO",IF(OR(A984&lt;DATE(1900,1,1),A984&gt;DATE(2100,12,31),A984&gt;CONFIG!$B$5,C984&lt;0,C984&gt;1000000,D984&lt;0,D984&gt;1000000,E984&lt;0,E984&gt;1000000,E984&gt;D984,ABS(F984)&gt;1000000000,ABS(G984)&gt;1000000000,ROUND(F984,2)&lt;&gt;F984,AND(G984&lt;&gt;"",ROUND(G984,2)&lt;&gt;G984)),"REVISAR VALOR","OK"))))),"REVISAR VALOR")</f>
        <v/>
      </c>
    </row>
    <row r="985" spans="1:9" x14ac:dyDescent="0.45">
      <c r="A985" s="4"/>
      <c r="B985" s="8"/>
      <c r="C985" s="5"/>
      <c r="D985" s="5"/>
      <c r="E985" s="5"/>
      <c r="F985" s="7"/>
      <c r="G985" s="7"/>
      <c r="H985" s="8"/>
      <c r="I985" s="12" t="str">
        <f>IFERROR(IF(COUNTA(A985:H985)=0,"",IF(OR(A985="",B985="",C985="",D985="",E985="",F985=""),"FALTA CAMPO",IF(COUNTIFS($A$6:$A$1005,A985,$B$6:$B$1005,B985)&gt;1,"DUPLICADO FECHA-SKU",IF(COUNTIF(CATALOGO!$A$6:$A$105,B985)&lt;&gt;1,"SKU NO VALIDO",IF(OR(A985&lt;DATE(1900,1,1),A985&gt;DATE(2100,12,31),A985&gt;CONFIG!$B$5,C985&lt;0,C985&gt;1000000,D985&lt;0,D985&gt;1000000,E985&lt;0,E985&gt;1000000,E985&gt;D985,ABS(F985)&gt;1000000000,ABS(G985)&gt;1000000000,ROUND(F985,2)&lt;&gt;F985,AND(G985&lt;&gt;"",ROUND(G985,2)&lt;&gt;G985)),"REVISAR VALOR","OK"))))),"REVISAR VALOR")</f>
        <v/>
      </c>
    </row>
    <row r="986" spans="1:9" x14ac:dyDescent="0.45">
      <c r="A986" s="4"/>
      <c r="B986" s="8"/>
      <c r="C986" s="5"/>
      <c r="D986" s="5"/>
      <c r="E986" s="5"/>
      <c r="F986" s="7"/>
      <c r="G986" s="7"/>
      <c r="H986" s="8"/>
      <c r="I986" s="12" t="str">
        <f>IFERROR(IF(COUNTA(A986:H986)=0,"",IF(OR(A986="",B986="",C986="",D986="",E986="",F986=""),"FALTA CAMPO",IF(COUNTIFS($A$6:$A$1005,A986,$B$6:$B$1005,B986)&gt;1,"DUPLICADO FECHA-SKU",IF(COUNTIF(CATALOGO!$A$6:$A$105,B986)&lt;&gt;1,"SKU NO VALIDO",IF(OR(A986&lt;DATE(1900,1,1),A986&gt;DATE(2100,12,31),A986&gt;CONFIG!$B$5,C986&lt;0,C986&gt;1000000,D986&lt;0,D986&gt;1000000,E986&lt;0,E986&gt;1000000,E986&gt;D986,ABS(F986)&gt;1000000000,ABS(G986)&gt;1000000000,ROUND(F986,2)&lt;&gt;F986,AND(G986&lt;&gt;"",ROUND(G986,2)&lt;&gt;G986)),"REVISAR VALOR","OK"))))),"REVISAR VALOR")</f>
        <v/>
      </c>
    </row>
    <row r="987" spans="1:9" x14ac:dyDescent="0.45">
      <c r="A987" s="4"/>
      <c r="B987" s="8"/>
      <c r="C987" s="5"/>
      <c r="D987" s="5"/>
      <c r="E987" s="5"/>
      <c r="F987" s="7"/>
      <c r="G987" s="7"/>
      <c r="H987" s="8"/>
      <c r="I987" s="12" t="str">
        <f>IFERROR(IF(COUNTA(A987:H987)=0,"",IF(OR(A987="",B987="",C987="",D987="",E987="",F987=""),"FALTA CAMPO",IF(COUNTIFS($A$6:$A$1005,A987,$B$6:$B$1005,B987)&gt;1,"DUPLICADO FECHA-SKU",IF(COUNTIF(CATALOGO!$A$6:$A$105,B987)&lt;&gt;1,"SKU NO VALIDO",IF(OR(A987&lt;DATE(1900,1,1),A987&gt;DATE(2100,12,31),A987&gt;CONFIG!$B$5,C987&lt;0,C987&gt;1000000,D987&lt;0,D987&gt;1000000,E987&lt;0,E987&gt;1000000,E987&gt;D987,ABS(F987)&gt;1000000000,ABS(G987)&gt;1000000000,ROUND(F987,2)&lt;&gt;F987,AND(G987&lt;&gt;"",ROUND(G987,2)&lt;&gt;G987)),"REVISAR VALOR","OK"))))),"REVISAR VALOR")</f>
        <v/>
      </c>
    </row>
    <row r="988" spans="1:9" x14ac:dyDescent="0.45">
      <c r="A988" s="4"/>
      <c r="B988" s="8"/>
      <c r="C988" s="5"/>
      <c r="D988" s="5"/>
      <c r="E988" s="5"/>
      <c r="F988" s="7"/>
      <c r="G988" s="7"/>
      <c r="H988" s="8"/>
      <c r="I988" s="12" t="str">
        <f>IFERROR(IF(COUNTA(A988:H988)=0,"",IF(OR(A988="",B988="",C988="",D988="",E988="",F988=""),"FALTA CAMPO",IF(COUNTIFS($A$6:$A$1005,A988,$B$6:$B$1005,B988)&gt;1,"DUPLICADO FECHA-SKU",IF(COUNTIF(CATALOGO!$A$6:$A$105,B988)&lt;&gt;1,"SKU NO VALIDO",IF(OR(A988&lt;DATE(1900,1,1),A988&gt;DATE(2100,12,31),A988&gt;CONFIG!$B$5,C988&lt;0,C988&gt;1000000,D988&lt;0,D988&gt;1000000,E988&lt;0,E988&gt;1000000,E988&gt;D988,ABS(F988)&gt;1000000000,ABS(G988)&gt;1000000000,ROUND(F988,2)&lt;&gt;F988,AND(G988&lt;&gt;"",ROUND(G988,2)&lt;&gt;G988)),"REVISAR VALOR","OK"))))),"REVISAR VALOR")</f>
        <v/>
      </c>
    </row>
    <row r="989" spans="1:9" x14ac:dyDescent="0.45">
      <c r="A989" s="4"/>
      <c r="B989" s="8"/>
      <c r="C989" s="5"/>
      <c r="D989" s="5"/>
      <c r="E989" s="5"/>
      <c r="F989" s="7"/>
      <c r="G989" s="7"/>
      <c r="H989" s="8"/>
      <c r="I989" s="12" t="str">
        <f>IFERROR(IF(COUNTA(A989:H989)=0,"",IF(OR(A989="",B989="",C989="",D989="",E989="",F989=""),"FALTA CAMPO",IF(COUNTIFS($A$6:$A$1005,A989,$B$6:$B$1005,B989)&gt;1,"DUPLICADO FECHA-SKU",IF(COUNTIF(CATALOGO!$A$6:$A$105,B989)&lt;&gt;1,"SKU NO VALIDO",IF(OR(A989&lt;DATE(1900,1,1),A989&gt;DATE(2100,12,31),A989&gt;CONFIG!$B$5,C989&lt;0,C989&gt;1000000,D989&lt;0,D989&gt;1000000,E989&lt;0,E989&gt;1000000,E989&gt;D989,ABS(F989)&gt;1000000000,ABS(G989)&gt;1000000000,ROUND(F989,2)&lt;&gt;F989,AND(G989&lt;&gt;"",ROUND(G989,2)&lt;&gt;G989)),"REVISAR VALOR","OK"))))),"REVISAR VALOR")</f>
        <v/>
      </c>
    </row>
    <row r="990" spans="1:9" x14ac:dyDescent="0.45">
      <c r="A990" s="4"/>
      <c r="B990" s="8"/>
      <c r="C990" s="5"/>
      <c r="D990" s="5"/>
      <c r="E990" s="5"/>
      <c r="F990" s="7"/>
      <c r="G990" s="7"/>
      <c r="H990" s="8"/>
      <c r="I990" s="12" t="str">
        <f>IFERROR(IF(COUNTA(A990:H990)=0,"",IF(OR(A990="",B990="",C990="",D990="",E990="",F990=""),"FALTA CAMPO",IF(COUNTIFS($A$6:$A$1005,A990,$B$6:$B$1005,B990)&gt;1,"DUPLICADO FECHA-SKU",IF(COUNTIF(CATALOGO!$A$6:$A$105,B990)&lt;&gt;1,"SKU NO VALIDO",IF(OR(A990&lt;DATE(1900,1,1),A990&gt;DATE(2100,12,31),A990&gt;CONFIG!$B$5,C990&lt;0,C990&gt;1000000,D990&lt;0,D990&gt;1000000,E990&lt;0,E990&gt;1000000,E990&gt;D990,ABS(F990)&gt;1000000000,ABS(G990)&gt;1000000000,ROUND(F990,2)&lt;&gt;F990,AND(G990&lt;&gt;"",ROUND(G990,2)&lt;&gt;G990)),"REVISAR VALOR","OK"))))),"REVISAR VALOR")</f>
        <v/>
      </c>
    </row>
    <row r="991" spans="1:9" x14ac:dyDescent="0.45">
      <c r="A991" s="4"/>
      <c r="B991" s="8"/>
      <c r="C991" s="5"/>
      <c r="D991" s="5"/>
      <c r="E991" s="5"/>
      <c r="F991" s="7"/>
      <c r="G991" s="7"/>
      <c r="H991" s="8"/>
      <c r="I991" s="12" t="str">
        <f>IFERROR(IF(COUNTA(A991:H991)=0,"",IF(OR(A991="",B991="",C991="",D991="",E991="",F991=""),"FALTA CAMPO",IF(COUNTIFS($A$6:$A$1005,A991,$B$6:$B$1005,B991)&gt;1,"DUPLICADO FECHA-SKU",IF(COUNTIF(CATALOGO!$A$6:$A$105,B991)&lt;&gt;1,"SKU NO VALIDO",IF(OR(A991&lt;DATE(1900,1,1),A991&gt;DATE(2100,12,31),A991&gt;CONFIG!$B$5,C991&lt;0,C991&gt;1000000,D991&lt;0,D991&gt;1000000,E991&lt;0,E991&gt;1000000,E991&gt;D991,ABS(F991)&gt;1000000000,ABS(G991)&gt;1000000000,ROUND(F991,2)&lt;&gt;F991,AND(G991&lt;&gt;"",ROUND(G991,2)&lt;&gt;G991)),"REVISAR VALOR","OK"))))),"REVISAR VALOR")</f>
        <v/>
      </c>
    </row>
    <row r="992" spans="1:9" x14ac:dyDescent="0.45">
      <c r="A992" s="4"/>
      <c r="B992" s="8"/>
      <c r="C992" s="5"/>
      <c r="D992" s="5"/>
      <c r="E992" s="5"/>
      <c r="F992" s="7"/>
      <c r="G992" s="7"/>
      <c r="H992" s="8"/>
      <c r="I992" s="12" t="str">
        <f>IFERROR(IF(COUNTA(A992:H992)=0,"",IF(OR(A992="",B992="",C992="",D992="",E992="",F992=""),"FALTA CAMPO",IF(COUNTIFS($A$6:$A$1005,A992,$B$6:$B$1005,B992)&gt;1,"DUPLICADO FECHA-SKU",IF(COUNTIF(CATALOGO!$A$6:$A$105,B992)&lt;&gt;1,"SKU NO VALIDO",IF(OR(A992&lt;DATE(1900,1,1),A992&gt;DATE(2100,12,31),A992&gt;CONFIG!$B$5,C992&lt;0,C992&gt;1000000,D992&lt;0,D992&gt;1000000,E992&lt;0,E992&gt;1000000,E992&gt;D992,ABS(F992)&gt;1000000000,ABS(G992)&gt;1000000000,ROUND(F992,2)&lt;&gt;F992,AND(G992&lt;&gt;"",ROUND(G992,2)&lt;&gt;G992)),"REVISAR VALOR","OK"))))),"REVISAR VALOR")</f>
        <v/>
      </c>
    </row>
    <row r="993" spans="1:9" x14ac:dyDescent="0.45">
      <c r="A993" s="4"/>
      <c r="B993" s="8"/>
      <c r="C993" s="5"/>
      <c r="D993" s="5"/>
      <c r="E993" s="5"/>
      <c r="F993" s="7"/>
      <c r="G993" s="7"/>
      <c r="H993" s="8"/>
      <c r="I993" s="12" t="str">
        <f>IFERROR(IF(COUNTA(A993:H993)=0,"",IF(OR(A993="",B993="",C993="",D993="",E993="",F993=""),"FALTA CAMPO",IF(COUNTIFS($A$6:$A$1005,A993,$B$6:$B$1005,B993)&gt;1,"DUPLICADO FECHA-SKU",IF(COUNTIF(CATALOGO!$A$6:$A$105,B993)&lt;&gt;1,"SKU NO VALIDO",IF(OR(A993&lt;DATE(1900,1,1),A993&gt;DATE(2100,12,31),A993&gt;CONFIG!$B$5,C993&lt;0,C993&gt;1000000,D993&lt;0,D993&gt;1000000,E993&lt;0,E993&gt;1000000,E993&gt;D993,ABS(F993)&gt;1000000000,ABS(G993)&gt;1000000000,ROUND(F993,2)&lt;&gt;F993,AND(G993&lt;&gt;"",ROUND(G993,2)&lt;&gt;G993)),"REVISAR VALOR","OK"))))),"REVISAR VALOR")</f>
        <v/>
      </c>
    </row>
    <row r="994" spans="1:9" x14ac:dyDescent="0.45">
      <c r="A994" s="4"/>
      <c r="B994" s="8"/>
      <c r="C994" s="5"/>
      <c r="D994" s="5"/>
      <c r="E994" s="5"/>
      <c r="F994" s="7"/>
      <c r="G994" s="7"/>
      <c r="H994" s="8"/>
      <c r="I994" s="12" t="str">
        <f>IFERROR(IF(COUNTA(A994:H994)=0,"",IF(OR(A994="",B994="",C994="",D994="",E994="",F994=""),"FALTA CAMPO",IF(COUNTIFS($A$6:$A$1005,A994,$B$6:$B$1005,B994)&gt;1,"DUPLICADO FECHA-SKU",IF(COUNTIF(CATALOGO!$A$6:$A$105,B994)&lt;&gt;1,"SKU NO VALIDO",IF(OR(A994&lt;DATE(1900,1,1),A994&gt;DATE(2100,12,31),A994&gt;CONFIG!$B$5,C994&lt;0,C994&gt;1000000,D994&lt;0,D994&gt;1000000,E994&lt;0,E994&gt;1000000,E994&gt;D994,ABS(F994)&gt;1000000000,ABS(G994)&gt;1000000000,ROUND(F994,2)&lt;&gt;F994,AND(G994&lt;&gt;"",ROUND(G994,2)&lt;&gt;G994)),"REVISAR VALOR","OK"))))),"REVISAR VALOR")</f>
        <v/>
      </c>
    </row>
    <row r="995" spans="1:9" x14ac:dyDescent="0.45">
      <c r="A995" s="4"/>
      <c r="B995" s="8"/>
      <c r="C995" s="5"/>
      <c r="D995" s="5"/>
      <c r="E995" s="5"/>
      <c r="F995" s="7"/>
      <c r="G995" s="7"/>
      <c r="H995" s="8"/>
      <c r="I995" s="12" t="str">
        <f>IFERROR(IF(COUNTA(A995:H995)=0,"",IF(OR(A995="",B995="",C995="",D995="",E995="",F995=""),"FALTA CAMPO",IF(COUNTIFS($A$6:$A$1005,A995,$B$6:$B$1005,B995)&gt;1,"DUPLICADO FECHA-SKU",IF(COUNTIF(CATALOGO!$A$6:$A$105,B995)&lt;&gt;1,"SKU NO VALIDO",IF(OR(A995&lt;DATE(1900,1,1),A995&gt;DATE(2100,12,31),A995&gt;CONFIG!$B$5,C995&lt;0,C995&gt;1000000,D995&lt;0,D995&gt;1000000,E995&lt;0,E995&gt;1000000,E995&gt;D995,ABS(F995)&gt;1000000000,ABS(G995)&gt;1000000000,ROUND(F995,2)&lt;&gt;F995,AND(G995&lt;&gt;"",ROUND(G995,2)&lt;&gt;G995)),"REVISAR VALOR","OK"))))),"REVISAR VALOR")</f>
        <v/>
      </c>
    </row>
    <row r="996" spans="1:9" x14ac:dyDescent="0.45">
      <c r="A996" s="4"/>
      <c r="B996" s="8"/>
      <c r="C996" s="5"/>
      <c r="D996" s="5"/>
      <c r="E996" s="5"/>
      <c r="F996" s="7"/>
      <c r="G996" s="7"/>
      <c r="H996" s="8"/>
      <c r="I996" s="12" t="str">
        <f>IFERROR(IF(COUNTA(A996:H996)=0,"",IF(OR(A996="",B996="",C996="",D996="",E996="",F996=""),"FALTA CAMPO",IF(COUNTIFS($A$6:$A$1005,A996,$B$6:$B$1005,B996)&gt;1,"DUPLICADO FECHA-SKU",IF(COUNTIF(CATALOGO!$A$6:$A$105,B996)&lt;&gt;1,"SKU NO VALIDO",IF(OR(A996&lt;DATE(1900,1,1),A996&gt;DATE(2100,12,31),A996&gt;CONFIG!$B$5,C996&lt;0,C996&gt;1000000,D996&lt;0,D996&gt;1000000,E996&lt;0,E996&gt;1000000,E996&gt;D996,ABS(F996)&gt;1000000000,ABS(G996)&gt;1000000000,ROUND(F996,2)&lt;&gt;F996,AND(G996&lt;&gt;"",ROUND(G996,2)&lt;&gt;G996)),"REVISAR VALOR","OK"))))),"REVISAR VALOR")</f>
        <v/>
      </c>
    </row>
    <row r="997" spans="1:9" x14ac:dyDescent="0.45">
      <c r="A997" s="4"/>
      <c r="B997" s="8"/>
      <c r="C997" s="5"/>
      <c r="D997" s="5"/>
      <c r="E997" s="5"/>
      <c r="F997" s="7"/>
      <c r="G997" s="7"/>
      <c r="H997" s="8"/>
      <c r="I997" s="12" t="str">
        <f>IFERROR(IF(COUNTA(A997:H997)=0,"",IF(OR(A997="",B997="",C997="",D997="",E997="",F997=""),"FALTA CAMPO",IF(COUNTIFS($A$6:$A$1005,A997,$B$6:$B$1005,B997)&gt;1,"DUPLICADO FECHA-SKU",IF(COUNTIF(CATALOGO!$A$6:$A$105,B997)&lt;&gt;1,"SKU NO VALIDO",IF(OR(A997&lt;DATE(1900,1,1),A997&gt;DATE(2100,12,31),A997&gt;CONFIG!$B$5,C997&lt;0,C997&gt;1000000,D997&lt;0,D997&gt;1000000,E997&lt;0,E997&gt;1000000,E997&gt;D997,ABS(F997)&gt;1000000000,ABS(G997)&gt;1000000000,ROUND(F997,2)&lt;&gt;F997,AND(G997&lt;&gt;"",ROUND(G997,2)&lt;&gt;G997)),"REVISAR VALOR","OK"))))),"REVISAR VALOR")</f>
        <v/>
      </c>
    </row>
    <row r="998" spans="1:9" x14ac:dyDescent="0.45">
      <c r="A998" s="4"/>
      <c r="B998" s="8"/>
      <c r="C998" s="5"/>
      <c r="D998" s="5"/>
      <c r="E998" s="5"/>
      <c r="F998" s="7"/>
      <c r="G998" s="7"/>
      <c r="H998" s="8"/>
      <c r="I998" s="12" t="str">
        <f>IFERROR(IF(COUNTA(A998:H998)=0,"",IF(OR(A998="",B998="",C998="",D998="",E998="",F998=""),"FALTA CAMPO",IF(COUNTIFS($A$6:$A$1005,A998,$B$6:$B$1005,B998)&gt;1,"DUPLICADO FECHA-SKU",IF(COUNTIF(CATALOGO!$A$6:$A$105,B998)&lt;&gt;1,"SKU NO VALIDO",IF(OR(A998&lt;DATE(1900,1,1),A998&gt;DATE(2100,12,31),A998&gt;CONFIG!$B$5,C998&lt;0,C998&gt;1000000,D998&lt;0,D998&gt;1000000,E998&lt;0,E998&gt;1000000,E998&gt;D998,ABS(F998)&gt;1000000000,ABS(G998)&gt;1000000000,ROUND(F998,2)&lt;&gt;F998,AND(G998&lt;&gt;"",ROUND(G998,2)&lt;&gt;G998)),"REVISAR VALOR","OK"))))),"REVISAR VALOR")</f>
        <v/>
      </c>
    </row>
    <row r="999" spans="1:9" x14ac:dyDescent="0.45">
      <c r="A999" s="4"/>
      <c r="B999" s="8"/>
      <c r="C999" s="5"/>
      <c r="D999" s="5"/>
      <c r="E999" s="5"/>
      <c r="F999" s="7"/>
      <c r="G999" s="7"/>
      <c r="H999" s="8"/>
      <c r="I999" s="12" t="str">
        <f>IFERROR(IF(COUNTA(A999:H999)=0,"",IF(OR(A999="",B999="",C999="",D999="",E999="",F999=""),"FALTA CAMPO",IF(COUNTIFS($A$6:$A$1005,A999,$B$6:$B$1005,B999)&gt;1,"DUPLICADO FECHA-SKU",IF(COUNTIF(CATALOGO!$A$6:$A$105,B999)&lt;&gt;1,"SKU NO VALIDO",IF(OR(A999&lt;DATE(1900,1,1),A999&gt;DATE(2100,12,31),A999&gt;CONFIG!$B$5,C999&lt;0,C999&gt;1000000,D999&lt;0,D999&gt;1000000,E999&lt;0,E999&gt;1000000,E999&gt;D999,ABS(F999)&gt;1000000000,ABS(G999)&gt;1000000000,ROUND(F999,2)&lt;&gt;F999,AND(G999&lt;&gt;"",ROUND(G999,2)&lt;&gt;G999)),"REVISAR VALOR","OK"))))),"REVISAR VALOR")</f>
        <v/>
      </c>
    </row>
    <row r="1000" spans="1:9" x14ac:dyDescent="0.45">
      <c r="A1000" s="4"/>
      <c r="B1000" s="8"/>
      <c r="C1000" s="5"/>
      <c r="D1000" s="5"/>
      <c r="E1000" s="5"/>
      <c r="F1000" s="7"/>
      <c r="G1000" s="7"/>
      <c r="H1000" s="8"/>
      <c r="I1000" s="12" t="str">
        <f>IFERROR(IF(COUNTA(A1000:H1000)=0,"",IF(OR(A1000="",B1000="",C1000="",D1000="",E1000="",F1000=""),"FALTA CAMPO",IF(COUNTIFS($A$6:$A$1005,A1000,$B$6:$B$1005,B1000)&gt;1,"DUPLICADO FECHA-SKU",IF(COUNTIF(CATALOGO!$A$6:$A$105,B1000)&lt;&gt;1,"SKU NO VALIDO",IF(OR(A1000&lt;DATE(1900,1,1),A1000&gt;DATE(2100,12,31),A1000&gt;CONFIG!$B$5,C1000&lt;0,C1000&gt;1000000,D1000&lt;0,D1000&gt;1000000,E1000&lt;0,E1000&gt;1000000,E1000&gt;D1000,ABS(F1000)&gt;1000000000,ABS(G1000)&gt;1000000000,ROUND(F1000,2)&lt;&gt;F1000,AND(G1000&lt;&gt;"",ROUND(G1000,2)&lt;&gt;G1000)),"REVISAR VALOR","OK"))))),"REVISAR VALOR")</f>
        <v/>
      </c>
    </row>
    <row r="1001" spans="1:9" x14ac:dyDescent="0.45">
      <c r="A1001" s="4"/>
      <c r="B1001" s="8"/>
      <c r="C1001" s="5"/>
      <c r="D1001" s="5"/>
      <c r="E1001" s="5"/>
      <c r="F1001" s="7"/>
      <c r="G1001" s="7"/>
      <c r="H1001" s="8"/>
      <c r="I1001" s="12" t="str">
        <f>IFERROR(IF(COUNTA(A1001:H1001)=0,"",IF(OR(A1001="",B1001="",C1001="",D1001="",E1001="",F1001=""),"FALTA CAMPO",IF(COUNTIFS($A$6:$A$1005,A1001,$B$6:$B$1005,B1001)&gt;1,"DUPLICADO FECHA-SKU",IF(COUNTIF(CATALOGO!$A$6:$A$105,B1001)&lt;&gt;1,"SKU NO VALIDO",IF(OR(A1001&lt;DATE(1900,1,1),A1001&gt;DATE(2100,12,31),A1001&gt;CONFIG!$B$5,C1001&lt;0,C1001&gt;1000000,D1001&lt;0,D1001&gt;1000000,E1001&lt;0,E1001&gt;1000000,E1001&gt;D1001,ABS(F1001)&gt;1000000000,ABS(G1001)&gt;1000000000,ROUND(F1001,2)&lt;&gt;F1001,AND(G1001&lt;&gt;"",ROUND(G1001,2)&lt;&gt;G1001)),"REVISAR VALOR","OK"))))),"REVISAR VALOR")</f>
        <v/>
      </c>
    </row>
    <row r="1002" spans="1:9" x14ac:dyDescent="0.45">
      <c r="A1002" s="4"/>
      <c r="B1002" s="8"/>
      <c r="C1002" s="5"/>
      <c r="D1002" s="5"/>
      <c r="E1002" s="5"/>
      <c r="F1002" s="7"/>
      <c r="G1002" s="7"/>
      <c r="H1002" s="8"/>
      <c r="I1002" s="12" t="str">
        <f>IFERROR(IF(COUNTA(A1002:H1002)=0,"",IF(OR(A1002="",B1002="",C1002="",D1002="",E1002="",F1002=""),"FALTA CAMPO",IF(COUNTIFS($A$6:$A$1005,A1002,$B$6:$B$1005,B1002)&gt;1,"DUPLICADO FECHA-SKU",IF(COUNTIF(CATALOGO!$A$6:$A$105,B1002)&lt;&gt;1,"SKU NO VALIDO",IF(OR(A1002&lt;DATE(1900,1,1),A1002&gt;DATE(2100,12,31),A1002&gt;CONFIG!$B$5,C1002&lt;0,C1002&gt;1000000,D1002&lt;0,D1002&gt;1000000,E1002&lt;0,E1002&gt;1000000,E1002&gt;D1002,ABS(F1002)&gt;1000000000,ABS(G1002)&gt;1000000000,ROUND(F1002,2)&lt;&gt;F1002,AND(G1002&lt;&gt;"",ROUND(G1002,2)&lt;&gt;G1002)),"REVISAR VALOR","OK"))))),"REVISAR VALOR")</f>
        <v/>
      </c>
    </row>
    <row r="1003" spans="1:9" x14ac:dyDescent="0.45">
      <c r="A1003" s="4"/>
      <c r="B1003" s="8"/>
      <c r="C1003" s="5"/>
      <c r="D1003" s="5"/>
      <c r="E1003" s="5"/>
      <c r="F1003" s="7"/>
      <c r="G1003" s="7"/>
      <c r="H1003" s="8"/>
      <c r="I1003" s="12" t="str">
        <f>IFERROR(IF(COUNTA(A1003:H1003)=0,"",IF(OR(A1003="",B1003="",C1003="",D1003="",E1003="",F1003=""),"FALTA CAMPO",IF(COUNTIFS($A$6:$A$1005,A1003,$B$6:$B$1005,B1003)&gt;1,"DUPLICADO FECHA-SKU",IF(COUNTIF(CATALOGO!$A$6:$A$105,B1003)&lt;&gt;1,"SKU NO VALIDO",IF(OR(A1003&lt;DATE(1900,1,1),A1003&gt;DATE(2100,12,31),A1003&gt;CONFIG!$B$5,C1003&lt;0,C1003&gt;1000000,D1003&lt;0,D1003&gt;1000000,E1003&lt;0,E1003&gt;1000000,E1003&gt;D1003,ABS(F1003)&gt;1000000000,ABS(G1003)&gt;1000000000,ROUND(F1003,2)&lt;&gt;F1003,AND(G1003&lt;&gt;"",ROUND(G1003,2)&lt;&gt;G1003)),"REVISAR VALOR","OK"))))),"REVISAR VALOR")</f>
        <v/>
      </c>
    </row>
    <row r="1004" spans="1:9" x14ac:dyDescent="0.45">
      <c r="A1004" s="4"/>
      <c r="B1004" s="8"/>
      <c r="C1004" s="5"/>
      <c r="D1004" s="5"/>
      <c r="E1004" s="5"/>
      <c r="F1004" s="7"/>
      <c r="G1004" s="7"/>
      <c r="H1004" s="8"/>
      <c r="I1004" s="12" t="str">
        <f>IFERROR(IF(COUNTA(A1004:H1004)=0,"",IF(OR(A1004="",B1004="",C1004="",D1004="",E1004="",F1004=""),"FALTA CAMPO",IF(COUNTIFS($A$6:$A$1005,A1004,$B$6:$B$1005,B1004)&gt;1,"DUPLICADO FECHA-SKU",IF(COUNTIF(CATALOGO!$A$6:$A$105,B1004)&lt;&gt;1,"SKU NO VALIDO",IF(OR(A1004&lt;DATE(1900,1,1),A1004&gt;DATE(2100,12,31),A1004&gt;CONFIG!$B$5,C1004&lt;0,C1004&gt;1000000,D1004&lt;0,D1004&gt;1000000,E1004&lt;0,E1004&gt;1000000,E1004&gt;D1004,ABS(F1004)&gt;1000000000,ABS(G1004)&gt;1000000000,ROUND(F1004,2)&lt;&gt;F1004,AND(G1004&lt;&gt;"",ROUND(G1004,2)&lt;&gt;G1004)),"REVISAR VALOR","OK"))))),"REVISAR VALOR")</f>
        <v/>
      </c>
    </row>
    <row r="1005" spans="1:9" x14ac:dyDescent="0.45">
      <c r="A1005" s="4"/>
      <c r="B1005" s="8"/>
      <c r="C1005" s="5"/>
      <c r="D1005" s="5"/>
      <c r="E1005" s="5"/>
      <c r="F1005" s="7"/>
      <c r="G1005" s="7"/>
      <c r="H1005" s="8"/>
      <c r="I1005" s="12" t="str">
        <f>IFERROR(IF(COUNTA(A1005:H1005)=0,"",IF(OR(A1005="",B1005="",C1005="",D1005="",E1005="",F1005=""),"FALTA CAMPO",IF(COUNTIFS($A$6:$A$1005,A1005,$B$6:$B$1005,B1005)&gt;1,"DUPLICADO FECHA-SKU",IF(COUNTIF(CATALOGO!$A$6:$A$105,B1005)&lt;&gt;1,"SKU NO VALIDO",IF(OR(A1005&lt;DATE(1900,1,1),A1005&gt;DATE(2100,12,31),A1005&gt;CONFIG!$B$5,C1005&lt;0,C1005&gt;1000000,D1005&lt;0,D1005&gt;1000000,E1005&lt;0,E1005&gt;1000000,E1005&gt;D1005,ABS(F1005)&gt;1000000000,ABS(G1005)&gt;1000000000,ROUND(F1005,2)&lt;&gt;F1005,AND(G1005&lt;&gt;"",ROUND(G1005,2)&lt;&gt;G1005)),"REVISAR VALOR","OK"))))),"REVISAR VALOR")</f>
        <v/>
      </c>
    </row>
  </sheetData>
  <sheetProtection sheet="1" objects="1" scenarios="1" formatColumns="0" sort="0" autoFilter="0"/>
  <mergeCells count="2">
    <mergeCell ref="A1:I1"/>
    <mergeCell ref="A2:I2"/>
  </mergeCells>
  <conditionalFormatting sqref="I6:I1005">
    <cfRule type="notContainsText" dxfId="5" priority="1" operator="notContains" text="OK">
      <formula>ISERROR(SEARCH("OK",I6))</formula>
    </cfRule>
  </conditionalFormatting>
  <dataValidations count="4">
    <dataValidation type="list" allowBlank="1" showInputMessage="1" showErrorMessage="1" sqref="B6:B1005" xr:uid="{00000000-0002-0000-0300-000000000000}">
      <formula1>SKU_LIST</formula1>
    </dataValidation>
    <dataValidation type="date" allowBlank="1" showInputMessage="1" showErrorMessage="1" sqref="A6:A1005" xr:uid="{00000000-0002-0000-0300-000001000000}">
      <formula1>0</formula1>
      <formula2>73415</formula2>
    </dataValidation>
    <dataValidation type="whole" allowBlank="1" showInputMessage="1" showErrorMessage="1" sqref="C6:E1005" xr:uid="{00000000-0002-0000-0300-000002000000}">
      <formula1>0</formula1>
      <formula2>1000000</formula2>
    </dataValidation>
    <dataValidation type="decimal" allowBlank="1" showInputMessage="1" showErrorMessage="1" sqref="F6:G1005" xr:uid="{00000000-0002-0000-0300-000003000000}">
      <formula1>-1000000000</formula1>
      <formula2>1000000000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B68"/>
    <pageSetUpPr fitToPage="1"/>
  </sheetPr>
  <dimension ref="A1:S1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8.73046875" customWidth="1"/>
    <col min="2" max="2" width="15.73046875" customWidth="1"/>
    <col min="3" max="5" width="13.73046875" customWidth="1"/>
    <col min="6" max="6" width="15.73046875" customWidth="1"/>
    <col min="7" max="7" width="18.73046875" customWidth="1"/>
    <col min="8" max="8" width="20.73046875" customWidth="1"/>
    <col min="9" max="9" width="17.73046875" customWidth="1"/>
    <col min="10" max="10" width="15.73046875" customWidth="1"/>
    <col min="11" max="11" width="27.73046875" customWidth="1"/>
    <col min="12" max="12" width="13.73046875" customWidth="1"/>
    <col min="13" max="13" width="15.73046875" customWidth="1"/>
    <col min="14" max="14" width="17.73046875" customWidth="1"/>
    <col min="15" max="15" width="14.73046875" customWidth="1"/>
    <col min="16" max="16" width="20.73046875" customWidth="1"/>
    <col min="17" max="17" width="22.73046875" customWidth="1"/>
    <col min="18" max="18" width="20.73046875" customWidth="1"/>
    <col min="19" max="19" width="22.73046875" customWidth="1"/>
  </cols>
  <sheetData>
    <row r="1" spans="1:19" ht="30" customHeight="1" x14ac:dyDescent="0.45">
      <c r="A1" s="21" t="s">
        <v>130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32" customHeight="1" x14ac:dyDescent="0.45">
      <c r="A2" s="22" t="s">
        <v>131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x14ac:dyDescent="0.45">
      <c r="A5" t="s">
        <v>43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  <c r="M5" t="s">
        <v>143</v>
      </c>
      <c r="N5" t="s">
        <v>144</v>
      </c>
      <c r="O5" t="s">
        <v>145</v>
      </c>
      <c r="P5" t="s">
        <v>146</v>
      </c>
      <c r="Q5" t="s">
        <v>147</v>
      </c>
      <c r="R5" t="s">
        <v>148</v>
      </c>
      <c r="S5" t="s">
        <v>149</v>
      </c>
    </row>
    <row r="6" spans="1:19" x14ac:dyDescent="0.45">
      <c r="A6" s="8" t="s">
        <v>64</v>
      </c>
      <c r="B6" s="4">
        <v>46286</v>
      </c>
      <c r="C6" s="5">
        <v>12</v>
      </c>
      <c r="D6" s="5">
        <v>2</v>
      </c>
      <c r="E6" s="5">
        <v>0</v>
      </c>
      <c r="F6" s="4"/>
      <c r="G6" s="8" t="s">
        <v>150</v>
      </c>
      <c r="H6" s="5">
        <v>28</v>
      </c>
      <c r="I6" s="5">
        <v>36</v>
      </c>
      <c r="J6" s="4">
        <v>46296</v>
      </c>
      <c r="K6" s="12" t="str">
        <f>IFERROR(IF(A6="","",IF(COUNTIF($A$6:$A$105,A6)&gt;1,"DUPLICADO STOCK",IF(COUNTIF(CATALOGO!$A$6:$A$105,A6)&lt;&gt;1,"SKU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INVALIDA",IF(INDEX(CATALOGO!$F$6:$F$105,MATCH(A6,CATALOGO!$A$6:$A$105,0))&lt;&gt;"ACTIVO",INDEX(CATALOGO!$F$6:$F$105,MATCH(A6,CATALOGO!$A$6:$A$105,0)),IF(OR(B6="",B6&lt;&gt;CONFIG!$B$5),"CONTEO NO VIGENTE",IF(OR(C6="",D6="",E6="",H6=""),"FALTA CAMPO",IF(OR(C6&lt;0,C6&gt;1000000,D6&lt;0,D6&gt;1000000,E6&lt;0,E6&gt;1000000,D6&gt;C6),"REVISAR VALOR",IF(H6&gt;CONFIG!$B$6,"EXPOSICION FUERA DE RANGO",IF(H6&lt;&gt;CONFIG!$B$6,"DISPONIBILIDAD INCOMPLETA",IF(CONFIG!$B$14&lt;&gt;"SI","VENTAS INCOMPLETAS",IF(CONFIG!$B$12&lt;&gt;"SI","POLITICA SIN REVISAR",IF(SUMPRODUCT(--(VENTAS!$B$6:$B$1005=A6),--(VENTAS!$A$6:$A$1005&gt;=CONFIG!$B$5-CONFIG!$B$6+1),--(VENTAS!$A$6:$A$1005&lt;=CONFIG!$B$5),--(VENTAS!$I$6:$I$1005&lt;&gt;""),--(VENTAS!$I$6:$I$1005&lt;&gt;"OK"))&gt;0,"VENTAS A REVISAR",IF(AND(E6&gt;0,OR(F6="",G6&lt;&gt;"SI")),"TRANSITO SIN CONFIRMAR",IF(AND(E6&gt;0,G6="SI",OR(F6&lt;=CONFIG!$B$5,F6&gt;CONFIG!$B$5+INDEX(CATALOGO!$M$6:$M$105,MATCH(A6,CATALOGO!$A$6:$A$105,0)))),"TRANSITO FUERA DEL PLAZO",IF(INDEX(CATALOGO!$T$6:$T$105,MATCH(A6,CATALOGO!$A$6:$A$105,0))&lt;&gt;"OK","CATALOGO A REVISAR",IF(1-INDEX(CATALOGO!$K$6:$K$105,MATCH(A6,CATALOGO!$A$6:$A$105,0))-CONFIG!$B$8&lt;=0,"MARGEN OBJETIVO INVIABLE",IF(INDEX(CATALOGO!$R$6:$R$105,MATCH(A6,CATALOGO!$A$6:$A$105,0))&lt;CONFIG!$B$8,"REVISAR PRECIO O COSTO","ELEGIBLE")))))))))))))))))),"CONFIG INVALIDA")</f>
        <v>ELEGIBLE</v>
      </c>
      <c r="L6" s="13">
        <f t="shared" ref="L6:L37" si="0">IF(OR(C6="",D6="",C6&lt;0,C6&gt;1000000,D6&lt;0,D6&gt;1000000,D6&gt;C6),"",C6-D6)</f>
        <v>10</v>
      </c>
      <c r="M6" s="12">
        <f>IFERROR(IF(OR(A6="",CONFIG!$B$14&lt;&gt;"SI",CONFIG!$B$6&lt;1,CONFIG!$B$6&gt;365,CONFIG!$B$6&lt;&gt;INT(CONFIG!$B$6),SUMPRODUCT(--(VENTAS!$B$6:$B$1005=A6),--(VENTAS!$A$6:$A$1005&gt;=CONFIG!$B$5-CONFIG!$B$6+1),--(VENTAS!$A$6:$A$1005&lt;=CONFIG!$B$5),--(VENTAS!$I$6:$I$1005&lt;&gt;""),--(VENTAS!$I$6:$I$1005&lt;&gt;"OK"))&gt;0),"",MAX(0,(SUMIFS(VENTAS!$C$6:$C$1005,VENTAS!$B$6:$B$1005,A6,VENTAS!$A$6:$A$1005,"&gt;="&amp;CONFIG!$B$5-CONFIG!$B$6+1,VENTAS!$A$6:$A$1005,"&lt;="&amp;CONFIG!$B$5)-SUMIFS(VENTAS!$E$6:$E$1005,VENTAS!$B$6:$B$1005,A6,VENTAS!$A$6:$A$1005,"&gt;="&amp;CONFIG!$B$5-CONFIG!$B$6+1,VENTAS!$A$6:$A$1005,"&lt;="&amp;CONFIG!$B$5))/CONFIG!$B$6)),"")</f>
        <v>2</v>
      </c>
      <c r="N6" s="14">
        <f>IF(K6&lt;&gt;"ELEGIBLE","",IF(AND(E6&gt;0,G6="SI",F6&gt;CONFIG!$B$5,F6&lt;=CONFIG!$B$5+INDEX(CATALOGO!$M$6:$M$105,MATCH(A6,CATALOGO!$A$6:$A$105,0))),E6,0))</f>
        <v>0</v>
      </c>
      <c r="O6" s="14">
        <f>IF(K6&lt;&gt;"ELEGIBLE","",MAX(0,ROUNDUP(ROUND(M6*(INDEX(CATALOGO!$M$6:$M$105,MATCH(A6,CATALOGO!$A$6:$A$105,0))+CONFIG!$B$7)-L6-N6,10),0)))</f>
        <v>32</v>
      </c>
      <c r="P6" s="14">
        <f>IF(O6="","",IF(O6=0,0,ROUNDUP(MAX(O6,INDEX(CATALOGO!$N$6:$N$105,MATCH(A6,CATALOGO!$A$6:$A$105,0)))/INDEX(CATALOGO!$O$6:$O$105,MATCH(A6,CATALOGO!$A$6:$A$105,0)),0)*INDEX(CATALOGO!$O$6:$O$105,MATCH(A6,CATALOGO!$A$6:$A$105,0))))</f>
        <v>36</v>
      </c>
      <c r="Q6" s="11">
        <f>IFERROR(IF(OR(A6="",COUNTIF(CATALOGO!$A$6:$A$105,A6)&lt;&gt;1),"",IF(OR(INDEX(CATALOGO!$H$6:$H$105,MATCH(A6,CATALOGO!$A$6:$A$105,0))="",INDEX(CATALOGO!$I$6:$I$105,MATCH(A6,CATALOGO!$A$6:$A$105,0))="",ABS(INDEX(CATALOGO!$H$6:$H$105,MATCH(A6,CATALOGO!$A$6:$A$105,0)))&gt;1000000000,ABS(INDEX(CATALOGO!$I$6:$I$105,MATCH(A6,CATALOGO!$A$6:$A$105,0)))&gt;1000000000),"",INDEX(CATALOGO!$H$6:$H$105,MATCH(A6,CATALOGO!$A$6:$A$105,0))+INDEX(CATALOGO!$I$6:$I$105,MATCH(A6,CATALOGO!$A$6:$A$105,0)))),"")</f>
        <v>90</v>
      </c>
      <c r="R6" s="9">
        <f>IF(OR(A6="",I6="",COUNTIF(CATALOGO!$A$6:$A$105,A6)&lt;&gt;1),"",IF(I6=0,0,IF(OR(Q6="",INDEX(CATALOGO!$N$6:$N$105,MATCH(A6,CATALOGO!$A$6:$A$105,0))="",INDEX(CATALOGO!$O$6:$O$105,MATCH(A6,CATALOGO!$A$6:$A$105,0))="",INDEX(CATALOGO!$O$6:$O$105,MATCH(A6,CATALOGO!$A$6:$A$105,0))&lt;=0),"",IF(OR(I6&lt;INDEX(CATALOGO!$N$6:$N$105,MATCH(A6,CATALOGO!$A$6:$A$105,0)),MOD(I6,INDEX(CATALOGO!$O$6:$O$105,MATCH(A6,CATALOGO!$A$6:$A$105,0)))&lt;&gt;0,J6="",J6&lt;=CONFIG!$B$5,J6&gt;CONFIG!$B$5+91),"",I6*Q6))))</f>
        <v>3240</v>
      </c>
      <c r="S6" s="12" t="str">
        <f>IF(A6="","",IF(COUNTIF(CATALOGO!$A$6:$A$105,A6)&lt;&gt;1,"SKU NO VALIDO",IF(I6="","CANTIDAD DESCONOCIDA",IF(I6=0,"SIN COMPRA ELEGIDA",IF(OR(I6&lt;0,I6&gt;1000000),"CANTIDAD INVALIDA",IF(OR(INDEX(CATALOGO!$N$6:$N$105,MATCH(A6,CATALOGO!$A$6:$A$105,0))="",INDEX(CATALOGO!$O$6:$O$105,MATCH(A6,CATALOGO!$A$6:$A$105,0))="",INDEX(CATALOGO!$O$6:$O$105,MATCH(A6,CATALOGO!$A$6:$A$105,0))&lt;=0),"CATALOGO A REVISAR",IF(OR(I6&lt;INDEX(CATALOGO!$N$6:$N$105,MATCH(A6,CATALOGO!$A$6:$A$105,0)),MOD(I6,INDEX(CATALOGO!$O$6:$O$105,MATCH(A6,CATALOGO!$A$6:$A$105,0)))&lt;&gt;0),"NO RESPETA MOQ/PACK",IF(J6="","FALTA FECHA PAGO",IF(Q6="","COSTO DESCONOCIDO",IF(OR(J6&lt;=CONFIG!$B$5,J6&gt;CONFIG!$B$5+91),"FUERA DE 91 DIAS",IF(AND(P6&lt;&gt;"",I6&gt;P6),"EN MODELO · SUPERA PROPUESTA","EN MODELO")))))))))))</f>
        <v>EN MODELO</v>
      </c>
    </row>
    <row r="7" spans="1:19" x14ac:dyDescent="0.45">
      <c r="A7" s="8" t="s">
        <v>70</v>
      </c>
      <c r="B7" s="4">
        <v>46286</v>
      </c>
      <c r="C7" s="5">
        <v>63</v>
      </c>
      <c r="D7" s="5">
        <v>3</v>
      </c>
      <c r="E7" s="5">
        <v>0</v>
      </c>
      <c r="F7" s="4"/>
      <c r="G7" s="8" t="s">
        <v>150</v>
      </c>
      <c r="H7" s="5">
        <v>28</v>
      </c>
      <c r="I7" s="5">
        <v>0</v>
      </c>
      <c r="J7" s="4"/>
      <c r="K7" s="12" t="str">
        <f>IFERROR(IF(A7="","",IF(COUNTIF($A$6:$A$105,A7)&gt;1,"DUPLICADO STOCK",IF(COUNTIF(CATALOGO!$A$6:$A$105,A7)&lt;&gt;1,"SKU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INVALIDA",IF(INDEX(CATALOGO!$F$6:$F$105,MATCH(A7,CATALOGO!$A$6:$A$105,0))&lt;&gt;"ACTIVO",INDEX(CATALOGO!$F$6:$F$105,MATCH(A7,CATALOGO!$A$6:$A$105,0)),IF(OR(B7="",B7&lt;&gt;CONFIG!$B$5),"CONTEO NO VIGENTE",IF(OR(C7="",D7="",E7="",H7=""),"FALTA CAMPO",IF(OR(C7&lt;0,C7&gt;1000000,D7&lt;0,D7&gt;1000000,E7&lt;0,E7&gt;1000000,D7&gt;C7),"REVISAR VALOR",IF(H7&gt;CONFIG!$B$6,"EXPOSICION FUERA DE RANGO",IF(H7&lt;&gt;CONFIG!$B$6,"DISPONIBILIDAD INCOMPLETA",IF(CONFIG!$B$14&lt;&gt;"SI","VENTAS INCOMPLETAS",IF(CONFIG!$B$12&lt;&gt;"SI","POLITICA SIN REVISAR",IF(SUMPRODUCT(--(VENTAS!$B$6:$B$1005=A7),--(VENTAS!$A$6:$A$1005&gt;=CONFIG!$B$5-CONFIG!$B$6+1),--(VENTAS!$A$6:$A$1005&lt;=CONFIG!$B$5),--(VENTAS!$I$6:$I$1005&lt;&gt;""),--(VENTAS!$I$6:$I$1005&lt;&gt;"OK"))&gt;0,"VENTAS A REVISAR",IF(AND(E7&gt;0,OR(F7="",G7&lt;&gt;"SI")),"TRANSITO SIN CONFIRMAR",IF(AND(E7&gt;0,G7="SI",OR(F7&lt;=CONFIG!$B$5,F7&gt;CONFIG!$B$5+INDEX(CATALOGO!$M$6:$M$105,MATCH(A7,CATALOGO!$A$6:$A$105,0)))),"TRANSITO FUERA DEL PLAZO",IF(INDEX(CATALOGO!$T$6:$T$105,MATCH(A7,CATALOGO!$A$6:$A$105,0))&lt;&gt;"OK","CATALOGO A REVISAR",IF(1-INDEX(CATALOGO!$K$6:$K$105,MATCH(A7,CATALOGO!$A$6:$A$105,0))-CONFIG!$B$8&lt;=0,"MARGEN OBJETIVO INVIABLE",IF(INDEX(CATALOGO!$R$6:$R$105,MATCH(A7,CATALOGO!$A$6:$A$105,0))&lt;CONFIG!$B$8,"REVISAR PRECIO O COSTO","ELEGIBLE")))))))))))))))))),"CONFIG INVALIDA")</f>
        <v>ELEGIBLE</v>
      </c>
      <c r="L7" s="13">
        <f t="shared" si="0"/>
        <v>60</v>
      </c>
      <c r="M7" s="12">
        <f>IFERROR(IF(OR(A7="",CONFIG!$B$14&lt;&gt;"SI",CONFIG!$B$6&lt;1,CONFIG!$B$6&gt;365,CONFIG!$B$6&lt;&gt;INT(CONFIG!$B$6),SUMPRODUCT(--(VENTAS!$B$6:$B$1005=A7),--(VENTAS!$A$6:$A$1005&gt;=CONFIG!$B$5-CONFIG!$B$6+1),--(VENTAS!$A$6:$A$1005&lt;=CONFIG!$B$5),--(VENTAS!$I$6:$I$1005&lt;&gt;""),--(VENTAS!$I$6:$I$1005&lt;&gt;"OK"))&gt;0),"",MAX(0,(SUMIFS(VENTAS!$C$6:$C$1005,VENTAS!$B$6:$B$1005,A7,VENTAS!$A$6:$A$1005,"&gt;="&amp;CONFIG!$B$5-CONFIG!$B$6+1,VENTAS!$A$6:$A$1005,"&lt;="&amp;CONFIG!$B$5)-SUMIFS(VENTAS!$E$6:$E$1005,VENTAS!$B$6:$B$1005,A7,VENTAS!$A$6:$A$1005,"&gt;="&amp;CONFIG!$B$5-CONFIG!$B$6+1,VENTAS!$A$6:$A$1005,"&lt;="&amp;CONFIG!$B$5))/CONFIG!$B$6)),"")</f>
        <v>1</v>
      </c>
      <c r="N7" s="14">
        <f>IF(K7&lt;&gt;"ELEGIBLE","",IF(AND(E7&gt;0,G7="SI",F7&gt;CONFIG!$B$5,F7&lt;=CONFIG!$B$5+INDEX(CATALOGO!$M$6:$M$105,MATCH(A7,CATALOGO!$A$6:$A$105,0))),E7,0))</f>
        <v>0</v>
      </c>
      <c r="O7" s="14">
        <f>IF(K7&lt;&gt;"ELEGIBLE","",MAX(0,ROUNDUP(ROUND(M7*(INDEX(CATALOGO!$M$6:$M$105,MATCH(A7,CATALOGO!$A$6:$A$105,0))+CONFIG!$B$7)-L7-N7,10),0)))</f>
        <v>0</v>
      </c>
      <c r="P7" s="14">
        <f>IF(O7="","",IF(O7=0,0,ROUNDUP(MAX(O7,INDEX(CATALOGO!$N$6:$N$105,MATCH(A7,CATALOGO!$A$6:$A$105,0)))/INDEX(CATALOGO!$O$6:$O$105,MATCH(A7,CATALOGO!$A$6:$A$105,0)),0)*INDEX(CATALOGO!$O$6:$O$105,MATCH(A7,CATALOGO!$A$6:$A$105,0))))</f>
        <v>0</v>
      </c>
      <c r="Q7" s="11">
        <f>IFERROR(IF(OR(A7="",COUNTIF(CATALOGO!$A$6:$A$105,A7)&lt;&gt;1),"",IF(OR(INDEX(CATALOGO!$H$6:$H$105,MATCH(A7,CATALOGO!$A$6:$A$105,0))="",INDEX(CATALOGO!$I$6:$I$105,MATCH(A7,CATALOGO!$A$6:$A$105,0))="",ABS(INDEX(CATALOGO!$H$6:$H$105,MATCH(A7,CATALOGO!$A$6:$A$105,0)))&gt;1000000000,ABS(INDEX(CATALOGO!$I$6:$I$105,MATCH(A7,CATALOGO!$A$6:$A$105,0)))&gt;1000000000),"",INDEX(CATALOGO!$H$6:$H$105,MATCH(A7,CATALOGO!$A$6:$A$105,0))+INDEX(CATALOGO!$I$6:$I$105,MATCH(A7,CATALOGO!$A$6:$A$105,0)))),"")</f>
        <v>90</v>
      </c>
      <c r="R7" s="9">
        <f>IF(OR(A7="",I7="",COUNTIF(CATALOGO!$A$6:$A$105,A7)&lt;&gt;1),"",IF(I7=0,0,IF(OR(Q7="",INDEX(CATALOGO!$N$6:$N$105,MATCH(A7,CATALOGO!$A$6:$A$105,0))="",INDEX(CATALOGO!$O$6:$O$105,MATCH(A7,CATALOGO!$A$6:$A$105,0))="",INDEX(CATALOGO!$O$6:$O$105,MATCH(A7,CATALOGO!$A$6:$A$105,0))&lt;=0),"",IF(OR(I7&lt;INDEX(CATALOGO!$N$6:$N$105,MATCH(A7,CATALOGO!$A$6:$A$105,0)),MOD(I7,INDEX(CATALOGO!$O$6:$O$105,MATCH(A7,CATALOGO!$A$6:$A$105,0)))&lt;&gt;0,J7="",J7&lt;=CONFIG!$B$5,J7&gt;CONFIG!$B$5+91),"",I7*Q7))))</f>
        <v>0</v>
      </c>
      <c r="S7" s="12" t="str">
        <f>IF(A7="","",IF(COUNTIF(CATALOGO!$A$6:$A$105,A7)&lt;&gt;1,"SKU NO VALIDO",IF(I7="","CANTIDAD DESCONOCIDA",IF(I7=0,"SIN COMPRA ELEGIDA",IF(OR(I7&lt;0,I7&gt;1000000),"CANTIDAD INVALIDA",IF(OR(INDEX(CATALOGO!$N$6:$N$105,MATCH(A7,CATALOGO!$A$6:$A$105,0))="",INDEX(CATALOGO!$O$6:$O$105,MATCH(A7,CATALOGO!$A$6:$A$105,0))="",INDEX(CATALOGO!$O$6:$O$105,MATCH(A7,CATALOGO!$A$6:$A$105,0))&lt;=0),"CATALOGO A REVISAR",IF(OR(I7&lt;INDEX(CATALOGO!$N$6:$N$105,MATCH(A7,CATALOGO!$A$6:$A$105,0)),MOD(I7,INDEX(CATALOGO!$O$6:$O$105,MATCH(A7,CATALOGO!$A$6:$A$105,0)))&lt;&gt;0),"NO RESPETA MOQ/PACK",IF(J7="","FALTA FECHA PAGO",IF(Q7="","COSTO DESCONOCIDO",IF(OR(J7&lt;=CONFIG!$B$5,J7&gt;CONFIG!$B$5+91),"FUERA DE 91 DIAS",IF(AND(P7&lt;&gt;"",I7&gt;P7),"EN MODELO · SUPERA PROPUESTA","EN MODELO")))))))))))</f>
        <v>SIN COMPRA ELEGIDA</v>
      </c>
    </row>
    <row r="8" spans="1:19" x14ac:dyDescent="0.45">
      <c r="A8" s="8" t="s">
        <v>72</v>
      </c>
      <c r="B8" s="4">
        <v>46286</v>
      </c>
      <c r="C8" s="5">
        <v>0</v>
      </c>
      <c r="D8" s="5">
        <v>0</v>
      </c>
      <c r="E8" s="5">
        <v>0</v>
      </c>
      <c r="F8" s="4"/>
      <c r="G8" s="8" t="s">
        <v>150</v>
      </c>
      <c r="H8" s="5">
        <v>28</v>
      </c>
      <c r="I8" s="5">
        <v>0</v>
      </c>
      <c r="J8" s="4"/>
      <c r="K8" s="12" t="str">
        <f>IFERROR(IF(A8="","",IF(COUNTIF($A$6:$A$105,A8)&gt;1,"DUPLICADO STOCK",IF(COUNTIF(CATALOGO!$A$6:$A$105,A8)&lt;&gt;1,"SKU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INVALIDA",IF(INDEX(CATALOGO!$F$6:$F$105,MATCH(A8,CATALOGO!$A$6:$A$105,0))&lt;&gt;"ACTIVO",INDEX(CATALOGO!$F$6:$F$105,MATCH(A8,CATALOGO!$A$6:$A$105,0)),IF(OR(B8="",B8&lt;&gt;CONFIG!$B$5),"CONTEO NO VIGENTE",IF(OR(C8="",D8="",E8="",H8=""),"FALTA CAMPO",IF(OR(C8&lt;0,C8&gt;1000000,D8&lt;0,D8&gt;1000000,E8&lt;0,E8&gt;1000000,D8&gt;C8),"REVISAR VALOR",IF(H8&gt;CONFIG!$B$6,"EXPOSICION FUERA DE RANGO",IF(H8&lt;&gt;CONFIG!$B$6,"DISPONIBILIDAD INCOMPLETA",IF(CONFIG!$B$14&lt;&gt;"SI","VENTAS INCOMPLETAS",IF(CONFIG!$B$12&lt;&gt;"SI","POLITICA SIN REVISAR",IF(SUMPRODUCT(--(VENTAS!$B$6:$B$1005=A8),--(VENTAS!$A$6:$A$1005&gt;=CONFIG!$B$5-CONFIG!$B$6+1),--(VENTAS!$A$6:$A$1005&lt;=CONFIG!$B$5),--(VENTAS!$I$6:$I$1005&lt;&gt;""),--(VENTAS!$I$6:$I$1005&lt;&gt;"OK"))&gt;0,"VENTAS A REVISAR",IF(AND(E8&gt;0,OR(F8="",G8&lt;&gt;"SI")),"TRANSITO SIN CONFIRMAR",IF(AND(E8&gt;0,G8="SI",OR(F8&lt;=CONFIG!$B$5,F8&gt;CONFIG!$B$5+INDEX(CATALOGO!$M$6:$M$105,MATCH(A8,CATALOGO!$A$6:$A$105,0)))),"TRANSITO FUERA DEL PLAZO",IF(INDEX(CATALOGO!$T$6:$T$105,MATCH(A8,CATALOGO!$A$6:$A$105,0))&lt;&gt;"OK","CATALOGO A REVISAR",IF(1-INDEX(CATALOGO!$K$6:$K$105,MATCH(A8,CATALOGO!$A$6:$A$105,0))-CONFIG!$B$8&lt;=0,"MARGEN OBJETIVO INVIABLE",IF(INDEX(CATALOGO!$R$6:$R$105,MATCH(A8,CATALOGO!$A$6:$A$105,0))&lt;CONFIG!$B$8,"REVISAR PRECIO O COSTO","ELEGIBLE")))))))))))))))))),"CONFIG INVALIDA")</f>
        <v>PRELANZAMIENTO</v>
      </c>
      <c r="L8" s="13">
        <f t="shared" si="0"/>
        <v>0</v>
      </c>
      <c r="M8" s="12">
        <f>IFERROR(IF(OR(A8="",CONFIG!$B$14&lt;&gt;"SI",CONFIG!$B$6&lt;1,CONFIG!$B$6&gt;365,CONFIG!$B$6&lt;&gt;INT(CONFIG!$B$6),SUMPRODUCT(--(VENTAS!$B$6:$B$1005=A8),--(VENTAS!$A$6:$A$1005&gt;=CONFIG!$B$5-CONFIG!$B$6+1),--(VENTAS!$A$6:$A$1005&lt;=CONFIG!$B$5),--(VENTAS!$I$6:$I$1005&lt;&gt;""),--(VENTAS!$I$6:$I$1005&lt;&gt;"OK"))&gt;0),"",MAX(0,(SUMIFS(VENTAS!$C$6:$C$1005,VENTAS!$B$6:$B$1005,A8,VENTAS!$A$6:$A$1005,"&gt;="&amp;CONFIG!$B$5-CONFIG!$B$6+1,VENTAS!$A$6:$A$1005,"&lt;="&amp;CONFIG!$B$5)-SUMIFS(VENTAS!$E$6:$E$1005,VENTAS!$B$6:$B$1005,A8,VENTAS!$A$6:$A$1005,"&gt;="&amp;CONFIG!$B$5-CONFIG!$B$6+1,VENTAS!$A$6:$A$1005,"&lt;="&amp;CONFIG!$B$5))/CONFIG!$B$6)),"")</f>
        <v>0</v>
      </c>
      <c r="N8" s="14" t="str">
        <f>IF(K8&lt;&gt;"ELEGIBLE","",IF(AND(E8&gt;0,G8="SI",F8&gt;CONFIG!$B$5,F8&lt;=CONFIG!$B$5+INDEX(CATALOGO!$M$6:$M$105,MATCH(A8,CATALOGO!$A$6:$A$105,0))),E8,0))</f>
        <v/>
      </c>
      <c r="O8" s="14" t="str">
        <f>IF(K8&lt;&gt;"ELEGIBLE","",MAX(0,ROUNDUP(ROUND(M8*(INDEX(CATALOGO!$M$6:$M$105,MATCH(A8,CATALOGO!$A$6:$A$105,0))+CONFIG!$B$7)-L8-N8,10),0)))</f>
        <v/>
      </c>
      <c r="P8" s="14" t="str">
        <f>IF(O8="","",IF(O8=0,0,ROUNDUP(MAX(O8,INDEX(CATALOGO!$N$6:$N$105,MATCH(A8,CATALOGO!$A$6:$A$105,0)))/INDEX(CATALOGO!$O$6:$O$105,MATCH(A8,CATALOGO!$A$6:$A$105,0)),0)*INDEX(CATALOGO!$O$6:$O$105,MATCH(A8,CATALOGO!$A$6:$A$105,0))))</f>
        <v/>
      </c>
      <c r="Q8" s="11">
        <f>IFERROR(IF(OR(A8="",COUNTIF(CATALOGO!$A$6:$A$105,A8)&lt;&gt;1),"",IF(OR(INDEX(CATALOGO!$H$6:$H$105,MATCH(A8,CATALOGO!$A$6:$A$105,0))="",INDEX(CATALOGO!$I$6:$I$105,MATCH(A8,CATALOGO!$A$6:$A$105,0))="",ABS(INDEX(CATALOGO!$H$6:$H$105,MATCH(A8,CATALOGO!$A$6:$A$105,0)))&gt;1000000000,ABS(INDEX(CATALOGO!$I$6:$I$105,MATCH(A8,CATALOGO!$A$6:$A$105,0)))&gt;1000000000),"",INDEX(CATALOGO!$H$6:$H$105,MATCH(A8,CATALOGO!$A$6:$A$105,0))+INDEX(CATALOGO!$I$6:$I$105,MATCH(A8,CATALOGO!$A$6:$A$105,0)))),"")</f>
        <v>90</v>
      </c>
      <c r="R8" s="9">
        <f>IF(OR(A8="",I8="",COUNTIF(CATALOGO!$A$6:$A$105,A8)&lt;&gt;1),"",IF(I8=0,0,IF(OR(Q8="",INDEX(CATALOGO!$N$6:$N$105,MATCH(A8,CATALOGO!$A$6:$A$105,0))="",INDEX(CATALOGO!$O$6:$O$105,MATCH(A8,CATALOGO!$A$6:$A$105,0))="",INDEX(CATALOGO!$O$6:$O$105,MATCH(A8,CATALOGO!$A$6:$A$105,0))&lt;=0),"",IF(OR(I8&lt;INDEX(CATALOGO!$N$6:$N$105,MATCH(A8,CATALOGO!$A$6:$A$105,0)),MOD(I8,INDEX(CATALOGO!$O$6:$O$105,MATCH(A8,CATALOGO!$A$6:$A$105,0)))&lt;&gt;0,J8="",J8&lt;=CONFIG!$B$5,J8&gt;CONFIG!$B$5+91),"",I8*Q8))))</f>
        <v>0</v>
      </c>
      <c r="S8" s="12" t="str">
        <f>IF(A8="","",IF(COUNTIF(CATALOGO!$A$6:$A$105,A8)&lt;&gt;1,"SKU NO VALIDO",IF(I8="","CANTIDAD DESCONOCIDA",IF(I8=0,"SIN COMPRA ELEGIDA",IF(OR(I8&lt;0,I8&gt;1000000),"CANTIDAD INVALIDA",IF(OR(INDEX(CATALOGO!$N$6:$N$105,MATCH(A8,CATALOGO!$A$6:$A$105,0))="",INDEX(CATALOGO!$O$6:$O$105,MATCH(A8,CATALOGO!$A$6:$A$105,0))="",INDEX(CATALOGO!$O$6:$O$105,MATCH(A8,CATALOGO!$A$6:$A$105,0))&lt;=0),"CATALOGO A REVISAR",IF(OR(I8&lt;INDEX(CATALOGO!$N$6:$N$105,MATCH(A8,CATALOGO!$A$6:$A$105,0)),MOD(I8,INDEX(CATALOGO!$O$6:$O$105,MATCH(A8,CATALOGO!$A$6:$A$105,0)))&lt;&gt;0),"NO RESPETA MOQ/PACK",IF(J8="","FALTA FECHA PAGO",IF(Q8="","COSTO DESCONOCIDO",IF(OR(J8&lt;=CONFIG!$B$5,J8&gt;CONFIG!$B$5+91),"FUERA DE 91 DIAS",IF(AND(P8&lt;&gt;"",I8&gt;P8),"EN MODELO · SUPERA PROPUESTA","EN MODELO")))))))))))</f>
        <v>SIN COMPRA ELEGIDA</v>
      </c>
    </row>
    <row r="9" spans="1:19" x14ac:dyDescent="0.45">
      <c r="A9" s="8" t="s">
        <v>75</v>
      </c>
      <c r="B9" s="4">
        <v>46286</v>
      </c>
      <c r="C9" s="5">
        <v>8</v>
      </c>
      <c r="D9" s="5">
        <v>1</v>
      </c>
      <c r="E9" s="5">
        <v>0</v>
      </c>
      <c r="F9" s="4"/>
      <c r="G9" s="8" t="s">
        <v>150</v>
      </c>
      <c r="H9" s="5">
        <v>28</v>
      </c>
      <c r="I9" s="5">
        <v>0</v>
      </c>
      <c r="J9" s="4"/>
      <c r="K9" s="12" t="str">
        <f>IFERROR(IF(A9="","",IF(COUNTIF($A$6:$A$105,A9)&gt;1,"DUPLICADO STOCK",IF(COUNTIF(CATALOGO!$A$6:$A$105,A9)&lt;&gt;1,"SKU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INVALIDA",IF(INDEX(CATALOGO!$F$6:$F$105,MATCH(A9,CATALOGO!$A$6:$A$105,0))&lt;&gt;"ACTIVO",INDEX(CATALOGO!$F$6:$F$105,MATCH(A9,CATALOGO!$A$6:$A$105,0)),IF(OR(B9="",B9&lt;&gt;CONFIG!$B$5),"CONTEO NO VIGENTE",IF(OR(C9="",D9="",E9="",H9=""),"FALTA CAMPO",IF(OR(C9&lt;0,C9&gt;1000000,D9&lt;0,D9&gt;1000000,E9&lt;0,E9&gt;1000000,D9&gt;C9),"REVISAR VALOR",IF(H9&gt;CONFIG!$B$6,"EXPOSICION FUERA DE RANGO",IF(H9&lt;&gt;CONFIG!$B$6,"DISPONIBILIDAD INCOMPLETA",IF(CONFIG!$B$14&lt;&gt;"SI","VENTAS INCOMPLETAS",IF(CONFIG!$B$12&lt;&gt;"SI","POLITICA SIN REVISAR",IF(SUMPRODUCT(--(VENTAS!$B$6:$B$1005=A9),--(VENTAS!$A$6:$A$1005&gt;=CONFIG!$B$5-CONFIG!$B$6+1),--(VENTAS!$A$6:$A$1005&lt;=CONFIG!$B$5),--(VENTAS!$I$6:$I$1005&lt;&gt;""),--(VENTAS!$I$6:$I$1005&lt;&gt;"OK"))&gt;0,"VENTAS A REVISAR",IF(AND(E9&gt;0,OR(F9="",G9&lt;&gt;"SI")),"TRANSITO SIN CONFIRMAR",IF(AND(E9&gt;0,G9="SI",OR(F9&lt;=CONFIG!$B$5,F9&gt;CONFIG!$B$5+INDEX(CATALOGO!$M$6:$M$105,MATCH(A9,CATALOGO!$A$6:$A$105,0)))),"TRANSITO FUERA DEL PLAZO",IF(INDEX(CATALOGO!$T$6:$T$105,MATCH(A9,CATALOGO!$A$6:$A$105,0))&lt;&gt;"OK","CATALOGO A REVISAR",IF(1-INDEX(CATALOGO!$K$6:$K$105,MATCH(A9,CATALOGO!$A$6:$A$105,0))-CONFIG!$B$8&lt;=0,"MARGEN OBJETIVO INVIABLE",IF(INDEX(CATALOGO!$R$6:$R$105,MATCH(A9,CATALOGO!$A$6:$A$105,0))&lt;CONFIG!$B$8,"REVISAR PRECIO O COSTO","ELEGIBLE")))))))))))))))))),"CONFIG INVALIDA")</f>
        <v>CATALOGO A REVISAR</v>
      </c>
      <c r="L9" s="13">
        <f t="shared" si="0"/>
        <v>7</v>
      </c>
      <c r="M9" s="12">
        <f>IFERROR(IF(OR(A9="",CONFIG!$B$14&lt;&gt;"SI",CONFIG!$B$6&lt;1,CONFIG!$B$6&gt;365,CONFIG!$B$6&lt;&gt;INT(CONFIG!$B$6),SUMPRODUCT(--(VENTAS!$B$6:$B$1005=A9),--(VENTAS!$A$6:$A$1005&gt;=CONFIG!$B$5-CONFIG!$B$6+1),--(VENTAS!$A$6:$A$1005&lt;=CONFIG!$B$5),--(VENTAS!$I$6:$I$1005&lt;&gt;""),--(VENTAS!$I$6:$I$1005&lt;&gt;"OK"))&gt;0),"",MAX(0,(SUMIFS(VENTAS!$C$6:$C$1005,VENTAS!$B$6:$B$1005,A9,VENTAS!$A$6:$A$1005,"&gt;="&amp;CONFIG!$B$5-CONFIG!$B$6+1,VENTAS!$A$6:$A$1005,"&lt;="&amp;CONFIG!$B$5)-SUMIFS(VENTAS!$E$6:$E$1005,VENTAS!$B$6:$B$1005,A9,VENTAS!$A$6:$A$1005,"&gt;="&amp;CONFIG!$B$5-CONFIG!$B$6+1,VENTAS!$A$6:$A$1005,"&lt;="&amp;CONFIG!$B$5))/CONFIG!$B$6)),"")</f>
        <v>1.2142857142857142</v>
      </c>
      <c r="N9" s="14" t="str">
        <f>IF(K9&lt;&gt;"ELEGIBLE","",IF(AND(E9&gt;0,G9="SI",F9&gt;CONFIG!$B$5,F9&lt;=CONFIG!$B$5+INDEX(CATALOGO!$M$6:$M$105,MATCH(A9,CATALOGO!$A$6:$A$105,0))),E9,0))</f>
        <v/>
      </c>
      <c r="O9" s="14" t="str">
        <f>IF(K9&lt;&gt;"ELEGIBLE","",MAX(0,ROUNDUP(ROUND(M9*(INDEX(CATALOGO!$M$6:$M$105,MATCH(A9,CATALOGO!$A$6:$A$105,0))+CONFIG!$B$7)-L9-N9,10),0)))</f>
        <v/>
      </c>
      <c r="P9" s="14" t="str">
        <f>IF(O9="","",IF(O9=0,0,ROUNDUP(MAX(O9,INDEX(CATALOGO!$N$6:$N$105,MATCH(A9,CATALOGO!$A$6:$A$105,0)))/INDEX(CATALOGO!$O$6:$O$105,MATCH(A9,CATALOGO!$A$6:$A$105,0)),0)*INDEX(CATALOGO!$O$6:$O$105,MATCH(A9,CATALOGO!$A$6:$A$105,0))))</f>
        <v/>
      </c>
      <c r="Q9" s="11" t="str">
        <f>IFERROR(IF(OR(A9="",COUNTIF(CATALOGO!$A$6:$A$105,A9)&lt;&gt;1),"",IF(OR(INDEX(CATALOGO!$H$6:$H$105,MATCH(A9,CATALOGO!$A$6:$A$105,0))="",INDEX(CATALOGO!$I$6:$I$105,MATCH(A9,CATALOGO!$A$6:$A$105,0))="",ABS(INDEX(CATALOGO!$H$6:$H$105,MATCH(A9,CATALOGO!$A$6:$A$105,0)))&gt;1000000000,ABS(INDEX(CATALOGO!$I$6:$I$105,MATCH(A9,CATALOGO!$A$6:$A$105,0)))&gt;1000000000),"",INDEX(CATALOGO!$H$6:$H$105,MATCH(A9,CATALOGO!$A$6:$A$105,0))+INDEX(CATALOGO!$I$6:$I$105,MATCH(A9,CATALOGO!$A$6:$A$105,0)))),"")</f>
        <v/>
      </c>
      <c r="R9" s="9">
        <f>IF(OR(A9="",I9="",COUNTIF(CATALOGO!$A$6:$A$105,A9)&lt;&gt;1),"",IF(I9=0,0,IF(OR(Q9="",INDEX(CATALOGO!$N$6:$N$105,MATCH(A9,CATALOGO!$A$6:$A$105,0))="",INDEX(CATALOGO!$O$6:$O$105,MATCH(A9,CATALOGO!$A$6:$A$105,0))="",INDEX(CATALOGO!$O$6:$O$105,MATCH(A9,CATALOGO!$A$6:$A$105,0))&lt;=0),"",IF(OR(I9&lt;INDEX(CATALOGO!$N$6:$N$105,MATCH(A9,CATALOGO!$A$6:$A$105,0)),MOD(I9,INDEX(CATALOGO!$O$6:$O$105,MATCH(A9,CATALOGO!$A$6:$A$105,0)))&lt;&gt;0,J9="",J9&lt;=CONFIG!$B$5,J9&gt;CONFIG!$B$5+91),"",I9*Q9))))</f>
        <v>0</v>
      </c>
      <c r="S9" s="12" t="str">
        <f>IF(A9="","",IF(COUNTIF(CATALOGO!$A$6:$A$105,A9)&lt;&gt;1,"SKU NO VALIDO",IF(I9="","CANTIDAD DESCONOCIDA",IF(I9=0,"SIN COMPRA ELEGIDA",IF(OR(I9&lt;0,I9&gt;1000000),"CANTIDAD INVALIDA",IF(OR(INDEX(CATALOGO!$N$6:$N$105,MATCH(A9,CATALOGO!$A$6:$A$105,0))="",INDEX(CATALOGO!$O$6:$O$105,MATCH(A9,CATALOGO!$A$6:$A$105,0))="",INDEX(CATALOGO!$O$6:$O$105,MATCH(A9,CATALOGO!$A$6:$A$105,0))&lt;=0),"CATALOGO A REVISAR",IF(OR(I9&lt;INDEX(CATALOGO!$N$6:$N$105,MATCH(A9,CATALOGO!$A$6:$A$105,0)),MOD(I9,INDEX(CATALOGO!$O$6:$O$105,MATCH(A9,CATALOGO!$A$6:$A$105,0)))&lt;&gt;0),"NO RESPETA MOQ/PACK",IF(J9="","FALTA FECHA PAGO",IF(Q9="","COSTO DESCONOCIDO",IF(OR(J9&lt;=CONFIG!$B$5,J9&gt;CONFIG!$B$5+91),"FUERA DE 91 DIAS",IF(AND(P9&lt;&gt;"",I9&gt;P9),"EN MODELO · SUPERA PROPUESTA","EN MODELO")))))))))))</f>
        <v>SIN COMPRA ELEGIDA</v>
      </c>
    </row>
    <row r="10" spans="1:19" x14ac:dyDescent="0.45">
      <c r="A10" s="8" t="s">
        <v>77</v>
      </c>
      <c r="B10" s="4">
        <v>46286</v>
      </c>
      <c r="C10" s="5">
        <v>9</v>
      </c>
      <c r="D10" s="5">
        <v>1</v>
      </c>
      <c r="E10" s="5">
        <v>0</v>
      </c>
      <c r="F10" s="4"/>
      <c r="G10" s="8" t="s">
        <v>150</v>
      </c>
      <c r="H10" s="5">
        <v>14</v>
      </c>
      <c r="I10" s="5">
        <v>0</v>
      </c>
      <c r="J10" s="4"/>
      <c r="K10" s="12" t="str">
        <f>IFERROR(IF(A10="","",IF(COUNTIF($A$6:$A$105,A10)&gt;1,"DUPLICADO STOCK",IF(COUNTIF(CATALOGO!$A$6:$A$105,A10)&lt;&gt;1,"SKU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INVALIDA",IF(INDEX(CATALOGO!$F$6:$F$105,MATCH(A10,CATALOGO!$A$6:$A$105,0))&lt;&gt;"ACTIVO",INDEX(CATALOGO!$F$6:$F$105,MATCH(A10,CATALOGO!$A$6:$A$105,0)),IF(OR(B10="",B10&lt;&gt;CONFIG!$B$5),"CONTEO NO VIGENTE",IF(OR(C10="",D10="",E10="",H10=""),"FALTA CAMPO",IF(OR(C10&lt;0,C10&gt;1000000,D10&lt;0,D10&gt;1000000,E10&lt;0,E10&gt;1000000,D10&gt;C10),"REVISAR VALOR",IF(H10&gt;CONFIG!$B$6,"EXPOSICION FUERA DE RANGO",IF(H10&lt;&gt;CONFIG!$B$6,"DISPONIBILIDAD INCOMPLETA",IF(CONFIG!$B$14&lt;&gt;"SI","VENTAS INCOMPLETAS",IF(CONFIG!$B$12&lt;&gt;"SI","POLITICA SIN REVISAR",IF(SUMPRODUCT(--(VENTAS!$B$6:$B$1005=A10),--(VENTAS!$A$6:$A$1005&gt;=CONFIG!$B$5-CONFIG!$B$6+1),--(VENTAS!$A$6:$A$1005&lt;=CONFIG!$B$5),--(VENTAS!$I$6:$I$1005&lt;&gt;""),--(VENTAS!$I$6:$I$1005&lt;&gt;"OK"))&gt;0,"VENTAS A REVISAR",IF(AND(E10&gt;0,OR(F10="",G10&lt;&gt;"SI")),"TRANSITO SIN CONFIRMAR",IF(AND(E10&gt;0,G10="SI",OR(F10&lt;=CONFIG!$B$5,F10&gt;CONFIG!$B$5+INDEX(CATALOGO!$M$6:$M$105,MATCH(A10,CATALOGO!$A$6:$A$105,0)))),"TRANSITO FUERA DEL PLAZO",IF(INDEX(CATALOGO!$T$6:$T$105,MATCH(A10,CATALOGO!$A$6:$A$105,0))&lt;&gt;"OK","CATALOGO A REVISAR",IF(1-INDEX(CATALOGO!$K$6:$K$105,MATCH(A10,CATALOGO!$A$6:$A$105,0))-CONFIG!$B$8&lt;=0,"MARGEN OBJETIVO INVIABLE",IF(INDEX(CATALOGO!$R$6:$R$105,MATCH(A10,CATALOGO!$A$6:$A$105,0))&lt;CONFIG!$B$8,"REVISAR PRECIO O COSTO","ELEGIBLE")))))))))))))))))),"CONFIG INVALIDA")</f>
        <v>DISPONIBILIDAD INCOMPLETA</v>
      </c>
      <c r="L10" s="13">
        <f t="shared" si="0"/>
        <v>8</v>
      </c>
      <c r="M10" s="12">
        <f>IFERROR(IF(OR(A10="",CONFIG!$B$14&lt;&gt;"SI",CONFIG!$B$6&lt;1,CONFIG!$B$6&gt;365,CONFIG!$B$6&lt;&gt;INT(CONFIG!$B$6),SUMPRODUCT(--(VENTAS!$B$6:$B$1005=A10),--(VENTAS!$A$6:$A$1005&gt;=CONFIG!$B$5-CONFIG!$B$6+1),--(VENTAS!$A$6:$A$1005&lt;=CONFIG!$B$5),--(VENTAS!$I$6:$I$1005&lt;&gt;""),--(VENTAS!$I$6:$I$1005&lt;&gt;"OK"))&gt;0),"",MAX(0,(SUMIFS(VENTAS!$C$6:$C$1005,VENTAS!$B$6:$B$1005,A10,VENTAS!$A$6:$A$1005,"&gt;="&amp;CONFIG!$B$5-CONFIG!$B$6+1,VENTAS!$A$6:$A$1005,"&lt;="&amp;CONFIG!$B$5)-SUMIFS(VENTAS!$E$6:$E$1005,VENTAS!$B$6:$B$1005,A10,VENTAS!$A$6:$A$1005,"&gt;="&amp;CONFIG!$B$5-CONFIG!$B$6+1,VENTAS!$A$6:$A$1005,"&lt;="&amp;CONFIG!$B$5))/CONFIG!$B$6)),"")</f>
        <v>1.4642857142857142</v>
      </c>
      <c r="N10" s="14" t="str">
        <f>IF(K10&lt;&gt;"ELEGIBLE","",IF(AND(E10&gt;0,G10="SI",F10&gt;CONFIG!$B$5,F10&lt;=CONFIG!$B$5+INDEX(CATALOGO!$M$6:$M$105,MATCH(A10,CATALOGO!$A$6:$A$105,0))),E10,0))</f>
        <v/>
      </c>
      <c r="O10" s="14" t="str">
        <f>IF(K10&lt;&gt;"ELEGIBLE","",MAX(0,ROUNDUP(ROUND(M10*(INDEX(CATALOGO!$M$6:$M$105,MATCH(A10,CATALOGO!$A$6:$A$105,0))+CONFIG!$B$7)-L10-N10,10),0)))</f>
        <v/>
      </c>
      <c r="P10" s="14" t="str">
        <f>IF(O10="","",IF(O10=0,0,ROUNDUP(MAX(O10,INDEX(CATALOGO!$N$6:$N$105,MATCH(A10,CATALOGO!$A$6:$A$105,0)))/INDEX(CATALOGO!$O$6:$O$105,MATCH(A10,CATALOGO!$A$6:$A$105,0)),0)*INDEX(CATALOGO!$O$6:$O$105,MATCH(A10,CATALOGO!$A$6:$A$105,0))))</f>
        <v/>
      </c>
      <c r="Q10" s="11">
        <f>IFERROR(IF(OR(A10="",COUNTIF(CATALOGO!$A$6:$A$105,A10)&lt;&gt;1),"",IF(OR(INDEX(CATALOGO!$H$6:$H$105,MATCH(A10,CATALOGO!$A$6:$A$105,0))="",INDEX(CATALOGO!$I$6:$I$105,MATCH(A10,CATALOGO!$A$6:$A$105,0))="",ABS(INDEX(CATALOGO!$H$6:$H$105,MATCH(A10,CATALOGO!$A$6:$A$105,0)))&gt;1000000000,ABS(INDEX(CATALOGO!$I$6:$I$105,MATCH(A10,CATALOGO!$A$6:$A$105,0)))&gt;1000000000),"",INDEX(CATALOGO!$H$6:$H$105,MATCH(A10,CATALOGO!$A$6:$A$105,0))+INDEX(CATALOGO!$I$6:$I$105,MATCH(A10,CATALOGO!$A$6:$A$105,0)))),"")</f>
        <v>90</v>
      </c>
      <c r="R10" s="9">
        <f>IF(OR(A10="",I10="",COUNTIF(CATALOGO!$A$6:$A$105,A10)&lt;&gt;1),"",IF(I10=0,0,IF(OR(Q10="",INDEX(CATALOGO!$N$6:$N$105,MATCH(A10,CATALOGO!$A$6:$A$105,0))="",INDEX(CATALOGO!$O$6:$O$105,MATCH(A10,CATALOGO!$A$6:$A$105,0))="",INDEX(CATALOGO!$O$6:$O$105,MATCH(A10,CATALOGO!$A$6:$A$105,0))&lt;=0),"",IF(OR(I10&lt;INDEX(CATALOGO!$N$6:$N$105,MATCH(A10,CATALOGO!$A$6:$A$105,0)),MOD(I10,INDEX(CATALOGO!$O$6:$O$105,MATCH(A10,CATALOGO!$A$6:$A$105,0)))&lt;&gt;0,J10="",J10&lt;=CONFIG!$B$5,J10&gt;CONFIG!$B$5+91),"",I10*Q10))))</f>
        <v>0</v>
      </c>
      <c r="S10" s="12" t="str">
        <f>IF(A10="","",IF(COUNTIF(CATALOGO!$A$6:$A$105,A10)&lt;&gt;1,"SKU NO VALIDO",IF(I10="","CANTIDAD DESCONOCIDA",IF(I10=0,"SIN COMPRA ELEGIDA",IF(OR(I10&lt;0,I10&gt;1000000),"CANTIDAD INVALIDA",IF(OR(INDEX(CATALOGO!$N$6:$N$105,MATCH(A10,CATALOGO!$A$6:$A$105,0))="",INDEX(CATALOGO!$O$6:$O$105,MATCH(A10,CATALOGO!$A$6:$A$105,0))="",INDEX(CATALOGO!$O$6:$O$105,MATCH(A10,CATALOGO!$A$6:$A$105,0))&lt;=0),"CATALOGO A REVISAR",IF(OR(I10&lt;INDEX(CATALOGO!$N$6:$N$105,MATCH(A10,CATALOGO!$A$6:$A$105,0)),MOD(I10,INDEX(CATALOGO!$O$6:$O$105,MATCH(A10,CATALOGO!$A$6:$A$105,0)))&lt;&gt;0),"NO RESPETA MOQ/PACK",IF(J10="","FALTA FECHA PAGO",IF(Q10="","COSTO DESCONOCIDO",IF(OR(J10&lt;=CONFIG!$B$5,J10&gt;CONFIG!$B$5+91),"FUERA DE 91 DIAS",IF(AND(P10&lt;&gt;"",I10&gt;P10),"EN MODELO · SUPERA PROPUESTA","EN MODELO")))))))))))</f>
        <v>SIN COMPRA ELEGIDA</v>
      </c>
    </row>
    <row r="11" spans="1:19" x14ac:dyDescent="0.45">
      <c r="A11" s="8" t="s">
        <v>79</v>
      </c>
      <c r="B11" s="4">
        <v>46286</v>
      </c>
      <c r="C11" s="5">
        <v>7</v>
      </c>
      <c r="D11" s="5">
        <v>1</v>
      </c>
      <c r="E11" s="5">
        <v>24</v>
      </c>
      <c r="F11" s="4">
        <v>46316</v>
      </c>
      <c r="G11" s="8" t="s">
        <v>34</v>
      </c>
      <c r="H11" s="5">
        <v>28</v>
      </c>
      <c r="I11" s="5">
        <v>0</v>
      </c>
      <c r="J11" s="4"/>
      <c r="K11" s="12" t="str">
        <f>IFERROR(IF(A11="","",IF(COUNTIF($A$6:$A$105,A11)&gt;1,"DUPLICADO STOCK",IF(COUNTIF(CATALOGO!$A$6:$A$105,A11)&lt;&gt;1,"SKU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INVALIDA",IF(INDEX(CATALOGO!$F$6:$F$105,MATCH(A11,CATALOGO!$A$6:$A$105,0))&lt;&gt;"ACTIVO",INDEX(CATALOGO!$F$6:$F$105,MATCH(A11,CATALOGO!$A$6:$A$105,0)),IF(OR(B11="",B11&lt;&gt;CONFIG!$B$5),"CONTEO NO VIGENTE",IF(OR(C11="",D11="",E11="",H11=""),"FALTA CAMPO",IF(OR(C11&lt;0,C11&gt;1000000,D11&lt;0,D11&gt;1000000,E11&lt;0,E11&gt;1000000,D11&gt;C11),"REVISAR VALOR",IF(H11&gt;CONFIG!$B$6,"EXPOSICION FUERA DE RANGO",IF(H11&lt;&gt;CONFIG!$B$6,"DISPONIBILIDAD INCOMPLETA",IF(CONFIG!$B$14&lt;&gt;"SI","VENTAS INCOMPLETAS",IF(CONFIG!$B$12&lt;&gt;"SI","POLITICA SIN REVISAR",IF(SUMPRODUCT(--(VENTAS!$B$6:$B$1005=A11),--(VENTAS!$A$6:$A$1005&gt;=CONFIG!$B$5-CONFIG!$B$6+1),--(VENTAS!$A$6:$A$1005&lt;=CONFIG!$B$5),--(VENTAS!$I$6:$I$1005&lt;&gt;""),--(VENTAS!$I$6:$I$1005&lt;&gt;"OK"))&gt;0,"VENTAS A REVISAR",IF(AND(E11&gt;0,OR(F11="",G11&lt;&gt;"SI")),"TRANSITO SIN CONFIRMAR",IF(AND(E11&gt;0,G11="SI",OR(F11&lt;=CONFIG!$B$5,F11&gt;CONFIG!$B$5+INDEX(CATALOGO!$M$6:$M$105,MATCH(A11,CATALOGO!$A$6:$A$105,0)))),"TRANSITO FUERA DEL PLAZO",IF(INDEX(CATALOGO!$T$6:$T$105,MATCH(A11,CATALOGO!$A$6:$A$105,0))&lt;&gt;"OK","CATALOGO A REVISAR",IF(1-INDEX(CATALOGO!$K$6:$K$105,MATCH(A11,CATALOGO!$A$6:$A$105,0))-CONFIG!$B$8&lt;=0,"MARGEN OBJETIVO INVIABLE",IF(INDEX(CATALOGO!$R$6:$R$105,MATCH(A11,CATALOGO!$A$6:$A$105,0))&lt;CONFIG!$B$8,"REVISAR PRECIO O COSTO","ELEGIBLE")))))))))))))))))),"CONFIG INVALIDA")</f>
        <v>TRANSITO FUERA DEL PLAZO</v>
      </c>
      <c r="L11" s="13">
        <f t="shared" si="0"/>
        <v>6</v>
      </c>
      <c r="M11" s="12">
        <f>IFERROR(IF(OR(A11="",CONFIG!$B$14&lt;&gt;"SI",CONFIG!$B$6&lt;1,CONFIG!$B$6&gt;365,CONFIG!$B$6&lt;&gt;INT(CONFIG!$B$6),SUMPRODUCT(--(VENTAS!$B$6:$B$1005=A11),--(VENTAS!$A$6:$A$1005&gt;=CONFIG!$B$5-CONFIG!$B$6+1),--(VENTAS!$A$6:$A$1005&lt;=CONFIG!$B$5),--(VENTAS!$I$6:$I$1005&lt;&gt;""),--(VENTAS!$I$6:$I$1005&lt;&gt;"OK"))&gt;0),"",MAX(0,(SUMIFS(VENTAS!$C$6:$C$1005,VENTAS!$B$6:$B$1005,A11,VENTAS!$A$6:$A$1005,"&gt;="&amp;CONFIG!$B$5-CONFIG!$B$6+1,VENTAS!$A$6:$A$1005,"&lt;="&amp;CONFIG!$B$5)-SUMIFS(VENTAS!$E$6:$E$1005,VENTAS!$B$6:$B$1005,A11,VENTAS!$A$6:$A$1005,"&gt;="&amp;CONFIG!$B$5-CONFIG!$B$6+1,VENTAS!$A$6:$A$1005,"&lt;="&amp;CONFIG!$B$5))/CONFIG!$B$6)),"")</f>
        <v>1.1071428571428572</v>
      </c>
      <c r="N11" s="14" t="str">
        <f>IF(K11&lt;&gt;"ELEGIBLE","",IF(AND(E11&gt;0,G11="SI",F11&gt;CONFIG!$B$5,F11&lt;=CONFIG!$B$5+INDEX(CATALOGO!$M$6:$M$105,MATCH(A11,CATALOGO!$A$6:$A$105,0))),E11,0))</f>
        <v/>
      </c>
      <c r="O11" s="14" t="str">
        <f>IF(K11&lt;&gt;"ELEGIBLE","",MAX(0,ROUNDUP(ROUND(M11*(INDEX(CATALOGO!$M$6:$M$105,MATCH(A11,CATALOGO!$A$6:$A$105,0))+CONFIG!$B$7)-L11-N11,10),0)))</f>
        <v/>
      </c>
      <c r="P11" s="14" t="str">
        <f>IF(O11="","",IF(O11=0,0,ROUNDUP(MAX(O11,INDEX(CATALOGO!$N$6:$N$105,MATCH(A11,CATALOGO!$A$6:$A$105,0)))/INDEX(CATALOGO!$O$6:$O$105,MATCH(A11,CATALOGO!$A$6:$A$105,0)),0)*INDEX(CATALOGO!$O$6:$O$105,MATCH(A11,CATALOGO!$A$6:$A$105,0))))</f>
        <v/>
      </c>
      <c r="Q11" s="11">
        <f>IFERROR(IF(OR(A11="",COUNTIF(CATALOGO!$A$6:$A$105,A11)&lt;&gt;1),"",IF(OR(INDEX(CATALOGO!$H$6:$H$105,MATCH(A11,CATALOGO!$A$6:$A$105,0))="",INDEX(CATALOGO!$I$6:$I$105,MATCH(A11,CATALOGO!$A$6:$A$105,0))="",ABS(INDEX(CATALOGO!$H$6:$H$105,MATCH(A11,CATALOGO!$A$6:$A$105,0)))&gt;1000000000,ABS(INDEX(CATALOGO!$I$6:$I$105,MATCH(A11,CATALOGO!$A$6:$A$105,0)))&gt;1000000000),"",INDEX(CATALOGO!$H$6:$H$105,MATCH(A11,CATALOGO!$A$6:$A$105,0))+INDEX(CATALOGO!$I$6:$I$105,MATCH(A11,CATALOGO!$A$6:$A$105,0)))),"")</f>
        <v>90</v>
      </c>
      <c r="R11" s="9">
        <f>IF(OR(A11="",I11="",COUNTIF(CATALOGO!$A$6:$A$105,A11)&lt;&gt;1),"",IF(I11=0,0,IF(OR(Q11="",INDEX(CATALOGO!$N$6:$N$105,MATCH(A11,CATALOGO!$A$6:$A$105,0))="",INDEX(CATALOGO!$O$6:$O$105,MATCH(A11,CATALOGO!$A$6:$A$105,0))="",INDEX(CATALOGO!$O$6:$O$105,MATCH(A11,CATALOGO!$A$6:$A$105,0))&lt;=0),"",IF(OR(I11&lt;INDEX(CATALOGO!$N$6:$N$105,MATCH(A11,CATALOGO!$A$6:$A$105,0)),MOD(I11,INDEX(CATALOGO!$O$6:$O$105,MATCH(A11,CATALOGO!$A$6:$A$105,0)))&lt;&gt;0,J11="",J11&lt;=CONFIG!$B$5,J11&gt;CONFIG!$B$5+91),"",I11*Q11))))</f>
        <v>0</v>
      </c>
      <c r="S11" s="12" t="str">
        <f>IF(A11="","",IF(COUNTIF(CATALOGO!$A$6:$A$105,A11)&lt;&gt;1,"SKU NO VALIDO",IF(I11="","CANTIDAD DESCONOCIDA",IF(I11=0,"SIN COMPRA ELEGIDA",IF(OR(I11&lt;0,I11&gt;1000000),"CANTIDAD INVALIDA",IF(OR(INDEX(CATALOGO!$N$6:$N$105,MATCH(A11,CATALOGO!$A$6:$A$105,0))="",INDEX(CATALOGO!$O$6:$O$105,MATCH(A11,CATALOGO!$A$6:$A$105,0))="",INDEX(CATALOGO!$O$6:$O$105,MATCH(A11,CATALOGO!$A$6:$A$105,0))&lt;=0),"CATALOGO A REVISAR",IF(OR(I11&lt;INDEX(CATALOGO!$N$6:$N$105,MATCH(A11,CATALOGO!$A$6:$A$105,0)),MOD(I11,INDEX(CATALOGO!$O$6:$O$105,MATCH(A11,CATALOGO!$A$6:$A$105,0)))&lt;&gt;0),"NO RESPETA MOQ/PACK",IF(J11="","FALTA FECHA PAGO",IF(Q11="","COSTO DESCONOCIDO",IF(OR(J11&lt;=CONFIG!$B$5,J11&gt;CONFIG!$B$5+91),"FUERA DE 91 DIAS",IF(AND(P11&lt;&gt;"",I11&gt;P11),"EN MODELO · SUPERA PROPUESTA","EN MODELO")))))))))))</f>
        <v>SIN COMPRA ELEGIDA</v>
      </c>
    </row>
    <row r="12" spans="1:19" x14ac:dyDescent="0.45">
      <c r="A12" s="8" t="s">
        <v>81</v>
      </c>
      <c r="B12" s="4">
        <v>46286</v>
      </c>
      <c r="C12" s="5">
        <v>8</v>
      </c>
      <c r="D12" s="5">
        <v>2</v>
      </c>
      <c r="E12" s="5">
        <v>24</v>
      </c>
      <c r="F12" s="4">
        <v>46294</v>
      </c>
      <c r="G12" s="8" t="s">
        <v>150</v>
      </c>
      <c r="H12" s="5">
        <v>28</v>
      </c>
      <c r="I12" s="5">
        <v>0</v>
      </c>
      <c r="J12" s="4"/>
      <c r="K12" s="12" t="str">
        <f>IFERROR(IF(A12="","",IF(COUNTIF($A$6:$A$105,A12)&gt;1,"DUPLICADO STOCK",IF(COUNTIF(CATALOGO!$A$6:$A$105,A12)&lt;&gt;1,"SKU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INVALIDA",IF(INDEX(CATALOGO!$F$6:$F$105,MATCH(A12,CATALOGO!$A$6:$A$105,0))&lt;&gt;"ACTIVO",INDEX(CATALOGO!$F$6:$F$105,MATCH(A12,CATALOGO!$A$6:$A$105,0)),IF(OR(B12="",B12&lt;&gt;CONFIG!$B$5),"CONTEO NO VIGENTE",IF(OR(C12="",D12="",E12="",H12=""),"FALTA CAMPO",IF(OR(C12&lt;0,C12&gt;1000000,D12&lt;0,D12&gt;1000000,E12&lt;0,E12&gt;1000000,D12&gt;C12),"REVISAR VALOR",IF(H12&gt;CONFIG!$B$6,"EXPOSICION FUERA DE RANGO",IF(H12&lt;&gt;CONFIG!$B$6,"DISPONIBILIDAD INCOMPLETA",IF(CONFIG!$B$14&lt;&gt;"SI","VENTAS INCOMPLETAS",IF(CONFIG!$B$12&lt;&gt;"SI","POLITICA SIN REVISAR",IF(SUMPRODUCT(--(VENTAS!$B$6:$B$1005=A12),--(VENTAS!$A$6:$A$1005&gt;=CONFIG!$B$5-CONFIG!$B$6+1),--(VENTAS!$A$6:$A$1005&lt;=CONFIG!$B$5),--(VENTAS!$I$6:$I$1005&lt;&gt;""),--(VENTAS!$I$6:$I$1005&lt;&gt;"OK"))&gt;0,"VENTAS A REVISAR",IF(AND(E12&gt;0,OR(F12="",G12&lt;&gt;"SI")),"TRANSITO SIN CONFIRMAR",IF(AND(E12&gt;0,G12="SI",OR(F12&lt;=CONFIG!$B$5,F12&gt;CONFIG!$B$5+INDEX(CATALOGO!$M$6:$M$105,MATCH(A12,CATALOGO!$A$6:$A$105,0)))),"TRANSITO FUERA DEL PLAZO",IF(INDEX(CATALOGO!$T$6:$T$105,MATCH(A12,CATALOGO!$A$6:$A$105,0))&lt;&gt;"OK","CATALOGO A REVISAR",IF(1-INDEX(CATALOGO!$K$6:$K$105,MATCH(A12,CATALOGO!$A$6:$A$105,0))-CONFIG!$B$8&lt;=0,"MARGEN OBJETIVO INVIABLE",IF(INDEX(CATALOGO!$R$6:$R$105,MATCH(A12,CATALOGO!$A$6:$A$105,0))&lt;CONFIG!$B$8,"REVISAR PRECIO O COSTO","ELEGIBLE")))))))))))))))))),"CONFIG INVALIDA")</f>
        <v>TRANSITO SIN CONFIRMAR</v>
      </c>
      <c r="L12" s="13">
        <f t="shared" si="0"/>
        <v>6</v>
      </c>
      <c r="M12" s="12">
        <f>IFERROR(IF(OR(A12="",CONFIG!$B$14&lt;&gt;"SI",CONFIG!$B$6&lt;1,CONFIG!$B$6&gt;365,CONFIG!$B$6&lt;&gt;INT(CONFIG!$B$6),SUMPRODUCT(--(VENTAS!$B$6:$B$1005=A12),--(VENTAS!$A$6:$A$1005&gt;=CONFIG!$B$5-CONFIG!$B$6+1),--(VENTAS!$A$6:$A$1005&lt;=CONFIG!$B$5),--(VENTAS!$I$6:$I$1005&lt;&gt;""),--(VENTAS!$I$6:$I$1005&lt;&gt;"OK"))&gt;0),"",MAX(0,(SUMIFS(VENTAS!$C$6:$C$1005,VENTAS!$B$6:$B$1005,A12,VENTAS!$A$6:$A$1005,"&gt;="&amp;CONFIG!$B$5-CONFIG!$B$6+1,VENTAS!$A$6:$A$1005,"&lt;="&amp;CONFIG!$B$5)-SUMIFS(VENTAS!$E$6:$E$1005,VENTAS!$B$6:$B$1005,A12,VENTAS!$A$6:$A$1005,"&gt;="&amp;CONFIG!$B$5-CONFIG!$B$6+1,VENTAS!$A$6:$A$1005,"&lt;="&amp;CONFIG!$B$5))/CONFIG!$B$6)),"")</f>
        <v>1.0714285714285714</v>
      </c>
      <c r="N12" s="14" t="str">
        <f>IF(K12&lt;&gt;"ELEGIBLE","",IF(AND(E12&gt;0,G12="SI",F12&gt;CONFIG!$B$5,F12&lt;=CONFIG!$B$5+INDEX(CATALOGO!$M$6:$M$105,MATCH(A12,CATALOGO!$A$6:$A$105,0))),E12,0))</f>
        <v/>
      </c>
      <c r="O12" s="14" t="str">
        <f>IF(K12&lt;&gt;"ELEGIBLE","",MAX(0,ROUNDUP(ROUND(M12*(INDEX(CATALOGO!$M$6:$M$105,MATCH(A12,CATALOGO!$A$6:$A$105,0))+CONFIG!$B$7)-L12-N12,10),0)))</f>
        <v/>
      </c>
      <c r="P12" s="14" t="str">
        <f>IF(O12="","",IF(O12=0,0,ROUNDUP(MAX(O12,INDEX(CATALOGO!$N$6:$N$105,MATCH(A12,CATALOGO!$A$6:$A$105,0)))/INDEX(CATALOGO!$O$6:$O$105,MATCH(A12,CATALOGO!$A$6:$A$105,0)),0)*INDEX(CATALOGO!$O$6:$O$105,MATCH(A12,CATALOGO!$A$6:$A$105,0))))</f>
        <v/>
      </c>
      <c r="Q12" s="11">
        <f>IFERROR(IF(OR(A12="",COUNTIF(CATALOGO!$A$6:$A$105,A12)&lt;&gt;1),"",IF(OR(INDEX(CATALOGO!$H$6:$H$105,MATCH(A12,CATALOGO!$A$6:$A$105,0))="",INDEX(CATALOGO!$I$6:$I$105,MATCH(A12,CATALOGO!$A$6:$A$105,0))="",ABS(INDEX(CATALOGO!$H$6:$H$105,MATCH(A12,CATALOGO!$A$6:$A$105,0)))&gt;1000000000,ABS(INDEX(CATALOGO!$I$6:$I$105,MATCH(A12,CATALOGO!$A$6:$A$105,0)))&gt;1000000000),"",INDEX(CATALOGO!$H$6:$H$105,MATCH(A12,CATALOGO!$A$6:$A$105,0))+INDEX(CATALOGO!$I$6:$I$105,MATCH(A12,CATALOGO!$A$6:$A$105,0)))),"")</f>
        <v>90</v>
      </c>
      <c r="R12" s="9">
        <f>IF(OR(A12="",I12="",COUNTIF(CATALOGO!$A$6:$A$105,A12)&lt;&gt;1),"",IF(I12=0,0,IF(OR(Q12="",INDEX(CATALOGO!$N$6:$N$105,MATCH(A12,CATALOGO!$A$6:$A$105,0))="",INDEX(CATALOGO!$O$6:$O$105,MATCH(A12,CATALOGO!$A$6:$A$105,0))="",INDEX(CATALOGO!$O$6:$O$105,MATCH(A12,CATALOGO!$A$6:$A$105,0))&lt;=0),"",IF(OR(I12&lt;INDEX(CATALOGO!$N$6:$N$105,MATCH(A12,CATALOGO!$A$6:$A$105,0)),MOD(I12,INDEX(CATALOGO!$O$6:$O$105,MATCH(A12,CATALOGO!$A$6:$A$105,0)))&lt;&gt;0,J12="",J12&lt;=CONFIG!$B$5,J12&gt;CONFIG!$B$5+91),"",I12*Q12))))</f>
        <v>0</v>
      </c>
      <c r="S12" s="12" t="str">
        <f>IF(A12="","",IF(COUNTIF(CATALOGO!$A$6:$A$105,A12)&lt;&gt;1,"SKU NO VALIDO",IF(I12="","CANTIDAD DESCONOCIDA",IF(I12=0,"SIN COMPRA ELEGIDA",IF(OR(I12&lt;0,I12&gt;1000000),"CANTIDAD INVALIDA",IF(OR(INDEX(CATALOGO!$N$6:$N$105,MATCH(A12,CATALOGO!$A$6:$A$105,0))="",INDEX(CATALOGO!$O$6:$O$105,MATCH(A12,CATALOGO!$A$6:$A$105,0))="",INDEX(CATALOGO!$O$6:$O$105,MATCH(A12,CATALOGO!$A$6:$A$105,0))&lt;=0),"CATALOGO A REVISAR",IF(OR(I12&lt;INDEX(CATALOGO!$N$6:$N$105,MATCH(A12,CATALOGO!$A$6:$A$105,0)),MOD(I12,INDEX(CATALOGO!$O$6:$O$105,MATCH(A12,CATALOGO!$A$6:$A$105,0)))&lt;&gt;0),"NO RESPETA MOQ/PACK",IF(J12="","FALTA FECHA PAGO",IF(Q12="","COSTO DESCONOCIDO",IF(OR(J12&lt;=CONFIG!$B$5,J12&gt;CONFIG!$B$5+91),"FUERA DE 91 DIAS",IF(AND(P12&lt;&gt;"",I12&gt;P12),"EN MODELO · SUPERA PROPUESTA","EN MODELO")))))))))))</f>
        <v>SIN COMPRA ELEGIDA</v>
      </c>
    </row>
    <row r="13" spans="1:19" x14ac:dyDescent="0.45">
      <c r="A13" s="8" t="s">
        <v>83</v>
      </c>
      <c r="B13" s="4">
        <v>46286</v>
      </c>
      <c r="C13" s="5">
        <v>12</v>
      </c>
      <c r="D13" s="5">
        <v>2</v>
      </c>
      <c r="E13" s="5">
        <v>12</v>
      </c>
      <c r="F13" s="4">
        <v>46296</v>
      </c>
      <c r="G13" s="8" t="s">
        <v>34</v>
      </c>
      <c r="H13" s="5">
        <v>28</v>
      </c>
      <c r="I13" s="5">
        <v>0</v>
      </c>
      <c r="J13" s="4"/>
      <c r="K13" s="12" t="str">
        <f>IFERROR(IF(A13="","",IF(COUNTIF($A$6:$A$105,A13)&gt;1,"DUPLICADO STOCK",IF(COUNTIF(CATALOGO!$A$6:$A$105,A13)&lt;&gt;1,"SKU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INVALIDA",IF(INDEX(CATALOGO!$F$6:$F$105,MATCH(A13,CATALOGO!$A$6:$A$105,0))&lt;&gt;"ACTIVO",INDEX(CATALOGO!$F$6:$F$105,MATCH(A13,CATALOGO!$A$6:$A$105,0)),IF(OR(B13="",B13&lt;&gt;CONFIG!$B$5),"CONTEO NO VIGENTE",IF(OR(C13="",D13="",E13="",H13=""),"FALTA CAMPO",IF(OR(C13&lt;0,C13&gt;1000000,D13&lt;0,D13&gt;1000000,E13&lt;0,E13&gt;1000000,D13&gt;C13),"REVISAR VALOR",IF(H13&gt;CONFIG!$B$6,"EXPOSICION FUERA DE RANGO",IF(H13&lt;&gt;CONFIG!$B$6,"DISPONIBILIDAD INCOMPLETA",IF(CONFIG!$B$14&lt;&gt;"SI","VENTAS INCOMPLETAS",IF(CONFIG!$B$12&lt;&gt;"SI","POLITICA SIN REVISAR",IF(SUMPRODUCT(--(VENTAS!$B$6:$B$1005=A13),--(VENTAS!$A$6:$A$1005&gt;=CONFIG!$B$5-CONFIG!$B$6+1),--(VENTAS!$A$6:$A$1005&lt;=CONFIG!$B$5),--(VENTAS!$I$6:$I$1005&lt;&gt;""),--(VENTAS!$I$6:$I$1005&lt;&gt;"OK"))&gt;0,"VENTAS A REVISAR",IF(AND(E13&gt;0,OR(F13="",G13&lt;&gt;"SI")),"TRANSITO SIN CONFIRMAR",IF(AND(E13&gt;0,G13="SI",OR(F13&lt;=CONFIG!$B$5,F13&gt;CONFIG!$B$5+INDEX(CATALOGO!$M$6:$M$105,MATCH(A13,CATALOGO!$A$6:$A$105,0)))),"TRANSITO FUERA DEL PLAZO",IF(INDEX(CATALOGO!$T$6:$T$105,MATCH(A13,CATALOGO!$A$6:$A$105,0))&lt;&gt;"OK","CATALOGO A REVISAR",IF(1-INDEX(CATALOGO!$K$6:$K$105,MATCH(A13,CATALOGO!$A$6:$A$105,0))-CONFIG!$B$8&lt;=0,"MARGEN OBJETIVO INVIABLE",IF(INDEX(CATALOGO!$R$6:$R$105,MATCH(A13,CATALOGO!$A$6:$A$105,0))&lt;CONFIG!$B$8,"REVISAR PRECIO O COSTO","ELEGIBLE")))))))))))))))))),"CONFIG INVALIDA")</f>
        <v>ELEGIBLE</v>
      </c>
      <c r="L13" s="13">
        <f t="shared" si="0"/>
        <v>10</v>
      </c>
      <c r="M13" s="12">
        <f>IFERROR(IF(OR(A13="",CONFIG!$B$14&lt;&gt;"SI",CONFIG!$B$6&lt;1,CONFIG!$B$6&gt;365,CONFIG!$B$6&lt;&gt;INT(CONFIG!$B$6),SUMPRODUCT(--(VENTAS!$B$6:$B$1005=A13),--(VENTAS!$A$6:$A$1005&gt;=CONFIG!$B$5-CONFIG!$B$6+1),--(VENTAS!$A$6:$A$1005&lt;=CONFIG!$B$5),--(VENTAS!$I$6:$I$1005&lt;&gt;""),--(VENTAS!$I$6:$I$1005&lt;&gt;"OK"))&gt;0),"",MAX(0,(SUMIFS(VENTAS!$C$6:$C$1005,VENTAS!$B$6:$B$1005,A13,VENTAS!$A$6:$A$1005,"&gt;="&amp;CONFIG!$B$5-CONFIG!$B$6+1,VENTAS!$A$6:$A$1005,"&lt;="&amp;CONFIG!$B$5)-SUMIFS(VENTAS!$E$6:$E$1005,VENTAS!$B$6:$B$1005,A13,VENTAS!$A$6:$A$1005,"&gt;="&amp;CONFIG!$B$5-CONFIG!$B$6+1,VENTAS!$A$6:$A$1005,"&lt;="&amp;CONFIG!$B$5))/CONFIG!$B$6)),"")</f>
        <v>1.4285714285714286</v>
      </c>
      <c r="N13" s="14">
        <f>IF(K13&lt;&gt;"ELEGIBLE","",IF(AND(E13&gt;0,G13="SI",F13&gt;CONFIG!$B$5,F13&lt;=CONFIG!$B$5+INDEX(CATALOGO!$M$6:$M$105,MATCH(A13,CATALOGO!$A$6:$A$105,0))),E13,0))</f>
        <v>12</v>
      </c>
      <c r="O13" s="14">
        <f>IF(K13&lt;&gt;"ELEGIBLE","",MAX(0,ROUNDUP(ROUND(M13*(INDEX(CATALOGO!$M$6:$M$105,MATCH(A13,CATALOGO!$A$6:$A$105,0))+CONFIG!$B$7)-L13-N13,10),0)))</f>
        <v>8</v>
      </c>
      <c r="P13" s="14">
        <f>IF(O13="","",IF(O13=0,0,ROUNDUP(MAX(O13,INDEX(CATALOGO!$N$6:$N$105,MATCH(A13,CATALOGO!$A$6:$A$105,0)))/INDEX(CATALOGO!$O$6:$O$105,MATCH(A13,CATALOGO!$A$6:$A$105,0)),0)*INDEX(CATALOGO!$O$6:$O$105,MATCH(A13,CATALOGO!$A$6:$A$105,0))))</f>
        <v>12</v>
      </c>
      <c r="Q13" s="11">
        <f>IFERROR(IF(OR(A13="",COUNTIF(CATALOGO!$A$6:$A$105,A13)&lt;&gt;1),"",IF(OR(INDEX(CATALOGO!$H$6:$H$105,MATCH(A13,CATALOGO!$A$6:$A$105,0))="",INDEX(CATALOGO!$I$6:$I$105,MATCH(A13,CATALOGO!$A$6:$A$105,0))="",ABS(INDEX(CATALOGO!$H$6:$H$105,MATCH(A13,CATALOGO!$A$6:$A$105,0)))&gt;1000000000,ABS(INDEX(CATALOGO!$I$6:$I$105,MATCH(A13,CATALOGO!$A$6:$A$105,0)))&gt;1000000000),"",INDEX(CATALOGO!$H$6:$H$105,MATCH(A13,CATALOGO!$A$6:$A$105,0))+INDEX(CATALOGO!$I$6:$I$105,MATCH(A13,CATALOGO!$A$6:$A$105,0)))),"")</f>
        <v>90</v>
      </c>
      <c r="R13" s="9">
        <f>IF(OR(A13="",I13="",COUNTIF(CATALOGO!$A$6:$A$105,A13)&lt;&gt;1),"",IF(I13=0,0,IF(OR(Q13="",INDEX(CATALOGO!$N$6:$N$105,MATCH(A13,CATALOGO!$A$6:$A$105,0))="",INDEX(CATALOGO!$O$6:$O$105,MATCH(A13,CATALOGO!$A$6:$A$105,0))="",INDEX(CATALOGO!$O$6:$O$105,MATCH(A13,CATALOGO!$A$6:$A$105,0))&lt;=0),"",IF(OR(I13&lt;INDEX(CATALOGO!$N$6:$N$105,MATCH(A13,CATALOGO!$A$6:$A$105,0)),MOD(I13,INDEX(CATALOGO!$O$6:$O$105,MATCH(A13,CATALOGO!$A$6:$A$105,0)))&lt;&gt;0,J13="",J13&lt;=CONFIG!$B$5,J13&gt;CONFIG!$B$5+91),"",I13*Q13))))</f>
        <v>0</v>
      </c>
      <c r="S13" s="12" t="str">
        <f>IF(A13="","",IF(COUNTIF(CATALOGO!$A$6:$A$105,A13)&lt;&gt;1,"SKU NO VALIDO",IF(I13="","CANTIDAD DESCONOCIDA",IF(I13=0,"SIN COMPRA ELEGIDA",IF(OR(I13&lt;0,I13&gt;1000000),"CANTIDAD INVALIDA",IF(OR(INDEX(CATALOGO!$N$6:$N$105,MATCH(A13,CATALOGO!$A$6:$A$105,0))="",INDEX(CATALOGO!$O$6:$O$105,MATCH(A13,CATALOGO!$A$6:$A$105,0))="",INDEX(CATALOGO!$O$6:$O$105,MATCH(A13,CATALOGO!$A$6:$A$105,0))&lt;=0),"CATALOGO A REVISAR",IF(OR(I13&lt;INDEX(CATALOGO!$N$6:$N$105,MATCH(A13,CATALOGO!$A$6:$A$105,0)),MOD(I13,INDEX(CATALOGO!$O$6:$O$105,MATCH(A13,CATALOGO!$A$6:$A$105,0)))&lt;&gt;0),"NO RESPETA MOQ/PACK",IF(J13="","FALTA FECHA PAGO",IF(Q13="","COSTO DESCONOCIDO",IF(OR(J13&lt;=CONFIG!$B$5,J13&gt;CONFIG!$B$5+91),"FUERA DE 91 DIAS",IF(AND(P13&lt;&gt;"",I13&gt;P13),"EN MODELO · SUPERA PROPUESTA","EN MODELO")))))))))))</f>
        <v>SIN COMPRA ELEGIDA</v>
      </c>
    </row>
    <row r="14" spans="1:19" x14ac:dyDescent="0.45">
      <c r="A14" s="8" t="s">
        <v>85</v>
      </c>
      <c r="B14" s="4">
        <v>46286</v>
      </c>
      <c r="C14" s="5">
        <v>9</v>
      </c>
      <c r="D14" s="5">
        <v>1</v>
      </c>
      <c r="E14" s="5">
        <v>0</v>
      </c>
      <c r="F14" s="4"/>
      <c r="G14" s="8" t="s">
        <v>150</v>
      </c>
      <c r="H14" s="5">
        <v>28</v>
      </c>
      <c r="I14" s="5">
        <v>60</v>
      </c>
      <c r="J14" s="4">
        <v>46351</v>
      </c>
      <c r="K14" s="12" t="str">
        <f>IFERROR(IF(A14="","",IF(COUNTIF($A$6:$A$105,A14)&gt;1,"DUPLICADO STOCK",IF(COUNTIF(CATALOGO!$A$6:$A$105,A14)&lt;&gt;1,"SKU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INVALIDA",IF(INDEX(CATALOGO!$F$6:$F$105,MATCH(A14,CATALOGO!$A$6:$A$105,0))&lt;&gt;"ACTIVO",INDEX(CATALOGO!$F$6:$F$105,MATCH(A14,CATALOGO!$A$6:$A$105,0)),IF(OR(B14="",B14&lt;&gt;CONFIG!$B$5),"CONTEO NO VIGENTE",IF(OR(C14="",D14="",E14="",H14=""),"FALTA CAMPO",IF(OR(C14&lt;0,C14&gt;1000000,D14&lt;0,D14&gt;1000000,E14&lt;0,E14&gt;1000000,D14&gt;C14),"REVISAR VALOR",IF(H14&gt;CONFIG!$B$6,"EXPOSICION FUERA DE RANGO",IF(H14&lt;&gt;CONFIG!$B$6,"DISPONIBILIDAD INCOMPLETA",IF(CONFIG!$B$14&lt;&gt;"SI","VENTAS INCOMPLETAS",IF(CONFIG!$B$12&lt;&gt;"SI","POLITICA SIN REVISAR",IF(SUMPRODUCT(--(VENTAS!$B$6:$B$1005=A14),--(VENTAS!$A$6:$A$1005&gt;=CONFIG!$B$5-CONFIG!$B$6+1),--(VENTAS!$A$6:$A$1005&lt;=CONFIG!$B$5),--(VENTAS!$I$6:$I$1005&lt;&gt;""),--(VENTAS!$I$6:$I$1005&lt;&gt;"OK"))&gt;0,"VENTAS A REVISAR",IF(AND(E14&gt;0,OR(F14="",G14&lt;&gt;"SI")),"TRANSITO SIN CONFIRMAR",IF(AND(E14&gt;0,G14="SI",OR(F14&lt;=CONFIG!$B$5,F14&gt;CONFIG!$B$5+INDEX(CATALOGO!$M$6:$M$105,MATCH(A14,CATALOGO!$A$6:$A$105,0)))),"TRANSITO FUERA DEL PLAZO",IF(INDEX(CATALOGO!$T$6:$T$105,MATCH(A14,CATALOGO!$A$6:$A$105,0))&lt;&gt;"OK","CATALOGO A REVISAR",IF(1-INDEX(CATALOGO!$K$6:$K$105,MATCH(A14,CATALOGO!$A$6:$A$105,0))-CONFIG!$B$8&lt;=0,"MARGEN OBJETIVO INVIABLE",IF(INDEX(CATALOGO!$R$6:$R$105,MATCH(A14,CATALOGO!$A$6:$A$105,0))&lt;CONFIG!$B$8,"REVISAR PRECIO O COSTO","ELEGIBLE")))))))))))))))))),"CONFIG INVALIDA")</f>
        <v>ELEGIBLE</v>
      </c>
      <c r="L14" s="13">
        <f t="shared" si="0"/>
        <v>8</v>
      </c>
      <c r="M14" s="12">
        <f>IFERROR(IF(OR(A14="",CONFIG!$B$14&lt;&gt;"SI",CONFIG!$B$6&lt;1,CONFIG!$B$6&gt;365,CONFIG!$B$6&lt;&gt;INT(CONFIG!$B$6),SUMPRODUCT(--(VENTAS!$B$6:$B$1005=A14),--(VENTAS!$A$6:$A$1005&gt;=CONFIG!$B$5-CONFIG!$B$6+1),--(VENTAS!$A$6:$A$1005&lt;=CONFIG!$B$5),--(VENTAS!$I$6:$I$1005&lt;&gt;""),--(VENTAS!$I$6:$I$1005&lt;&gt;"OK"))&gt;0),"",MAX(0,(SUMIFS(VENTAS!$C$6:$C$1005,VENTAS!$B$6:$B$1005,A14,VENTAS!$A$6:$A$1005,"&gt;="&amp;CONFIG!$B$5-CONFIG!$B$6+1,VENTAS!$A$6:$A$1005,"&lt;="&amp;CONFIG!$B$5)-SUMIFS(VENTAS!$E$6:$E$1005,VENTAS!$B$6:$B$1005,A14,VENTAS!$A$6:$A$1005,"&gt;="&amp;CONFIG!$B$5-CONFIG!$B$6+1,VENTAS!$A$6:$A$1005,"&lt;="&amp;CONFIG!$B$5))/CONFIG!$B$6)),"")</f>
        <v>0.39285714285714285</v>
      </c>
      <c r="N14" s="14">
        <f>IF(K14&lt;&gt;"ELEGIBLE","",IF(AND(E14&gt;0,G14="SI",F14&gt;CONFIG!$B$5,F14&lt;=CONFIG!$B$5+INDEX(CATALOGO!$M$6:$M$105,MATCH(A14,CATALOGO!$A$6:$A$105,0))),E14,0))</f>
        <v>0</v>
      </c>
      <c r="O14" s="14">
        <f>IF(K14&lt;&gt;"ELEGIBLE","",MAX(0,ROUNDUP(ROUND(M14*(INDEX(CATALOGO!$M$6:$M$105,MATCH(A14,CATALOGO!$A$6:$A$105,0))+CONFIG!$B$7)-L14-N14,10),0)))</f>
        <v>3</v>
      </c>
      <c r="P14" s="14">
        <f>IF(O14="","",IF(O14=0,0,ROUNDUP(MAX(O14,INDEX(CATALOGO!$N$6:$N$105,MATCH(A14,CATALOGO!$A$6:$A$105,0)))/INDEX(CATALOGO!$O$6:$O$105,MATCH(A14,CATALOGO!$A$6:$A$105,0)),0)*INDEX(CATALOGO!$O$6:$O$105,MATCH(A14,CATALOGO!$A$6:$A$105,0))))</f>
        <v>12</v>
      </c>
      <c r="Q14" s="11">
        <f>IFERROR(IF(OR(A14="",COUNTIF(CATALOGO!$A$6:$A$105,A14)&lt;&gt;1),"",IF(OR(INDEX(CATALOGO!$H$6:$H$105,MATCH(A14,CATALOGO!$A$6:$A$105,0))="",INDEX(CATALOGO!$I$6:$I$105,MATCH(A14,CATALOGO!$A$6:$A$105,0))="",ABS(INDEX(CATALOGO!$H$6:$H$105,MATCH(A14,CATALOGO!$A$6:$A$105,0)))&gt;1000000000,ABS(INDEX(CATALOGO!$I$6:$I$105,MATCH(A14,CATALOGO!$A$6:$A$105,0)))&gt;1000000000),"",INDEX(CATALOGO!$H$6:$H$105,MATCH(A14,CATALOGO!$A$6:$A$105,0))+INDEX(CATALOGO!$I$6:$I$105,MATCH(A14,CATALOGO!$A$6:$A$105,0)))),"")</f>
        <v>350</v>
      </c>
      <c r="R14" s="9">
        <f>IF(OR(A14="",I14="",COUNTIF(CATALOGO!$A$6:$A$105,A14)&lt;&gt;1),"",IF(I14=0,0,IF(OR(Q14="",INDEX(CATALOGO!$N$6:$N$105,MATCH(A14,CATALOGO!$A$6:$A$105,0))="",INDEX(CATALOGO!$O$6:$O$105,MATCH(A14,CATALOGO!$A$6:$A$105,0))="",INDEX(CATALOGO!$O$6:$O$105,MATCH(A14,CATALOGO!$A$6:$A$105,0))&lt;=0),"",IF(OR(I14&lt;INDEX(CATALOGO!$N$6:$N$105,MATCH(A14,CATALOGO!$A$6:$A$105,0)),MOD(I14,INDEX(CATALOGO!$O$6:$O$105,MATCH(A14,CATALOGO!$A$6:$A$105,0)))&lt;&gt;0,J14="",J14&lt;=CONFIG!$B$5,J14&gt;CONFIG!$B$5+91),"",I14*Q14))))</f>
        <v>21000</v>
      </c>
      <c r="S14" s="12" t="str">
        <f>IF(A14="","",IF(COUNTIF(CATALOGO!$A$6:$A$105,A14)&lt;&gt;1,"SKU NO VALIDO",IF(I14="","CANTIDAD DESCONOCIDA",IF(I14=0,"SIN COMPRA ELEGIDA",IF(OR(I14&lt;0,I14&gt;1000000),"CANTIDAD INVALIDA",IF(OR(INDEX(CATALOGO!$N$6:$N$105,MATCH(A14,CATALOGO!$A$6:$A$105,0))="",INDEX(CATALOGO!$O$6:$O$105,MATCH(A14,CATALOGO!$A$6:$A$105,0))="",INDEX(CATALOGO!$O$6:$O$105,MATCH(A14,CATALOGO!$A$6:$A$105,0))&lt;=0),"CATALOGO A REVISAR",IF(OR(I14&lt;INDEX(CATALOGO!$N$6:$N$105,MATCH(A14,CATALOGO!$A$6:$A$105,0)),MOD(I14,INDEX(CATALOGO!$O$6:$O$105,MATCH(A14,CATALOGO!$A$6:$A$105,0)))&lt;&gt;0),"NO RESPETA MOQ/PACK",IF(J14="","FALTA FECHA PAGO",IF(Q14="","COSTO DESCONOCIDO",IF(OR(J14&lt;=CONFIG!$B$5,J14&gt;CONFIG!$B$5+91),"FUERA DE 91 DIAS",IF(AND(P14&lt;&gt;"",I14&gt;P14),"EN MODELO · SUPERA PROPUESTA","EN MODELO")))))))))))</f>
        <v>EN MODELO · SUPERA PROPUESTA</v>
      </c>
    </row>
    <row r="15" spans="1:19" x14ac:dyDescent="0.45">
      <c r="A15" s="8" t="s">
        <v>89</v>
      </c>
      <c r="B15" s="4">
        <v>46283</v>
      </c>
      <c r="C15" s="5">
        <v>20</v>
      </c>
      <c r="D15" s="5">
        <v>2</v>
      </c>
      <c r="E15" s="5">
        <v>0</v>
      </c>
      <c r="F15" s="4"/>
      <c r="G15" s="8" t="s">
        <v>150</v>
      </c>
      <c r="H15" s="5">
        <v>28</v>
      </c>
      <c r="I15" s="5">
        <v>0</v>
      </c>
      <c r="J15" s="4"/>
      <c r="K15" s="12" t="str">
        <f>IFERROR(IF(A15="","",IF(COUNTIF($A$6:$A$105,A15)&gt;1,"DUPLICADO STOCK",IF(COUNTIF(CATALOGO!$A$6:$A$105,A15)&lt;&gt;1,"SKU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INVALIDA",IF(INDEX(CATALOGO!$F$6:$F$105,MATCH(A15,CATALOGO!$A$6:$A$105,0))&lt;&gt;"ACTIVO",INDEX(CATALOGO!$F$6:$F$105,MATCH(A15,CATALOGO!$A$6:$A$105,0)),IF(OR(B15="",B15&lt;&gt;CONFIG!$B$5),"CONTEO NO VIGENTE",IF(OR(C15="",D15="",E15="",H15=""),"FALTA CAMPO",IF(OR(C15&lt;0,C15&gt;1000000,D15&lt;0,D15&gt;1000000,E15&lt;0,E15&gt;1000000,D15&gt;C15),"REVISAR VALOR",IF(H15&gt;CONFIG!$B$6,"EXPOSICION FUERA DE RANGO",IF(H15&lt;&gt;CONFIG!$B$6,"DISPONIBILIDAD INCOMPLETA",IF(CONFIG!$B$14&lt;&gt;"SI","VENTAS INCOMPLETAS",IF(CONFIG!$B$12&lt;&gt;"SI","POLITICA SIN REVISAR",IF(SUMPRODUCT(--(VENTAS!$B$6:$B$1005=A15),--(VENTAS!$A$6:$A$1005&gt;=CONFIG!$B$5-CONFIG!$B$6+1),--(VENTAS!$A$6:$A$1005&lt;=CONFIG!$B$5),--(VENTAS!$I$6:$I$1005&lt;&gt;""),--(VENTAS!$I$6:$I$1005&lt;&gt;"OK"))&gt;0,"VENTAS A REVISAR",IF(AND(E15&gt;0,OR(F15="",G15&lt;&gt;"SI")),"TRANSITO SIN CONFIRMAR",IF(AND(E15&gt;0,G15="SI",OR(F15&lt;=CONFIG!$B$5,F15&gt;CONFIG!$B$5+INDEX(CATALOGO!$M$6:$M$105,MATCH(A15,CATALOGO!$A$6:$A$105,0)))),"TRANSITO FUERA DEL PLAZO",IF(INDEX(CATALOGO!$T$6:$T$105,MATCH(A15,CATALOGO!$A$6:$A$105,0))&lt;&gt;"OK","CATALOGO A REVISAR",IF(1-INDEX(CATALOGO!$K$6:$K$105,MATCH(A15,CATALOGO!$A$6:$A$105,0))-CONFIG!$B$8&lt;=0,"MARGEN OBJETIVO INVIABLE",IF(INDEX(CATALOGO!$R$6:$R$105,MATCH(A15,CATALOGO!$A$6:$A$105,0))&lt;CONFIG!$B$8,"REVISAR PRECIO O COSTO","ELEGIBLE")))))))))))))))))),"CONFIG INVALIDA")</f>
        <v>PAUSADO</v>
      </c>
      <c r="L15" s="13">
        <f t="shared" si="0"/>
        <v>18</v>
      </c>
      <c r="M15" s="12">
        <f>IFERROR(IF(OR(A15="",CONFIG!$B$14&lt;&gt;"SI",CONFIG!$B$6&lt;1,CONFIG!$B$6&gt;365,CONFIG!$B$6&lt;&gt;INT(CONFIG!$B$6),SUMPRODUCT(--(VENTAS!$B$6:$B$1005=A15),--(VENTAS!$A$6:$A$1005&gt;=CONFIG!$B$5-CONFIG!$B$6+1),--(VENTAS!$A$6:$A$1005&lt;=CONFIG!$B$5),--(VENTAS!$I$6:$I$1005&lt;&gt;""),--(VENTAS!$I$6:$I$1005&lt;&gt;"OK"))&gt;0),"",MAX(0,(SUMIFS(VENTAS!$C$6:$C$1005,VENTAS!$B$6:$B$1005,A15,VENTAS!$A$6:$A$1005,"&gt;="&amp;CONFIG!$B$5-CONFIG!$B$6+1,VENTAS!$A$6:$A$1005,"&lt;="&amp;CONFIG!$B$5)-SUMIFS(VENTAS!$E$6:$E$1005,VENTAS!$B$6:$B$1005,A15,VENTAS!$A$6:$A$1005,"&gt;="&amp;CONFIG!$B$5-CONFIG!$B$6+1,VENTAS!$A$6:$A$1005,"&lt;="&amp;CONFIG!$B$5))/CONFIG!$B$6)),"")</f>
        <v>0.25</v>
      </c>
      <c r="N15" s="14" t="str">
        <f>IF(K15&lt;&gt;"ELEGIBLE","",IF(AND(E15&gt;0,G15="SI",F15&gt;CONFIG!$B$5,F15&lt;=CONFIG!$B$5+INDEX(CATALOGO!$M$6:$M$105,MATCH(A15,CATALOGO!$A$6:$A$105,0))),E15,0))</f>
        <v/>
      </c>
      <c r="O15" s="14" t="str">
        <f>IF(K15&lt;&gt;"ELEGIBLE","",MAX(0,ROUNDUP(ROUND(M15*(INDEX(CATALOGO!$M$6:$M$105,MATCH(A15,CATALOGO!$A$6:$A$105,0))+CONFIG!$B$7)-L15-N15,10),0)))</f>
        <v/>
      </c>
      <c r="P15" s="14" t="str">
        <f>IF(O15="","",IF(O15=0,0,ROUNDUP(MAX(O15,INDEX(CATALOGO!$N$6:$N$105,MATCH(A15,CATALOGO!$A$6:$A$105,0)))/INDEX(CATALOGO!$O$6:$O$105,MATCH(A15,CATALOGO!$A$6:$A$105,0)),0)*INDEX(CATALOGO!$O$6:$O$105,MATCH(A15,CATALOGO!$A$6:$A$105,0))))</f>
        <v/>
      </c>
      <c r="Q15" s="11">
        <f>IFERROR(IF(OR(A15="",COUNTIF(CATALOGO!$A$6:$A$105,A15)&lt;&gt;1),"",IF(OR(INDEX(CATALOGO!$H$6:$H$105,MATCH(A15,CATALOGO!$A$6:$A$105,0))="",INDEX(CATALOGO!$I$6:$I$105,MATCH(A15,CATALOGO!$A$6:$A$105,0))="",ABS(INDEX(CATALOGO!$H$6:$H$105,MATCH(A15,CATALOGO!$A$6:$A$105,0)))&gt;1000000000,ABS(INDEX(CATALOGO!$I$6:$I$105,MATCH(A15,CATALOGO!$A$6:$A$105,0)))&gt;1000000000),"",INDEX(CATALOGO!$H$6:$H$105,MATCH(A15,CATALOGO!$A$6:$A$105,0))+INDEX(CATALOGO!$I$6:$I$105,MATCH(A15,CATALOGO!$A$6:$A$105,0)))),"")</f>
        <v>495</v>
      </c>
      <c r="R15" s="9">
        <f>IF(OR(A15="",I15="",COUNTIF(CATALOGO!$A$6:$A$105,A15)&lt;&gt;1),"",IF(I15=0,0,IF(OR(Q15="",INDEX(CATALOGO!$N$6:$N$105,MATCH(A15,CATALOGO!$A$6:$A$105,0))="",INDEX(CATALOGO!$O$6:$O$105,MATCH(A15,CATALOGO!$A$6:$A$105,0))="",INDEX(CATALOGO!$O$6:$O$105,MATCH(A15,CATALOGO!$A$6:$A$105,0))&lt;=0),"",IF(OR(I15&lt;INDEX(CATALOGO!$N$6:$N$105,MATCH(A15,CATALOGO!$A$6:$A$105,0)),MOD(I15,INDEX(CATALOGO!$O$6:$O$105,MATCH(A15,CATALOGO!$A$6:$A$105,0)))&lt;&gt;0,J15="",J15&lt;=CONFIG!$B$5,J15&gt;CONFIG!$B$5+91),"",I15*Q15))))</f>
        <v>0</v>
      </c>
      <c r="S15" s="12" t="str">
        <f>IF(A15="","",IF(COUNTIF(CATALOGO!$A$6:$A$105,A15)&lt;&gt;1,"SKU NO VALIDO",IF(I15="","CANTIDAD DESCONOCIDA",IF(I15=0,"SIN COMPRA ELEGIDA",IF(OR(I15&lt;0,I15&gt;1000000),"CANTIDAD INVALIDA",IF(OR(INDEX(CATALOGO!$N$6:$N$105,MATCH(A15,CATALOGO!$A$6:$A$105,0))="",INDEX(CATALOGO!$O$6:$O$105,MATCH(A15,CATALOGO!$A$6:$A$105,0))="",INDEX(CATALOGO!$O$6:$O$105,MATCH(A15,CATALOGO!$A$6:$A$105,0))&lt;=0),"CATALOGO A REVISAR",IF(OR(I15&lt;INDEX(CATALOGO!$N$6:$N$105,MATCH(A15,CATALOGO!$A$6:$A$105,0)),MOD(I15,INDEX(CATALOGO!$O$6:$O$105,MATCH(A15,CATALOGO!$A$6:$A$105,0)))&lt;&gt;0),"NO RESPETA MOQ/PACK",IF(J15="","FALTA FECHA PAGO",IF(Q15="","COSTO DESCONOCIDO",IF(OR(J15&lt;=CONFIG!$B$5,J15&gt;CONFIG!$B$5+91),"FUERA DE 91 DIAS",IF(AND(P15&lt;&gt;"",I15&gt;P15),"EN MODELO · SUPERA PROPUESTA","EN MODELO")))))))))))</f>
        <v>SIN COMPRA ELEGIDA</v>
      </c>
    </row>
    <row r="16" spans="1:19" x14ac:dyDescent="0.45">
      <c r="A16" s="8"/>
      <c r="B16" s="4"/>
      <c r="C16" s="5"/>
      <c r="D16" s="5"/>
      <c r="E16" s="5"/>
      <c r="F16" s="4"/>
      <c r="G16" s="8"/>
      <c r="H16" s="5"/>
      <c r="I16" s="5"/>
      <c r="J16" s="4"/>
      <c r="K16" s="12" t="str">
        <f>IFERROR(IF(A16="","",IF(COUNTIF($A$6:$A$105,A16)&gt;1,"DUPLICADO STOCK",IF(COUNTIF(CATALOGO!$A$6:$A$105,A16)&lt;&gt;1,"SKU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INVALIDA",IF(INDEX(CATALOGO!$F$6:$F$105,MATCH(A16,CATALOGO!$A$6:$A$105,0))&lt;&gt;"ACTIVO",INDEX(CATALOGO!$F$6:$F$105,MATCH(A16,CATALOGO!$A$6:$A$105,0)),IF(OR(B16="",B16&lt;&gt;CONFIG!$B$5),"CONTEO NO VIGENTE",IF(OR(C16="",D16="",E16="",H16=""),"FALTA CAMPO",IF(OR(C16&lt;0,C16&gt;1000000,D16&lt;0,D16&gt;1000000,E16&lt;0,E16&gt;1000000,D16&gt;C16),"REVISAR VALOR",IF(H16&gt;CONFIG!$B$6,"EXPOSICION FUERA DE RANGO",IF(H16&lt;&gt;CONFIG!$B$6,"DISPONIBILIDAD INCOMPLETA",IF(CONFIG!$B$14&lt;&gt;"SI","VENTAS INCOMPLETAS",IF(CONFIG!$B$12&lt;&gt;"SI","POLITICA SIN REVISAR",IF(SUMPRODUCT(--(VENTAS!$B$6:$B$1005=A16),--(VENTAS!$A$6:$A$1005&gt;=CONFIG!$B$5-CONFIG!$B$6+1),--(VENTAS!$A$6:$A$1005&lt;=CONFIG!$B$5),--(VENTAS!$I$6:$I$1005&lt;&gt;""),--(VENTAS!$I$6:$I$1005&lt;&gt;"OK"))&gt;0,"VENTAS A REVISAR",IF(AND(E16&gt;0,OR(F16="",G16&lt;&gt;"SI")),"TRANSITO SIN CONFIRMAR",IF(AND(E16&gt;0,G16="SI",OR(F16&lt;=CONFIG!$B$5,F16&gt;CONFIG!$B$5+INDEX(CATALOGO!$M$6:$M$105,MATCH(A16,CATALOGO!$A$6:$A$105,0)))),"TRANSITO FUERA DEL PLAZO",IF(INDEX(CATALOGO!$T$6:$T$105,MATCH(A16,CATALOGO!$A$6:$A$105,0))&lt;&gt;"OK","CATALOGO A REVISAR",IF(1-INDEX(CATALOGO!$K$6:$K$105,MATCH(A16,CATALOGO!$A$6:$A$105,0))-CONFIG!$B$8&lt;=0,"MARGEN OBJETIVO INVIABLE",IF(INDEX(CATALOGO!$R$6:$R$105,MATCH(A16,CATALOGO!$A$6:$A$105,0))&lt;CONFIG!$B$8,"REVISAR PRECIO O COSTO","ELEGIBLE")))))))))))))))))),"CONFIG INVALIDA")</f>
        <v/>
      </c>
      <c r="L16" s="13" t="str">
        <f t="shared" si="0"/>
        <v/>
      </c>
      <c r="M16" s="12" t="str">
        <f>IFERROR(IF(OR(A16="",CONFIG!$B$14&lt;&gt;"SI",CONFIG!$B$6&lt;1,CONFIG!$B$6&gt;365,CONFIG!$B$6&lt;&gt;INT(CONFIG!$B$6),SUMPRODUCT(--(VENTAS!$B$6:$B$1005=A16),--(VENTAS!$A$6:$A$1005&gt;=CONFIG!$B$5-CONFIG!$B$6+1),--(VENTAS!$A$6:$A$1005&lt;=CONFIG!$B$5),--(VENTAS!$I$6:$I$1005&lt;&gt;""),--(VENTAS!$I$6:$I$1005&lt;&gt;"OK"))&gt;0),"",MAX(0,(SUMIFS(VENTAS!$C$6:$C$1005,VENTAS!$B$6:$B$1005,A16,VENTAS!$A$6:$A$1005,"&gt;="&amp;CONFIG!$B$5-CONFIG!$B$6+1,VENTAS!$A$6:$A$1005,"&lt;="&amp;CONFIG!$B$5)-SUMIFS(VENTAS!$E$6:$E$1005,VENTAS!$B$6:$B$1005,A16,VENTAS!$A$6:$A$1005,"&gt;="&amp;CONFIG!$B$5-CONFIG!$B$6+1,VENTAS!$A$6:$A$1005,"&lt;="&amp;CONFIG!$B$5))/CONFIG!$B$6)),"")</f>
        <v/>
      </c>
      <c r="N16" s="14" t="str">
        <f>IF(K16&lt;&gt;"ELEGIBLE","",IF(AND(E16&gt;0,G16="SI",F16&gt;CONFIG!$B$5,F16&lt;=CONFIG!$B$5+INDEX(CATALOGO!$M$6:$M$105,MATCH(A16,CATALOGO!$A$6:$A$105,0))),E16,0))</f>
        <v/>
      </c>
      <c r="O16" s="14" t="str">
        <f>IF(K16&lt;&gt;"ELEGIBLE","",MAX(0,ROUNDUP(ROUND(M16*(INDEX(CATALOGO!$M$6:$M$105,MATCH(A16,CATALOGO!$A$6:$A$105,0))+CONFIG!$B$7)-L16-N16,10),0)))</f>
        <v/>
      </c>
      <c r="P16" s="14" t="str">
        <f>IF(O16="","",IF(O16=0,0,ROUNDUP(MAX(O16,INDEX(CATALOGO!$N$6:$N$105,MATCH(A16,CATALOGO!$A$6:$A$105,0)))/INDEX(CATALOGO!$O$6:$O$105,MATCH(A16,CATALOGO!$A$6:$A$105,0)),0)*INDEX(CATALOGO!$O$6:$O$105,MATCH(A16,CATALOGO!$A$6:$A$105,0))))</f>
        <v/>
      </c>
      <c r="Q16" s="11" t="str">
        <f>IFERROR(IF(OR(A16="",COUNTIF(CATALOGO!$A$6:$A$105,A16)&lt;&gt;1),"",IF(OR(INDEX(CATALOGO!$H$6:$H$105,MATCH(A16,CATALOGO!$A$6:$A$105,0))="",INDEX(CATALOGO!$I$6:$I$105,MATCH(A16,CATALOGO!$A$6:$A$105,0))="",ABS(INDEX(CATALOGO!$H$6:$H$105,MATCH(A16,CATALOGO!$A$6:$A$105,0)))&gt;1000000000,ABS(INDEX(CATALOGO!$I$6:$I$105,MATCH(A16,CATALOGO!$A$6:$A$105,0)))&gt;1000000000),"",INDEX(CATALOGO!$H$6:$H$105,MATCH(A16,CATALOGO!$A$6:$A$105,0))+INDEX(CATALOGO!$I$6:$I$105,MATCH(A16,CATALOGO!$A$6:$A$105,0)))),"")</f>
        <v/>
      </c>
      <c r="R16" s="9" t="str">
        <f>IF(OR(A16="",I16="",COUNTIF(CATALOGO!$A$6:$A$105,A16)&lt;&gt;1),"",IF(I16=0,0,IF(OR(Q16="",INDEX(CATALOGO!$N$6:$N$105,MATCH(A16,CATALOGO!$A$6:$A$105,0))="",INDEX(CATALOGO!$O$6:$O$105,MATCH(A16,CATALOGO!$A$6:$A$105,0))="",INDEX(CATALOGO!$O$6:$O$105,MATCH(A16,CATALOGO!$A$6:$A$105,0))&lt;=0),"",IF(OR(I16&lt;INDEX(CATALOGO!$N$6:$N$105,MATCH(A16,CATALOGO!$A$6:$A$105,0)),MOD(I16,INDEX(CATALOGO!$O$6:$O$105,MATCH(A16,CATALOGO!$A$6:$A$105,0)))&lt;&gt;0,J16="",J16&lt;=CONFIG!$B$5,J16&gt;CONFIG!$B$5+91),"",I16*Q16))))</f>
        <v/>
      </c>
      <c r="S16" s="12" t="str">
        <f>IF(A16="","",IF(COUNTIF(CATALOGO!$A$6:$A$105,A16)&lt;&gt;1,"SKU NO VALIDO",IF(I16="","CANTIDAD DESCONOCIDA",IF(I16=0,"SIN COMPRA ELEGIDA",IF(OR(I16&lt;0,I16&gt;1000000),"CANTIDAD INVALIDA",IF(OR(INDEX(CATALOGO!$N$6:$N$105,MATCH(A16,CATALOGO!$A$6:$A$105,0))="",INDEX(CATALOGO!$O$6:$O$105,MATCH(A16,CATALOGO!$A$6:$A$105,0))="",INDEX(CATALOGO!$O$6:$O$105,MATCH(A16,CATALOGO!$A$6:$A$105,0))&lt;=0),"CATALOGO A REVISAR",IF(OR(I16&lt;INDEX(CATALOGO!$N$6:$N$105,MATCH(A16,CATALOGO!$A$6:$A$105,0)),MOD(I16,INDEX(CATALOGO!$O$6:$O$105,MATCH(A16,CATALOGO!$A$6:$A$105,0)))&lt;&gt;0),"NO RESPETA MOQ/PACK",IF(J16="","FALTA FECHA PAGO",IF(Q16="","COSTO DESCONOCIDO",IF(OR(J16&lt;=CONFIG!$B$5,J16&gt;CONFIG!$B$5+91),"FUERA DE 91 DIAS",IF(AND(P16&lt;&gt;"",I16&gt;P16),"EN MODELO · SUPERA PROPUESTA","EN MODELO")))))))))))</f>
        <v/>
      </c>
    </row>
    <row r="17" spans="1:19" x14ac:dyDescent="0.45">
      <c r="A17" s="8"/>
      <c r="B17" s="4"/>
      <c r="C17" s="5"/>
      <c r="D17" s="5"/>
      <c r="E17" s="5"/>
      <c r="F17" s="4"/>
      <c r="G17" s="8"/>
      <c r="H17" s="5"/>
      <c r="I17" s="5"/>
      <c r="J17" s="4"/>
      <c r="K17" s="12" t="str">
        <f>IFERROR(IF(A17="","",IF(COUNTIF($A$6:$A$105,A17)&gt;1,"DUPLICADO STOCK",IF(COUNTIF(CATALOGO!$A$6:$A$105,A17)&lt;&gt;1,"SKU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INVALIDA",IF(INDEX(CATALOGO!$F$6:$F$105,MATCH(A17,CATALOGO!$A$6:$A$105,0))&lt;&gt;"ACTIVO",INDEX(CATALOGO!$F$6:$F$105,MATCH(A17,CATALOGO!$A$6:$A$105,0)),IF(OR(B17="",B17&lt;&gt;CONFIG!$B$5),"CONTEO NO VIGENTE",IF(OR(C17="",D17="",E17="",H17=""),"FALTA CAMPO",IF(OR(C17&lt;0,C17&gt;1000000,D17&lt;0,D17&gt;1000000,E17&lt;0,E17&gt;1000000,D17&gt;C17),"REVISAR VALOR",IF(H17&gt;CONFIG!$B$6,"EXPOSICION FUERA DE RANGO",IF(H17&lt;&gt;CONFIG!$B$6,"DISPONIBILIDAD INCOMPLETA",IF(CONFIG!$B$14&lt;&gt;"SI","VENTAS INCOMPLETAS",IF(CONFIG!$B$12&lt;&gt;"SI","POLITICA SIN REVISAR",IF(SUMPRODUCT(--(VENTAS!$B$6:$B$1005=A17),--(VENTAS!$A$6:$A$1005&gt;=CONFIG!$B$5-CONFIG!$B$6+1),--(VENTAS!$A$6:$A$1005&lt;=CONFIG!$B$5),--(VENTAS!$I$6:$I$1005&lt;&gt;""),--(VENTAS!$I$6:$I$1005&lt;&gt;"OK"))&gt;0,"VENTAS A REVISAR",IF(AND(E17&gt;0,OR(F17="",G17&lt;&gt;"SI")),"TRANSITO SIN CONFIRMAR",IF(AND(E17&gt;0,G17="SI",OR(F17&lt;=CONFIG!$B$5,F17&gt;CONFIG!$B$5+INDEX(CATALOGO!$M$6:$M$105,MATCH(A17,CATALOGO!$A$6:$A$105,0)))),"TRANSITO FUERA DEL PLAZO",IF(INDEX(CATALOGO!$T$6:$T$105,MATCH(A17,CATALOGO!$A$6:$A$105,0))&lt;&gt;"OK","CATALOGO A REVISAR",IF(1-INDEX(CATALOGO!$K$6:$K$105,MATCH(A17,CATALOGO!$A$6:$A$105,0))-CONFIG!$B$8&lt;=0,"MARGEN OBJETIVO INVIABLE",IF(INDEX(CATALOGO!$R$6:$R$105,MATCH(A17,CATALOGO!$A$6:$A$105,0))&lt;CONFIG!$B$8,"REVISAR PRECIO O COSTO","ELEGIBLE")))))))))))))))))),"CONFIG INVALIDA")</f>
        <v/>
      </c>
      <c r="L17" s="13" t="str">
        <f t="shared" si="0"/>
        <v/>
      </c>
      <c r="M17" s="12" t="str">
        <f>IFERROR(IF(OR(A17="",CONFIG!$B$14&lt;&gt;"SI",CONFIG!$B$6&lt;1,CONFIG!$B$6&gt;365,CONFIG!$B$6&lt;&gt;INT(CONFIG!$B$6),SUMPRODUCT(--(VENTAS!$B$6:$B$1005=A17),--(VENTAS!$A$6:$A$1005&gt;=CONFIG!$B$5-CONFIG!$B$6+1),--(VENTAS!$A$6:$A$1005&lt;=CONFIG!$B$5),--(VENTAS!$I$6:$I$1005&lt;&gt;""),--(VENTAS!$I$6:$I$1005&lt;&gt;"OK"))&gt;0),"",MAX(0,(SUMIFS(VENTAS!$C$6:$C$1005,VENTAS!$B$6:$B$1005,A17,VENTAS!$A$6:$A$1005,"&gt;="&amp;CONFIG!$B$5-CONFIG!$B$6+1,VENTAS!$A$6:$A$1005,"&lt;="&amp;CONFIG!$B$5)-SUMIFS(VENTAS!$E$6:$E$1005,VENTAS!$B$6:$B$1005,A17,VENTAS!$A$6:$A$1005,"&gt;="&amp;CONFIG!$B$5-CONFIG!$B$6+1,VENTAS!$A$6:$A$1005,"&lt;="&amp;CONFIG!$B$5))/CONFIG!$B$6)),"")</f>
        <v/>
      </c>
      <c r="N17" s="14" t="str">
        <f>IF(K17&lt;&gt;"ELEGIBLE","",IF(AND(E17&gt;0,G17="SI",F17&gt;CONFIG!$B$5,F17&lt;=CONFIG!$B$5+INDEX(CATALOGO!$M$6:$M$105,MATCH(A17,CATALOGO!$A$6:$A$105,0))),E17,0))</f>
        <v/>
      </c>
      <c r="O17" s="14" t="str">
        <f>IF(K17&lt;&gt;"ELEGIBLE","",MAX(0,ROUNDUP(ROUND(M17*(INDEX(CATALOGO!$M$6:$M$105,MATCH(A17,CATALOGO!$A$6:$A$105,0))+CONFIG!$B$7)-L17-N17,10),0)))</f>
        <v/>
      </c>
      <c r="P17" s="14" t="str">
        <f>IF(O17="","",IF(O17=0,0,ROUNDUP(MAX(O17,INDEX(CATALOGO!$N$6:$N$105,MATCH(A17,CATALOGO!$A$6:$A$105,0)))/INDEX(CATALOGO!$O$6:$O$105,MATCH(A17,CATALOGO!$A$6:$A$105,0)),0)*INDEX(CATALOGO!$O$6:$O$105,MATCH(A17,CATALOGO!$A$6:$A$105,0))))</f>
        <v/>
      </c>
      <c r="Q17" s="11" t="str">
        <f>IFERROR(IF(OR(A17="",COUNTIF(CATALOGO!$A$6:$A$105,A17)&lt;&gt;1),"",IF(OR(INDEX(CATALOGO!$H$6:$H$105,MATCH(A17,CATALOGO!$A$6:$A$105,0))="",INDEX(CATALOGO!$I$6:$I$105,MATCH(A17,CATALOGO!$A$6:$A$105,0))="",ABS(INDEX(CATALOGO!$H$6:$H$105,MATCH(A17,CATALOGO!$A$6:$A$105,0)))&gt;1000000000,ABS(INDEX(CATALOGO!$I$6:$I$105,MATCH(A17,CATALOGO!$A$6:$A$105,0)))&gt;1000000000),"",INDEX(CATALOGO!$H$6:$H$105,MATCH(A17,CATALOGO!$A$6:$A$105,0))+INDEX(CATALOGO!$I$6:$I$105,MATCH(A17,CATALOGO!$A$6:$A$105,0)))),"")</f>
        <v/>
      </c>
      <c r="R17" s="9" t="str">
        <f>IF(OR(A17="",I17="",COUNTIF(CATALOGO!$A$6:$A$105,A17)&lt;&gt;1),"",IF(I17=0,0,IF(OR(Q17="",INDEX(CATALOGO!$N$6:$N$105,MATCH(A17,CATALOGO!$A$6:$A$105,0))="",INDEX(CATALOGO!$O$6:$O$105,MATCH(A17,CATALOGO!$A$6:$A$105,0))="",INDEX(CATALOGO!$O$6:$O$105,MATCH(A17,CATALOGO!$A$6:$A$105,0))&lt;=0),"",IF(OR(I17&lt;INDEX(CATALOGO!$N$6:$N$105,MATCH(A17,CATALOGO!$A$6:$A$105,0)),MOD(I17,INDEX(CATALOGO!$O$6:$O$105,MATCH(A17,CATALOGO!$A$6:$A$105,0)))&lt;&gt;0,J17="",J17&lt;=CONFIG!$B$5,J17&gt;CONFIG!$B$5+91),"",I17*Q17))))</f>
        <v/>
      </c>
      <c r="S17" s="12" t="str">
        <f>IF(A17="","",IF(COUNTIF(CATALOGO!$A$6:$A$105,A17)&lt;&gt;1,"SKU NO VALIDO",IF(I17="","CANTIDAD DESCONOCIDA",IF(I17=0,"SIN COMPRA ELEGIDA",IF(OR(I17&lt;0,I17&gt;1000000),"CANTIDAD INVALIDA",IF(OR(INDEX(CATALOGO!$N$6:$N$105,MATCH(A17,CATALOGO!$A$6:$A$105,0))="",INDEX(CATALOGO!$O$6:$O$105,MATCH(A17,CATALOGO!$A$6:$A$105,0))="",INDEX(CATALOGO!$O$6:$O$105,MATCH(A17,CATALOGO!$A$6:$A$105,0))&lt;=0),"CATALOGO A REVISAR",IF(OR(I17&lt;INDEX(CATALOGO!$N$6:$N$105,MATCH(A17,CATALOGO!$A$6:$A$105,0)),MOD(I17,INDEX(CATALOGO!$O$6:$O$105,MATCH(A17,CATALOGO!$A$6:$A$105,0)))&lt;&gt;0),"NO RESPETA MOQ/PACK",IF(J17="","FALTA FECHA PAGO",IF(Q17="","COSTO DESCONOCIDO",IF(OR(J17&lt;=CONFIG!$B$5,J17&gt;CONFIG!$B$5+91),"FUERA DE 91 DIAS",IF(AND(P17&lt;&gt;"",I17&gt;P17),"EN MODELO · SUPERA PROPUESTA","EN MODELO")))))))))))</f>
        <v/>
      </c>
    </row>
    <row r="18" spans="1:19" x14ac:dyDescent="0.45">
      <c r="A18" s="8"/>
      <c r="B18" s="4"/>
      <c r="C18" s="5"/>
      <c r="D18" s="5"/>
      <c r="E18" s="5"/>
      <c r="F18" s="4"/>
      <c r="G18" s="8"/>
      <c r="H18" s="5"/>
      <c r="I18" s="5"/>
      <c r="J18" s="4"/>
      <c r="K18" s="12" t="str">
        <f>IFERROR(IF(A18="","",IF(COUNTIF($A$6:$A$105,A18)&gt;1,"DUPLICADO STOCK",IF(COUNTIF(CATALOGO!$A$6:$A$105,A18)&lt;&gt;1,"SKU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INVALIDA",IF(INDEX(CATALOGO!$F$6:$F$105,MATCH(A18,CATALOGO!$A$6:$A$105,0))&lt;&gt;"ACTIVO",INDEX(CATALOGO!$F$6:$F$105,MATCH(A18,CATALOGO!$A$6:$A$105,0)),IF(OR(B18="",B18&lt;&gt;CONFIG!$B$5),"CONTEO NO VIGENTE",IF(OR(C18="",D18="",E18="",H18=""),"FALTA CAMPO",IF(OR(C18&lt;0,C18&gt;1000000,D18&lt;0,D18&gt;1000000,E18&lt;0,E18&gt;1000000,D18&gt;C18),"REVISAR VALOR",IF(H18&gt;CONFIG!$B$6,"EXPOSICION FUERA DE RANGO",IF(H18&lt;&gt;CONFIG!$B$6,"DISPONIBILIDAD INCOMPLETA",IF(CONFIG!$B$14&lt;&gt;"SI","VENTAS INCOMPLETAS",IF(CONFIG!$B$12&lt;&gt;"SI","POLITICA SIN REVISAR",IF(SUMPRODUCT(--(VENTAS!$B$6:$B$1005=A18),--(VENTAS!$A$6:$A$1005&gt;=CONFIG!$B$5-CONFIG!$B$6+1),--(VENTAS!$A$6:$A$1005&lt;=CONFIG!$B$5),--(VENTAS!$I$6:$I$1005&lt;&gt;""),--(VENTAS!$I$6:$I$1005&lt;&gt;"OK"))&gt;0,"VENTAS A REVISAR",IF(AND(E18&gt;0,OR(F18="",G18&lt;&gt;"SI")),"TRANSITO SIN CONFIRMAR",IF(AND(E18&gt;0,G18="SI",OR(F18&lt;=CONFIG!$B$5,F18&gt;CONFIG!$B$5+INDEX(CATALOGO!$M$6:$M$105,MATCH(A18,CATALOGO!$A$6:$A$105,0)))),"TRANSITO FUERA DEL PLAZO",IF(INDEX(CATALOGO!$T$6:$T$105,MATCH(A18,CATALOGO!$A$6:$A$105,0))&lt;&gt;"OK","CATALOGO A REVISAR",IF(1-INDEX(CATALOGO!$K$6:$K$105,MATCH(A18,CATALOGO!$A$6:$A$105,0))-CONFIG!$B$8&lt;=0,"MARGEN OBJETIVO INVIABLE",IF(INDEX(CATALOGO!$R$6:$R$105,MATCH(A18,CATALOGO!$A$6:$A$105,0))&lt;CONFIG!$B$8,"REVISAR PRECIO O COSTO","ELEGIBLE")))))))))))))))))),"CONFIG INVALIDA")</f>
        <v/>
      </c>
      <c r="L18" s="13" t="str">
        <f t="shared" si="0"/>
        <v/>
      </c>
      <c r="M18" s="12" t="str">
        <f>IFERROR(IF(OR(A18="",CONFIG!$B$14&lt;&gt;"SI",CONFIG!$B$6&lt;1,CONFIG!$B$6&gt;365,CONFIG!$B$6&lt;&gt;INT(CONFIG!$B$6),SUMPRODUCT(--(VENTAS!$B$6:$B$1005=A18),--(VENTAS!$A$6:$A$1005&gt;=CONFIG!$B$5-CONFIG!$B$6+1),--(VENTAS!$A$6:$A$1005&lt;=CONFIG!$B$5),--(VENTAS!$I$6:$I$1005&lt;&gt;""),--(VENTAS!$I$6:$I$1005&lt;&gt;"OK"))&gt;0),"",MAX(0,(SUMIFS(VENTAS!$C$6:$C$1005,VENTAS!$B$6:$B$1005,A18,VENTAS!$A$6:$A$1005,"&gt;="&amp;CONFIG!$B$5-CONFIG!$B$6+1,VENTAS!$A$6:$A$1005,"&lt;="&amp;CONFIG!$B$5)-SUMIFS(VENTAS!$E$6:$E$1005,VENTAS!$B$6:$B$1005,A18,VENTAS!$A$6:$A$1005,"&gt;="&amp;CONFIG!$B$5-CONFIG!$B$6+1,VENTAS!$A$6:$A$1005,"&lt;="&amp;CONFIG!$B$5))/CONFIG!$B$6)),"")</f>
        <v/>
      </c>
      <c r="N18" s="14" t="str">
        <f>IF(K18&lt;&gt;"ELEGIBLE","",IF(AND(E18&gt;0,G18="SI",F18&gt;CONFIG!$B$5,F18&lt;=CONFIG!$B$5+INDEX(CATALOGO!$M$6:$M$105,MATCH(A18,CATALOGO!$A$6:$A$105,0))),E18,0))</f>
        <v/>
      </c>
      <c r="O18" s="14" t="str">
        <f>IF(K18&lt;&gt;"ELEGIBLE","",MAX(0,ROUNDUP(ROUND(M18*(INDEX(CATALOGO!$M$6:$M$105,MATCH(A18,CATALOGO!$A$6:$A$105,0))+CONFIG!$B$7)-L18-N18,10),0)))</f>
        <v/>
      </c>
      <c r="P18" s="14" t="str">
        <f>IF(O18="","",IF(O18=0,0,ROUNDUP(MAX(O18,INDEX(CATALOGO!$N$6:$N$105,MATCH(A18,CATALOGO!$A$6:$A$105,0)))/INDEX(CATALOGO!$O$6:$O$105,MATCH(A18,CATALOGO!$A$6:$A$105,0)),0)*INDEX(CATALOGO!$O$6:$O$105,MATCH(A18,CATALOGO!$A$6:$A$105,0))))</f>
        <v/>
      </c>
      <c r="Q18" s="11" t="str">
        <f>IFERROR(IF(OR(A18="",COUNTIF(CATALOGO!$A$6:$A$105,A18)&lt;&gt;1),"",IF(OR(INDEX(CATALOGO!$H$6:$H$105,MATCH(A18,CATALOGO!$A$6:$A$105,0))="",INDEX(CATALOGO!$I$6:$I$105,MATCH(A18,CATALOGO!$A$6:$A$105,0))="",ABS(INDEX(CATALOGO!$H$6:$H$105,MATCH(A18,CATALOGO!$A$6:$A$105,0)))&gt;1000000000,ABS(INDEX(CATALOGO!$I$6:$I$105,MATCH(A18,CATALOGO!$A$6:$A$105,0)))&gt;1000000000),"",INDEX(CATALOGO!$H$6:$H$105,MATCH(A18,CATALOGO!$A$6:$A$105,0))+INDEX(CATALOGO!$I$6:$I$105,MATCH(A18,CATALOGO!$A$6:$A$105,0)))),"")</f>
        <v/>
      </c>
      <c r="R18" s="9" t="str">
        <f>IF(OR(A18="",I18="",COUNTIF(CATALOGO!$A$6:$A$105,A18)&lt;&gt;1),"",IF(I18=0,0,IF(OR(Q18="",INDEX(CATALOGO!$N$6:$N$105,MATCH(A18,CATALOGO!$A$6:$A$105,0))="",INDEX(CATALOGO!$O$6:$O$105,MATCH(A18,CATALOGO!$A$6:$A$105,0))="",INDEX(CATALOGO!$O$6:$O$105,MATCH(A18,CATALOGO!$A$6:$A$105,0))&lt;=0),"",IF(OR(I18&lt;INDEX(CATALOGO!$N$6:$N$105,MATCH(A18,CATALOGO!$A$6:$A$105,0)),MOD(I18,INDEX(CATALOGO!$O$6:$O$105,MATCH(A18,CATALOGO!$A$6:$A$105,0)))&lt;&gt;0,J18="",J18&lt;=CONFIG!$B$5,J18&gt;CONFIG!$B$5+91),"",I18*Q18))))</f>
        <v/>
      </c>
      <c r="S18" s="12" t="str">
        <f>IF(A18="","",IF(COUNTIF(CATALOGO!$A$6:$A$105,A18)&lt;&gt;1,"SKU NO VALIDO",IF(I18="","CANTIDAD DESCONOCIDA",IF(I18=0,"SIN COMPRA ELEGIDA",IF(OR(I18&lt;0,I18&gt;1000000),"CANTIDAD INVALIDA",IF(OR(INDEX(CATALOGO!$N$6:$N$105,MATCH(A18,CATALOGO!$A$6:$A$105,0))="",INDEX(CATALOGO!$O$6:$O$105,MATCH(A18,CATALOGO!$A$6:$A$105,0))="",INDEX(CATALOGO!$O$6:$O$105,MATCH(A18,CATALOGO!$A$6:$A$105,0))&lt;=0),"CATALOGO A REVISAR",IF(OR(I18&lt;INDEX(CATALOGO!$N$6:$N$105,MATCH(A18,CATALOGO!$A$6:$A$105,0)),MOD(I18,INDEX(CATALOGO!$O$6:$O$105,MATCH(A18,CATALOGO!$A$6:$A$105,0)))&lt;&gt;0),"NO RESPETA MOQ/PACK",IF(J18="","FALTA FECHA PAGO",IF(Q18="","COSTO DESCONOCIDO",IF(OR(J18&lt;=CONFIG!$B$5,J18&gt;CONFIG!$B$5+91),"FUERA DE 91 DIAS",IF(AND(P18&lt;&gt;"",I18&gt;P18),"EN MODELO · SUPERA PROPUESTA","EN MODELO")))))))))))</f>
        <v/>
      </c>
    </row>
    <row r="19" spans="1:19" x14ac:dyDescent="0.45">
      <c r="A19" s="8"/>
      <c r="B19" s="4"/>
      <c r="C19" s="5"/>
      <c r="D19" s="5"/>
      <c r="E19" s="5"/>
      <c r="F19" s="4"/>
      <c r="G19" s="8"/>
      <c r="H19" s="5"/>
      <c r="I19" s="5"/>
      <c r="J19" s="4"/>
      <c r="K19" s="12" t="str">
        <f>IFERROR(IF(A19="","",IF(COUNTIF($A$6:$A$105,A19)&gt;1,"DUPLICADO STOCK",IF(COUNTIF(CATALOGO!$A$6:$A$105,A19)&lt;&gt;1,"SKU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INVALIDA",IF(INDEX(CATALOGO!$F$6:$F$105,MATCH(A19,CATALOGO!$A$6:$A$105,0))&lt;&gt;"ACTIVO",INDEX(CATALOGO!$F$6:$F$105,MATCH(A19,CATALOGO!$A$6:$A$105,0)),IF(OR(B19="",B19&lt;&gt;CONFIG!$B$5),"CONTEO NO VIGENTE",IF(OR(C19="",D19="",E19="",H19=""),"FALTA CAMPO",IF(OR(C19&lt;0,C19&gt;1000000,D19&lt;0,D19&gt;1000000,E19&lt;0,E19&gt;1000000,D19&gt;C19),"REVISAR VALOR",IF(H19&gt;CONFIG!$B$6,"EXPOSICION FUERA DE RANGO",IF(H19&lt;&gt;CONFIG!$B$6,"DISPONIBILIDAD INCOMPLETA",IF(CONFIG!$B$14&lt;&gt;"SI","VENTAS INCOMPLETAS",IF(CONFIG!$B$12&lt;&gt;"SI","POLITICA SIN REVISAR",IF(SUMPRODUCT(--(VENTAS!$B$6:$B$1005=A19),--(VENTAS!$A$6:$A$1005&gt;=CONFIG!$B$5-CONFIG!$B$6+1),--(VENTAS!$A$6:$A$1005&lt;=CONFIG!$B$5),--(VENTAS!$I$6:$I$1005&lt;&gt;""),--(VENTAS!$I$6:$I$1005&lt;&gt;"OK"))&gt;0,"VENTAS A REVISAR",IF(AND(E19&gt;0,OR(F19="",G19&lt;&gt;"SI")),"TRANSITO SIN CONFIRMAR",IF(AND(E19&gt;0,G19="SI",OR(F19&lt;=CONFIG!$B$5,F19&gt;CONFIG!$B$5+INDEX(CATALOGO!$M$6:$M$105,MATCH(A19,CATALOGO!$A$6:$A$105,0)))),"TRANSITO FUERA DEL PLAZO",IF(INDEX(CATALOGO!$T$6:$T$105,MATCH(A19,CATALOGO!$A$6:$A$105,0))&lt;&gt;"OK","CATALOGO A REVISAR",IF(1-INDEX(CATALOGO!$K$6:$K$105,MATCH(A19,CATALOGO!$A$6:$A$105,0))-CONFIG!$B$8&lt;=0,"MARGEN OBJETIVO INVIABLE",IF(INDEX(CATALOGO!$R$6:$R$105,MATCH(A19,CATALOGO!$A$6:$A$105,0))&lt;CONFIG!$B$8,"REVISAR PRECIO O COSTO","ELEGIBLE")))))))))))))))))),"CONFIG INVALIDA")</f>
        <v/>
      </c>
      <c r="L19" s="13" t="str">
        <f t="shared" si="0"/>
        <v/>
      </c>
      <c r="M19" s="12" t="str">
        <f>IFERROR(IF(OR(A19="",CONFIG!$B$14&lt;&gt;"SI",CONFIG!$B$6&lt;1,CONFIG!$B$6&gt;365,CONFIG!$B$6&lt;&gt;INT(CONFIG!$B$6),SUMPRODUCT(--(VENTAS!$B$6:$B$1005=A19),--(VENTAS!$A$6:$A$1005&gt;=CONFIG!$B$5-CONFIG!$B$6+1),--(VENTAS!$A$6:$A$1005&lt;=CONFIG!$B$5),--(VENTAS!$I$6:$I$1005&lt;&gt;""),--(VENTAS!$I$6:$I$1005&lt;&gt;"OK"))&gt;0),"",MAX(0,(SUMIFS(VENTAS!$C$6:$C$1005,VENTAS!$B$6:$B$1005,A19,VENTAS!$A$6:$A$1005,"&gt;="&amp;CONFIG!$B$5-CONFIG!$B$6+1,VENTAS!$A$6:$A$1005,"&lt;="&amp;CONFIG!$B$5)-SUMIFS(VENTAS!$E$6:$E$1005,VENTAS!$B$6:$B$1005,A19,VENTAS!$A$6:$A$1005,"&gt;="&amp;CONFIG!$B$5-CONFIG!$B$6+1,VENTAS!$A$6:$A$1005,"&lt;="&amp;CONFIG!$B$5))/CONFIG!$B$6)),"")</f>
        <v/>
      </c>
      <c r="N19" s="14" t="str">
        <f>IF(K19&lt;&gt;"ELEGIBLE","",IF(AND(E19&gt;0,G19="SI",F19&gt;CONFIG!$B$5,F19&lt;=CONFIG!$B$5+INDEX(CATALOGO!$M$6:$M$105,MATCH(A19,CATALOGO!$A$6:$A$105,0))),E19,0))</f>
        <v/>
      </c>
      <c r="O19" s="14" t="str">
        <f>IF(K19&lt;&gt;"ELEGIBLE","",MAX(0,ROUNDUP(ROUND(M19*(INDEX(CATALOGO!$M$6:$M$105,MATCH(A19,CATALOGO!$A$6:$A$105,0))+CONFIG!$B$7)-L19-N19,10),0)))</f>
        <v/>
      </c>
      <c r="P19" s="14" t="str">
        <f>IF(O19="","",IF(O19=0,0,ROUNDUP(MAX(O19,INDEX(CATALOGO!$N$6:$N$105,MATCH(A19,CATALOGO!$A$6:$A$105,0)))/INDEX(CATALOGO!$O$6:$O$105,MATCH(A19,CATALOGO!$A$6:$A$105,0)),0)*INDEX(CATALOGO!$O$6:$O$105,MATCH(A19,CATALOGO!$A$6:$A$105,0))))</f>
        <v/>
      </c>
      <c r="Q19" s="11" t="str">
        <f>IFERROR(IF(OR(A19="",COUNTIF(CATALOGO!$A$6:$A$105,A19)&lt;&gt;1),"",IF(OR(INDEX(CATALOGO!$H$6:$H$105,MATCH(A19,CATALOGO!$A$6:$A$105,0))="",INDEX(CATALOGO!$I$6:$I$105,MATCH(A19,CATALOGO!$A$6:$A$105,0))="",ABS(INDEX(CATALOGO!$H$6:$H$105,MATCH(A19,CATALOGO!$A$6:$A$105,0)))&gt;1000000000,ABS(INDEX(CATALOGO!$I$6:$I$105,MATCH(A19,CATALOGO!$A$6:$A$105,0)))&gt;1000000000),"",INDEX(CATALOGO!$H$6:$H$105,MATCH(A19,CATALOGO!$A$6:$A$105,0))+INDEX(CATALOGO!$I$6:$I$105,MATCH(A19,CATALOGO!$A$6:$A$105,0)))),"")</f>
        <v/>
      </c>
      <c r="R19" s="9" t="str">
        <f>IF(OR(A19="",I19="",COUNTIF(CATALOGO!$A$6:$A$105,A19)&lt;&gt;1),"",IF(I19=0,0,IF(OR(Q19="",INDEX(CATALOGO!$N$6:$N$105,MATCH(A19,CATALOGO!$A$6:$A$105,0))="",INDEX(CATALOGO!$O$6:$O$105,MATCH(A19,CATALOGO!$A$6:$A$105,0))="",INDEX(CATALOGO!$O$6:$O$105,MATCH(A19,CATALOGO!$A$6:$A$105,0))&lt;=0),"",IF(OR(I19&lt;INDEX(CATALOGO!$N$6:$N$105,MATCH(A19,CATALOGO!$A$6:$A$105,0)),MOD(I19,INDEX(CATALOGO!$O$6:$O$105,MATCH(A19,CATALOGO!$A$6:$A$105,0)))&lt;&gt;0,J19="",J19&lt;=CONFIG!$B$5,J19&gt;CONFIG!$B$5+91),"",I19*Q19))))</f>
        <v/>
      </c>
      <c r="S19" s="12" t="str">
        <f>IF(A19="","",IF(COUNTIF(CATALOGO!$A$6:$A$105,A19)&lt;&gt;1,"SKU NO VALIDO",IF(I19="","CANTIDAD DESCONOCIDA",IF(I19=0,"SIN COMPRA ELEGIDA",IF(OR(I19&lt;0,I19&gt;1000000),"CANTIDAD INVALIDA",IF(OR(INDEX(CATALOGO!$N$6:$N$105,MATCH(A19,CATALOGO!$A$6:$A$105,0))="",INDEX(CATALOGO!$O$6:$O$105,MATCH(A19,CATALOGO!$A$6:$A$105,0))="",INDEX(CATALOGO!$O$6:$O$105,MATCH(A19,CATALOGO!$A$6:$A$105,0))&lt;=0),"CATALOGO A REVISAR",IF(OR(I19&lt;INDEX(CATALOGO!$N$6:$N$105,MATCH(A19,CATALOGO!$A$6:$A$105,0)),MOD(I19,INDEX(CATALOGO!$O$6:$O$105,MATCH(A19,CATALOGO!$A$6:$A$105,0)))&lt;&gt;0),"NO RESPETA MOQ/PACK",IF(J19="","FALTA FECHA PAGO",IF(Q19="","COSTO DESCONOCIDO",IF(OR(J19&lt;=CONFIG!$B$5,J19&gt;CONFIG!$B$5+91),"FUERA DE 91 DIAS",IF(AND(P19&lt;&gt;"",I19&gt;P19),"EN MODELO · SUPERA PROPUESTA","EN MODELO")))))))))))</f>
        <v/>
      </c>
    </row>
    <row r="20" spans="1:19" x14ac:dyDescent="0.45">
      <c r="A20" s="8"/>
      <c r="B20" s="4"/>
      <c r="C20" s="5"/>
      <c r="D20" s="5"/>
      <c r="E20" s="5"/>
      <c r="F20" s="4"/>
      <c r="G20" s="8"/>
      <c r="H20" s="5"/>
      <c r="I20" s="5"/>
      <c r="J20" s="4"/>
      <c r="K20" s="12" t="str">
        <f>IFERROR(IF(A20="","",IF(COUNTIF($A$6:$A$105,A20)&gt;1,"DUPLICADO STOCK",IF(COUNTIF(CATALOGO!$A$6:$A$105,A20)&lt;&gt;1,"SKU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INVALIDA",IF(INDEX(CATALOGO!$F$6:$F$105,MATCH(A20,CATALOGO!$A$6:$A$105,0))&lt;&gt;"ACTIVO",INDEX(CATALOGO!$F$6:$F$105,MATCH(A20,CATALOGO!$A$6:$A$105,0)),IF(OR(B20="",B20&lt;&gt;CONFIG!$B$5),"CONTEO NO VIGENTE",IF(OR(C20="",D20="",E20="",H20=""),"FALTA CAMPO",IF(OR(C20&lt;0,C20&gt;1000000,D20&lt;0,D20&gt;1000000,E20&lt;0,E20&gt;1000000,D20&gt;C20),"REVISAR VALOR",IF(H20&gt;CONFIG!$B$6,"EXPOSICION FUERA DE RANGO",IF(H20&lt;&gt;CONFIG!$B$6,"DISPONIBILIDAD INCOMPLETA",IF(CONFIG!$B$14&lt;&gt;"SI","VENTAS INCOMPLETAS",IF(CONFIG!$B$12&lt;&gt;"SI","POLITICA SIN REVISAR",IF(SUMPRODUCT(--(VENTAS!$B$6:$B$1005=A20),--(VENTAS!$A$6:$A$1005&gt;=CONFIG!$B$5-CONFIG!$B$6+1),--(VENTAS!$A$6:$A$1005&lt;=CONFIG!$B$5),--(VENTAS!$I$6:$I$1005&lt;&gt;""),--(VENTAS!$I$6:$I$1005&lt;&gt;"OK"))&gt;0,"VENTAS A REVISAR",IF(AND(E20&gt;0,OR(F20="",G20&lt;&gt;"SI")),"TRANSITO SIN CONFIRMAR",IF(AND(E20&gt;0,G20="SI",OR(F20&lt;=CONFIG!$B$5,F20&gt;CONFIG!$B$5+INDEX(CATALOGO!$M$6:$M$105,MATCH(A20,CATALOGO!$A$6:$A$105,0)))),"TRANSITO FUERA DEL PLAZO",IF(INDEX(CATALOGO!$T$6:$T$105,MATCH(A20,CATALOGO!$A$6:$A$105,0))&lt;&gt;"OK","CATALOGO A REVISAR",IF(1-INDEX(CATALOGO!$K$6:$K$105,MATCH(A20,CATALOGO!$A$6:$A$105,0))-CONFIG!$B$8&lt;=0,"MARGEN OBJETIVO INVIABLE",IF(INDEX(CATALOGO!$R$6:$R$105,MATCH(A20,CATALOGO!$A$6:$A$105,0))&lt;CONFIG!$B$8,"REVISAR PRECIO O COSTO","ELEGIBLE")))))))))))))))))),"CONFIG INVALIDA")</f>
        <v/>
      </c>
      <c r="L20" s="13" t="str">
        <f t="shared" si="0"/>
        <v/>
      </c>
      <c r="M20" s="12" t="str">
        <f>IFERROR(IF(OR(A20="",CONFIG!$B$14&lt;&gt;"SI",CONFIG!$B$6&lt;1,CONFIG!$B$6&gt;365,CONFIG!$B$6&lt;&gt;INT(CONFIG!$B$6),SUMPRODUCT(--(VENTAS!$B$6:$B$1005=A20),--(VENTAS!$A$6:$A$1005&gt;=CONFIG!$B$5-CONFIG!$B$6+1),--(VENTAS!$A$6:$A$1005&lt;=CONFIG!$B$5),--(VENTAS!$I$6:$I$1005&lt;&gt;""),--(VENTAS!$I$6:$I$1005&lt;&gt;"OK"))&gt;0),"",MAX(0,(SUMIFS(VENTAS!$C$6:$C$1005,VENTAS!$B$6:$B$1005,A20,VENTAS!$A$6:$A$1005,"&gt;="&amp;CONFIG!$B$5-CONFIG!$B$6+1,VENTAS!$A$6:$A$1005,"&lt;="&amp;CONFIG!$B$5)-SUMIFS(VENTAS!$E$6:$E$1005,VENTAS!$B$6:$B$1005,A20,VENTAS!$A$6:$A$1005,"&gt;="&amp;CONFIG!$B$5-CONFIG!$B$6+1,VENTAS!$A$6:$A$1005,"&lt;="&amp;CONFIG!$B$5))/CONFIG!$B$6)),"")</f>
        <v/>
      </c>
      <c r="N20" s="14" t="str">
        <f>IF(K20&lt;&gt;"ELEGIBLE","",IF(AND(E20&gt;0,G20="SI",F20&gt;CONFIG!$B$5,F20&lt;=CONFIG!$B$5+INDEX(CATALOGO!$M$6:$M$105,MATCH(A20,CATALOGO!$A$6:$A$105,0))),E20,0))</f>
        <v/>
      </c>
      <c r="O20" s="14" t="str">
        <f>IF(K20&lt;&gt;"ELEGIBLE","",MAX(0,ROUNDUP(ROUND(M20*(INDEX(CATALOGO!$M$6:$M$105,MATCH(A20,CATALOGO!$A$6:$A$105,0))+CONFIG!$B$7)-L20-N20,10),0)))</f>
        <v/>
      </c>
      <c r="P20" s="14" t="str">
        <f>IF(O20="","",IF(O20=0,0,ROUNDUP(MAX(O20,INDEX(CATALOGO!$N$6:$N$105,MATCH(A20,CATALOGO!$A$6:$A$105,0)))/INDEX(CATALOGO!$O$6:$O$105,MATCH(A20,CATALOGO!$A$6:$A$105,0)),0)*INDEX(CATALOGO!$O$6:$O$105,MATCH(A20,CATALOGO!$A$6:$A$105,0))))</f>
        <v/>
      </c>
      <c r="Q20" s="11" t="str">
        <f>IFERROR(IF(OR(A20="",COUNTIF(CATALOGO!$A$6:$A$105,A20)&lt;&gt;1),"",IF(OR(INDEX(CATALOGO!$H$6:$H$105,MATCH(A20,CATALOGO!$A$6:$A$105,0))="",INDEX(CATALOGO!$I$6:$I$105,MATCH(A20,CATALOGO!$A$6:$A$105,0))="",ABS(INDEX(CATALOGO!$H$6:$H$105,MATCH(A20,CATALOGO!$A$6:$A$105,0)))&gt;1000000000,ABS(INDEX(CATALOGO!$I$6:$I$105,MATCH(A20,CATALOGO!$A$6:$A$105,0)))&gt;1000000000),"",INDEX(CATALOGO!$H$6:$H$105,MATCH(A20,CATALOGO!$A$6:$A$105,0))+INDEX(CATALOGO!$I$6:$I$105,MATCH(A20,CATALOGO!$A$6:$A$105,0)))),"")</f>
        <v/>
      </c>
      <c r="R20" s="9" t="str">
        <f>IF(OR(A20="",I20="",COUNTIF(CATALOGO!$A$6:$A$105,A20)&lt;&gt;1),"",IF(I20=0,0,IF(OR(Q20="",INDEX(CATALOGO!$N$6:$N$105,MATCH(A20,CATALOGO!$A$6:$A$105,0))="",INDEX(CATALOGO!$O$6:$O$105,MATCH(A20,CATALOGO!$A$6:$A$105,0))="",INDEX(CATALOGO!$O$6:$O$105,MATCH(A20,CATALOGO!$A$6:$A$105,0))&lt;=0),"",IF(OR(I20&lt;INDEX(CATALOGO!$N$6:$N$105,MATCH(A20,CATALOGO!$A$6:$A$105,0)),MOD(I20,INDEX(CATALOGO!$O$6:$O$105,MATCH(A20,CATALOGO!$A$6:$A$105,0)))&lt;&gt;0,J20="",J20&lt;=CONFIG!$B$5,J20&gt;CONFIG!$B$5+91),"",I20*Q20))))</f>
        <v/>
      </c>
      <c r="S20" s="12" t="str">
        <f>IF(A20="","",IF(COUNTIF(CATALOGO!$A$6:$A$105,A20)&lt;&gt;1,"SKU NO VALIDO",IF(I20="","CANTIDAD DESCONOCIDA",IF(I20=0,"SIN COMPRA ELEGIDA",IF(OR(I20&lt;0,I20&gt;1000000),"CANTIDAD INVALIDA",IF(OR(INDEX(CATALOGO!$N$6:$N$105,MATCH(A20,CATALOGO!$A$6:$A$105,0))="",INDEX(CATALOGO!$O$6:$O$105,MATCH(A20,CATALOGO!$A$6:$A$105,0))="",INDEX(CATALOGO!$O$6:$O$105,MATCH(A20,CATALOGO!$A$6:$A$105,0))&lt;=0),"CATALOGO A REVISAR",IF(OR(I20&lt;INDEX(CATALOGO!$N$6:$N$105,MATCH(A20,CATALOGO!$A$6:$A$105,0)),MOD(I20,INDEX(CATALOGO!$O$6:$O$105,MATCH(A20,CATALOGO!$A$6:$A$105,0)))&lt;&gt;0),"NO RESPETA MOQ/PACK",IF(J20="","FALTA FECHA PAGO",IF(Q20="","COSTO DESCONOCIDO",IF(OR(J20&lt;=CONFIG!$B$5,J20&gt;CONFIG!$B$5+91),"FUERA DE 91 DIAS",IF(AND(P20&lt;&gt;"",I20&gt;P20),"EN MODELO · SUPERA PROPUESTA","EN MODELO")))))))))))</f>
        <v/>
      </c>
    </row>
    <row r="21" spans="1:19" x14ac:dyDescent="0.45">
      <c r="A21" s="8"/>
      <c r="B21" s="4"/>
      <c r="C21" s="5"/>
      <c r="D21" s="5"/>
      <c r="E21" s="5"/>
      <c r="F21" s="4"/>
      <c r="G21" s="8"/>
      <c r="H21" s="5"/>
      <c r="I21" s="5"/>
      <c r="J21" s="4"/>
      <c r="K21" s="12" t="str">
        <f>IFERROR(IF(A21="","",IF(COUNTIF($A$6:$A$105,A21)&gt;1,"DUPLICADO STOCK",IF(COUNTIF(CATALOGO!$A$6:$A$105,A21)&lt;&gt;1,"SKU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INVALIDA",IF(INDEX(CATALOGO!$F$6:$F$105,MATCH(A21,CATALOGO!$A$6:$A$105,0))&lt;&gt;"ACTIVO",INDEX(CATALOGO!$F$6:$F$105,MATCH(A21,CATALOGO!$A$6:$A$105,0)),IF(OR(B21="",B21&lt;&gt;CONFIG!$B$5),"CONTEO NO VIGENTE",IF(OR(C21="",D21="",E21="",H21=""),"FALTA CAMPO",IF(OR(C21&lt;0,C21&gt;1000000,D21&lt;0,D21&gt;1000000,E21&lt;0,E21&gt;1000000,D21&gt;C21),"REVISAR VALOR",IF(H21&gt;CONFIG!$B$6,"EXPOSICION FUERA DE RANGO",IF(H21&lt;&gt;CONFIG!$B$6,"DISPONIBILIDAD INCOMPLETA",IF(CONFIG!$B$14&lt;&gt;"SI","VENTAS INCOMPLETAS",IF(CONFIG!$B$12&lt;&gt;"SI","POLITICA SIN REVISAR",IF(SUMPRODUCT(--(VENTAS!$B$6:$B$1005=A21),--(VENTAS!$A$6:$A$1005&gt;=CONFIG!$B$5-CONFIG!$B$6+1),--(VENTAS!$A$6:$A$1005&lt;=CONFIG!$B$5),--(VENTAS!$I$6:$I$1005&lt;&gt;""),--(VENTAS!$I$6:$I$1005&lt;&gt;"OK"))&gt;0,"VENTAS A REVISAR",IF(AND(E21&gt;0,OR(F21="",G21&lt;&gt;"SI")),"TRANSITO SIN CONFIRMAR",IF(AND(E21&gt;0,G21="SI",OR(F21&lt;=CONFIG!$B$5,F21&gt;CONFIG!$B$5+INDEX(CATALOGO!$M$6:$M$105,MATCH(A21,CATALOGO!$A$6:$A$105,0)))),"TRANSITO FUERA DEL PLAZO",IF(INDEX(CATALOGO!$T$6:$T$105,MATCH(A21,CATALOGO!$A$6:$A$105,0))&lt;&gt;"OK","CATALOGO A REVISAR",IF(1-INDEX(CATALOGO!$K$6:$K$105,MATCH(A21,CATALOGO!$A$6:$A$105,0))-CONFIG!$B$8&lt;=0,"MARGEN OBJETIVO INVIABLE",IF(INDEX(CATALOGO!$R$6:$R$105,MATCH(A21,CATALOGO!$A$6:$A$105,0))&lt;CONFIG!$B$8,"REVISAR PRECIO O COSTO","ELEGIBLE")))))))))))))))))),"CONFIG INVALIDA")</f>
        <v/>
      </c>
      <c r="L21" s="13" t="str">
        <f t="shared" si="0"/>
        <v/>
      </c>
      <c r="M21" s="12" t="str">
        <f>IFERROR(IF(OR(A21="",CONFIG!$B$14&lt;&gt;"SI",CONFIG!$B$6&lt;1,CONFIG!$B$6&gt;365,CONFIG!$B$6&lt;&gt;INT(CONFIG!$B$6),SUMPRODUCT(--(VENTAS!$B$6:$B$1005=A21),--(VENTAS!$A$6:$A$1005&gt;=CONFIG!$B$5-CONFIG!$B$6+1),--(VENTAS!$A$6:$A$1005&lt;=CONFIG!$B$5),--(VENTAS!$I$6:$I$1005&lt;&gt;""),--(VENTAS!$I$6:$I$1005&lt;&gt;"OK"))&gt;0),"",MAX(0,(SUMIFS(VENTAS!$C$6:$C$1005,VENTAS!$B$6:$B$1005,A21,VENTAS!$A$6:$A$1005,"&gt;="&amp;CONFIG!$B$5-CONFIG!$B$6+1,VENTAS!$A$6:$A$1005,"&lt;="&amp;CONFIG!$B$5)-SUMIFS(VENTAS!$E$6:$E$1005,VENTAS!$B$6:$B$1005,A21,VENTAS!$A$6:$A$1005,"&gt;="&amp;CONFIG!$B$5-CONFIG!$B$6+1,VENTAS!$A$6:$A$1005,"&lt;="&amp;CONFIG!$B$5))/CONFIG!$B$6)),"")</f>
        <v/>
      </c>
      <c r="N21" s="14" t="str">
        <f>IF(K21&lt;&gt;"ELEGIBLE","",IF(AND(E21&gt;0,G21="SI",F21&gt;CONFIG!$B$5,F21&lt;=CONFIG!$B$5+INDEX(CATALOGO!$M$6:$M$105,MATCH(A21,CATALOGO!$A$6:$A$105,0))),E21,0))</f>
        <v/>
      </c>
      <c r="O21" s="14" t="str">
        <f>IF(K21&lt;&gt;"ELEGIBLE","",MAX(0,ROUNDUP(ROUND(M21*(INDEX(CATALOGO!$M$6:$M$105,MATCH(A21,CATALOGO!$A$6:$A$105,0))+CONFIG!$B$7)-L21-N21,10),0)))</f>
        <v/>
      </c>
      <c r="P21" s="14" t="str">
        <f>IF(O21="","",IF(O21=0,0,ROUNDUP(MAX(O21,INDEX(CATALOGO!$N$6:$N$105,MATCH(A21,CATALOGO!$A$6:$A$105,0)))/INDEX(CATALOGO!$O$6:$O$105,MATCH(A21,CATALOGO!$A$6:$A$105,0)),0)*INDEX(CATALOGO!$O$6:$O$105,MATCH(A21,CATALOGO!$A$6:$A$105,0))))</f>
        <v/>
      </c>
      <c r="Q21" s="11" t="str">
        <f>IFERROR(IF(OR(A21="",COUNTIF(CATALOGO!$A$6:$A$105,A21)&lt;&gt;1),"",IF(OR(INDEX(CATALOGO!$H$6:$H$105,MATCH(A21,CATALOGO!$A$6:$A$105,0))="",INDEX(CATALOGO!$I$6:$I$105,MATCH(A21,CATALOGO!$A$6:$A$105,0))="",ABS(INDEX(CATALOGO!$H$6:$H$105,MATCH(A21,CATALOGO!$A$6:$A$105,0)))&gt;1000000000,ABS(INDEX(CATALOGO!$I$6:$I$105,MATCH(A21,CATALOGO!$A$6:$A$105,0)))&gt;1000000000),"",INDEX(CATALOGO!$H$6:$H$105,MATCH(A21,CATALOGO!$A$6:$A$105,0))+INDEX(CATALOGO!$I$6:$I$105,MATCH(A21,CATALOGO!$A$6:$A$105,0)))),"")</f>
        <v/>
      </c>
      <c r="R21" s="9" t="str">
        <f>IF(OR(A21="",I21="",COUNTIF(CATALOGO!$A$6:$A$105,A21)&lt;&gt;1),"",IF(I21=0,0,IF(OR(Q21="",INDEX(CATALOGO!$N$6:$N$105,MATCH(A21,CATALOGO!$A$6:$A$105,0))="",INDEX(CATALOGO!$O$6:$O$105,MATCH(A21,CATALOGO!$A$6:$A$105,0))="",INDEX(CATALOGO!$O$6:$O$105,MATCH(A21,CATALOGO!$A$6:$A$105,0))&lt;=0),"",IF(OR(I21&lt;INDEX(CATALOGO!$N$6:$N$105,MATCH(A21,CATALOGO!$A$6:$A$105,0)),MOD(I21,INDEX(CATALOGO!$O$6:$O$105,MATCH(A21,CATALOGO!$A$6:$A$105,0)))&lt;&gt;0,J21="",J21&lt;=CONFIG!$B$5,J21&gt;CONFIG!$B$5+91),"",I21*Q21))))</f>
        <v/>
      </c>
      <c r="S21" s="12" t="str">
        <f>IF(A21="","",IF(COUNTIF(CATALOGO!$A$6:$A$105,A21)&lt;&gt;1,"SKU NO VALIDO",IF(I21="","CANTIDAD DESCONOCIDA",IF(I21=0,"SIN COMPRA ELEGIDA",IF(OR(I21&lt;0,I21&gt;1000000),"CANTIDAD INVALIDA",IF(OR(INDEX(CATALOGO!$N$6:$N$105,MATCH(A21,CATALOGO!$A$6:$A$105,0))="",INDEX(CATALOGO!$O$6:$O$105,MATCH(A21,CATALOGO!$A$6:$A$105,0))="",INDEX(CATALOGO!$O$6:$O$105,MATCH(A21,CATALOGO!$A$6:$A$105,0))&lt;=0),"CATALOGO A REVISAR",IF(OR(I21&lt;INDEX(CATALOGO!$N$6:$N$105,MATCH(A21,CATALOGO!$A$6:$A$105,0)),MOD(I21,INDEX(CATALOGO!$O$6:$O$105,MATCH(A21,CATALOGO!$A$6:$A$105,0)))&lt;&gt;0),"NO RESPETA MOQ/PACK",IF(J21="","FALTA FECHA PAGO",IF(Q21="","COSTO DESCONOCIDO",IF(OR(J21&lt;=CONFIG!$B$5,J21&gt;CONFIG!$B$5+91),"FUERA DE 91 DIAS",IF(AND(P21&lt;&gt;"",I21&gt;P21),"EN MODELO · SUPERA PROPUESTA","EN MODELO")))))))))))</f>
        <v/>
      </c>
    </row>
    <row r="22" spans="1:19" x14ac:dyDescent="0.45">
      <c r="A22" s="8"/>
      <c r="B22" s="4"/>
      <c r="C22" s="5"/>
      <c r="D22" s="5"/>
      <c r="E22" s="5"/>
      <c r="F22" s="4"/>
      <c r="G22" s="8"/>
      <c r="H22" s="5"/>
      <c r="I22" s="5"/>
      <c r="J22" s="4"/>
      <c r="K22" s="12" t="str">
        <f>IFERROR(IF(A22="","",IF(COUNTIF($A$6:$A$105,A22)&gt;1,"DUPLICADO STOCK",IF(COUNTIF(CATALOGO!$A$6:$A$105,A22)&lt;&gt;1,"SKU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INVALIDA",IF(INDEX(CATALOGO!$F$6:$F$105,MATCH(A22,CATALOGO!$A$6:$A$105,0))&lt;&gt;"ACTIVO",INDEX(CATALOGO!$F$6:$F$105,MATCH(A22,CATALOGO!$A$6:$A$105,0)),IF(OR(B22="",B22&lt;&gt;CONFIG!$B$5),"CONTEO NO VIGENTE",IF(OR(C22="",D22="",E22="",H22=""),"FALTA CAMPO",IF(OR(C22&lt;0,C22&gt;1000000,D22&lt;0,D22&gt;1000000,E22&lt;0,E22&gt;1000000,D22&gt;C22),"REVISAR VALOR",IF(H22&gt;CONFIG!$B$6,"EXPOSICION FUERA DE RANGO",IF(H22&lt;&gt;CONFIG!$B$6,"DISPONIBILIDAD INCOMPLETA",IF(CONFIG!$B$14&lt;&gt;"SI","VENTAS INCOMPLETAS",IF(CONFIG!$B$12&lt;&gt;"SI","POLITICA SIN REVISAR",IF(SUMPRODUCT(--(VENTAS!$B$6:$B$1005=A22),--(VENTAS!$A$6:$A$1005&gt;=CONFIG!$B$5-CONFIG!$B$6+1),--(VENTAS!$A$6:$A$1005&lt;=CONFIG!$B$5),--(VENTAS!$I$6:$I$1005&lt;&gt;""),--(VENTAS!$I$6:$I$1005&lt;&gt;"OK"))&gt;0,"VENTAS A REVISAR",IF(AND(E22&gt;0,OR(F22="",G22&lt;&gt;"SI")),"TRANSITO SIN CONFIRMAR",IF(AND(E22&gt;0,G22="SI",OR(F22&lt;=CONFIG!$B$5,F22&gt;CONFIG!$B$5+INDEX(CATALOGO!$M$6:$M$105,MATCH(A22,CATALOGO!$A$6:$A$105,0)))),"TRANSITO FUERA DEL PLAZO",IF(INDEX(CATALOGO!$T$6:$T$105,MATCH(A22,CATALOGO!$A$6:$A$105,0))&lt;&gt;"OK","CATALOGO A REVISAR",IF(1-INDEX(CATALOGO!$K$6:$K$105,MATCH(A22,CATALOGO!$A$6:$A$105,0))-CONFIG!$B$8&lt;=0,"MARGEN OBJETIVO INVIABLE",IF(INDEX(CATALOGO!$R$6:$R$105,MATCH(A22,CATALOGO!$A$6:$A$105,0))&lt;CONFIG!$B$8,"REVISAR PRECIO O COSTO","ELEGIBLE")))))))))))))))))),"CONFIG INVALIDA")</f>
        <v/>
      </c>
      <c r="L22" s="13" t="str">
        <f t="shared" si="0"/>
        <v/>
      </c>
      <c r="M22" s="12" t="str">
        <f>IFERROR(IF(OR(A22="",CONFIG!$B$14&lt;&gt;"SI",CONFIG!$B$6&lt;1,CONFIG!$B$6&gt;365,CONFIG!$B$6&lt;&gt;INT(CONFIG!$B$6),SUMPRODUCT(--(VENTAS!$B$6:$B$1005=A22),--(VENTAS!$A$6:$A$1005&gt;=CONFIG!$B$5-CONFIG!$B$6+1),--(VENTAS!$A$6:$A$1005&lt;=CONFIG!$B$5),--(VENTAS!$I$6:$I$1005&lt;&gt;""),--(VENTAS!$I$6:$I$1005&lt;&gt;"OK"))&gt;0),"",MAX(0,(SUMIFS(VENTAS!$C$6:$C$1005,VENTAS!$B$6:$B$1005,A22,VENTAS!$A$6:$A$1005,"&gt;="&amp;CONFIG!$B$5-CONFIG!$B$6+1,VENTAS!$A$6:$A$1005,"&lt;="&amp;CONFIG!$B$5)-SUMIFS(VENTAS!$E$6:$E$1005,VENTAS!$B$6:$B$1005,A22,VENTAS!$A$6:$A$1005,"&gt;="&amp;CONFIG!$B$5-CONFIG!$B$6+1,VENTAS!$A$6:$A$1005,"&lt;="&amp;CONFIG!$B$5))/CONFIG!$B$6)),"")</f>
        <v/>
      </c>
      <c r="N22" s="14" t="str">
        <f>IF(K22&lt;&gt;"ELEGIBLE","",IF(AND(E22&gt;0,G22="SI",F22&gt;CONFIG!$B$5,F22&lt;=CONFIG!$B$5+INDEX(CATALOGO!$M$6:$M$105,MATCH(A22,CATALOGO!$A$6:$A$105,0))),E22,0))</f>
        <v/>
      </c>
      <c r="O22" s="14" t="str">
        <f>IF(K22&lt;&gt;"ELEGIBLE","",MAX(0,ROUNDUP(ROUND(M22*(INDEX(CATALOGO!$M$6:$M$105,MATCH(A22,CATALOGO!$A$6:$A$105,0))+CONFIG!$B$7)-L22-N22,10),0)))</f>
        <v/>
      </c>
      <c r="P22" s="14" t="str">
        <f>IF(O22="","",IF(O22=0,0,ROUNDUP(MAX(O22,INDEX(CATALOGO!$N$6:$N$105,MATCH(A22,CATALOGO!$A$6:$A$105,0)))/INDEX(CATALOGO!$O$6:$O$105,MATCH(A22,CATALOGO!$A$6:$A$105,0)),0)*INDEX(CATALOGO!$O$6:$O$105,MATCH(A22,CATALOGO!$A$6:$A$105,0))))</f>
        <v/>
      </c>
      <c r="Q22" s="11" t="str">
        <f>IFERROR(IF(OR(A22="",COUNTIF(CATALOGO!$A$6:$A$105,A22)&lt;&gt;1),"",IF(OR(INDEX(CATALOGO!$H$6:$H$105,MATCH(A22,CATALOGO!$A$6:$A$105,0))="",INDEX(CATALOGO!$I$6:$I$105,MATCH(A22,CATALOGO!$A$6:$A$105,0))="",ABS(INDEX(CATALOGO!$H$6:$H$105,MATCH(A22,CATALOGO!$A$6:$A$105,0)))&gt;1000000000,ABS(INDEX(CATALOGO!$I$6:$I$105,MATCH(A22,CATALOGO!$A$6:$A$105,0)))&gt;1000000000),"",INDEX(CATALOGO!$H$6:$H$105,MATCH(A22,CATALOGO!$A$6:$A$105,0))+INDEX(CATALOGO!$I$6:$I$105,MATCH(A22,CATALOGO!$A$6:$A$105,0)))),"")</f>
        <v/>
      </c>
      <c r="R22" s="9" t="str">
        <f>IF(OR(A22="",I22="",COUNTIF(CATALOGO!$A$6:$A$105,A22)&lt;&gt;1),"",IF(I22=0,0,IF(OR(Q22="",INDEX(CATALOGO!$N$6:$N$105,MATCH(A22,CATALOGO!$A$6:$A$105,0))="",INDEX(CATALOGO!$O$6:$O$105,MATCH(A22,CATALOGO!$A$6:$A$105,0))="",INDEX(CATALOGO!$O$6:$O$105,MATCH(A22,CATALOGO!$A$6:$A$105,0))&lt;=0),"",IF(OR(I22&lt;INDEX(CATALOGO!$N$6:$N$105,MATCH(A22,CATALOGO!$A$6:$A$105,0)),MOD(I22,INDEX(CATALOGO!$O$6:$O$105,MATCH(A22,CATALOGO!$A$6:$A$105,0)))&lt;&gt;0,J22="",J22&lt;=CONFIG!$B$5,J22&gt;CONFIG!$B$5+91),"",I22*Q22))))</f>
        <v/>
      </c>
      <c r="S22" s="12" t="str">
        <f>IF(A22="","",IF(COUNTIF(CATALOGO!$A$6:$A$105,A22)&lt;&gt;1,"SKU NO VALIDO",IF(I22="","CANTIDAD DESCONOCIDA",IF(I22=0,"SIN COMPRA ELEGIDA",IF(OR(I22&lt;0,I22&gt;1000000),"CANTIDAD INVALIDA",IF(OR(INDEX(CATALOGO!$N$6:$N$105,MATCH(A22,CATALOGO!$A$6:$A$105,0))="",INDEX(CATALOGO!$O$6:$O$105,MATCH(A22,CATALOGO!$A$6:$A$105,0))="",INDEX(CATALOGO!$O$6:$O$105,MATCH(A22,CATALOGO!$A$6:$A$105,0))&lt;=0),"CATALOGO A REVISAR",IF(OR(I22&lt;INDEX(CATALOGO!$N$6:$N$105,MATCH(A22,CATALOGO!$A$6:$A$105,0)),MOD(I22,INDEX(CATALOGO!$O$6:$O$105,MATCH(A22,CATALOGO!$A$6:$A$105,0)))&lt;&gt;0),"NO RESPETA MOQ/PACK",IF(J22="","FALTA FECHA PAGO",IF(Q22="","COSTO DESCONOCIDO",IF(OR(J22&lt;=CONFIG!$B$5,J22&gt;CONFIG!$B$5+91),"FUERA DE 91 DIAS",IF(AND(P22&lt;&gt;"",I22&gt;P22),"EN MODELO · SUPERA PROPUESTA","EN MODELO")))))))))))</f>
        <v/>
      </c>
    </row>
    <row r="23" spans="1:19" x14ac:dyDescent="0.45">
      <c r="A23" s="8"/>
      <c r="B23" s="4"/>
      <c r="C23" s="5"/>
      <c r="D23" s="5"/>
      <c r="E23" s="5"/>
      <c r="F23" s="4"/>
      <c r="G23" s="8"/>
      <c r="H23" s="5"/>
      <c r="I23" s="5"/>
      <c r="J23" s="4"/>
      <c r="K23" s="12" t="str">
        <f>IFERROR(IF(A23="","",IF(COUNTIF($A$6:$A$105,A23)&gt;1,"DUPLICADO STOCK",IF(COUNTIF(CATALOGO!$A$6:$A$105,A23)&lt;&gt;1,"SKU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INVALIDA",IF(INDEX(CATALOGO!$F$6:$F$105,MATCH(A23,CATALOGO!$A$6:$A$105,0))&lt;&gt;"ACTIVO",INDEX(CATALOGO!$F$6:$F$105,MATCH(A23,CATALOGO!$A$6:$A$105,0)),IF(OR(B23="",B23&lt;&gt;CONFIG!$B$5),"CONTEO NO VIGENTE",IF(OR(C23="",D23="",E23="",H23=""),"FALTA CAMPO",IF(OR(C23&lt;0,C23&gt;1000000,D23&lt;0,D23&gt;1000000,E23&lt;0,E23&gt;1000000,D23&gt;C23),"REVISAR VALOR",IF(H23&gt;CONFIG!$B$6,"EXPOSICION FUERA DE RANGO",IF(H23&lt;&gt;CONFIG!$B$6,"DISPONIBILIDAD INCOMPLETA",IF(CONFIG!$B$14&lt;&gt;"SI","VENTAS INCOMPLETAS",IF(CONFIG!$B$12&lt;&gt;"SI","POLITICA SIN REVISAR",IF(SUMPRODUCT(--(VENTAS!$B$6:$B$1005=A23),--(VENTAS!$A$6:$A$1005&gt;=CONFIG!$B$5-CONFIG!$B$6+1),--(VENTAS!$A$6:$A$1005&lt;=CONFIG!$B$5),--(VENTAS!$I$6:$I$1005&lt;&gt;""),--(VENTAS!$I$6:$I$1005&lt;&gt;"OK"))&gt;0,"VENTAS A REVISAR",IF(AND(E23&gt;0,OR(F23="",G23&lt;&gt;"SI")),"TRANSITO SIN CONFIRMAR",IF(AND(E23&gt;0,G23="SI",OR(F23&lt;=CONFIG!$B$5,F23&gt;CONFIG!$B$5+INDEX(CATALOGO!$M$6:$M$105,MATCH(A23,CATALOGO!$A$6:$A$105,0)))),"TRANSITO FUERA DEL PLAZO",IF(INDEX(CATALOGO!$T$6:$T$105,MATCH(A23,CATALOGO!$A$6:$A$105,0))&lt;&gt;"OK","CATALOGO A REVISAR",IF(1-INDEX(CATALOGO!$K$6:$K$105,MATCH(A23,CATALOGO!$A$6:$A$105,0))-CONFIG!$B$8&lt;=0,"MARGEN OBJETIVO INVIABLE",IF(INDEX(CATALOGO!$R$6:$R$105,MATCH(A23,CATALOGO!$A$6:$A$105,0))&lt;CONFIG!$B$8,"REVISAR PRECIO O COSTO","ELEGIBLE")))))))))))))))))),"CONFIG INVALIDA")</f>
        <v/>
      </c>
      <c r="L23" s="13" t="str">
        <f t="shared" si="0"/>
        <v/>
      </c>
      <c r="M23" s="12" t="str">
        <f>IFERROR(IF(OR(A23="",CONFIG!$B$14&lt;&gt;"SI",CONFIG!$B$6&lt;1,CONFIG!$B$6&gt;365,CONFIG!$B$6&lt;&gt;INT(CONFIG!$B$6),SUMPRODUCT(--(VENTAS!$B$6:$B$1005=A23),--(VENTAS!$A$6:$A$1005&gt;=CONFIG!$B$5-CONFIG!$B$6+1),--(VENTAS!$A$6:$A$1005&lt;=CONFIG!$B$5),--(VENTAS!$I$6:$I$1005&lt;&gt;""),--(VENTAS!$I$6:$I$1005&lt;&gt;"OK"))&gt;0),"",MAX(0,(SUMIFS(VENTAS!$C$6:$C$1005,VENTAS!$B$6:$B$1005,A23,VENTAS!$A$6:$A$1005,"&gt;="&amp;CONFIG!$B$5-CONFIG!$B$6+1,VENTAS!$A$6:$A$1005,"&lt;="&amp;CONFIG!$B$5)-SUMIFS(VENTAS!$E$6:$E$1005,VENTAS!$B$6:$B$1005,A23,VENTAS!$A$6:$A$1005,"&gt;="&amp;CONFIG!$B$5-CONFIG!$B$6+1,VENTAS!$A$6:$A$1005,"&lt;="&amp;CONFIG!$B$5))/CONFIG!$B$6)),"")</f>
        <v/>
      </c>
      <c r="N23" s="14" t="str">
        <f>IF(K23&lt;&gt;"ELEGIBLE","",IF(AND(E23&gt;0,G23="SI",F23&gt;CONFIG!$B$5,F23&lt;=CONFIG!$B$5+INDEX(CATALOGO!$M$6:$M$105,MATCH(A23,CATALOGO!$A$6:$A$105,0))),E23,0))</f>
        <v/>
      </c>
      <c r="O23" s="14" t="str">
        <f>IF(K23&lt;&gt;"ELEGIBLE","",MAX(0,ROUNDUP(ROUND(M23*(INDEX(CATALOGO!$M$6:$M$105,MATCH(A23,CATALOGO!$A$6:$A$105,0))+CONFIG!$B$7)-L23-N23,10),0)))</f>
        <v/>
      </c>
      <c r="P23" s="14" t="str">
        <f>IF(O23="","",IF(O23=0,0,ROUNDUP(MAX(O23,INDEX(CATALOGO!$N$6:$N$105,MATCH(A23,CATALOGO!$A$6:$A$105,0)))/INDEX(CATALOGO!$O$6:$O$105,MATCH(A23,CATALOGO!$A$6:$A$105,0)),0)*INDEX(CATALOGO!$O$6:$O$105,MATCH(A23,CATALOGO!$A$6:$A$105,0))))</f>
        <v/>
      </c>
      <c r="Q23" s="11" t="str">
        <f>IFERROR(IF(OR(A23="",COUNTIF(CATALOGO!$A$6:$A$105,A23)&lt;&gt;1),"",IF(OR(INDEX(CATALOGO!$H$6:$H$105,MATCH(A23,CATALOGO!$A$6:$A$105,0))="",INDEX(CATALOGO!$I$6:$I$105,MATCH(A23,CATALOGO!$A$6:$A$105,0))="",ABS(INDEX(CATALOGO!$H$6:$H$105,MATCH(A23,CATALOGO!$A$6:$A$105,0)))&gt;1000000000,ABS(INDEX(CATALOGO!$I$6:$I$105,MATCH(A23,CATALOGO!$A$6:$A$105,0)))&gt;1000000000),"",INDEX(CATALOGO!$H$6:$H$105,MATCH(A23,CATALOGO!$A$6:$A$105,0))+INDEX(CATALOGO!$I$6:$I$105,MATCH(A23,CATALOGO!$A$6:$A$105,0)))),"")</f>
        <v/>
      </c>
      <c r="R23" s="9" t="str">
        <f>IF(OR(A23="",I23="",COUNTIF(CATALOGO!$A$6:$A$105,A23)&lt;&gt;1),"",IF(I23=0,0,IF(OR(Q23="",INDEX(CATALOGO!$N$6:$N$105,MATCH(A23,CATALOGO!$A$6:$A$105,0))="",INDEX(CATALOGO!$O$6:$O$105,MATCH(A23,CATALOGO!$A$6:$A$105,0))="",INDEX(CATALOGO!$O$6:$O$105,MATCH(A23,CATALOGO!$A$6:$A$105,0))&lt;=0),"",IF(OR(I23&lt;INDEX(CATALOGO!$N$6:$N$105,MATCH(A23,CATALOGO!$A$6:$A$105,0)),MOD(I23,INDEX(CATALOGO!$O$6:$O$105,MATCH(A23,CATALOGO!$A$6:$A$105,0)))&lt;&gt;0,J23="",J23&lt;=CONFIG!$B$5,J23&gt;CONFIG!$B$5+91),"",I23*Q23))))</f>
        <v/>
      </c>
      <c r="S23" s="12" t="str">
        <f>IF(A23="","",IF(COUNTIF(CATALOGO!$A$6:$A$105,A23)&lt;&gt;1,"SKU NO VALIDO",IF(I23="","CANTIDAD DESCONOCIDA",IF(I23=0,"SIN COMPRA ELEGIDA",IF(OR(I23&lt;0,I23&gt;1000000),"CANTIDAD INVALIDA",IF(OR(INDEX(CATALOGO!$N$6:$N$105,MATCH(A23,CATALOGO!$A$6:$A$105,0))="",INDEX(CATALOGO!$O$6:$O$105,MATCH(A23,CATALOGO!$A$6:$A$105,0))="",INDEX(CATALOGO!$O$6:$O$105,MATCH(A23,CATALOGO!$A$6:$A$105,0))&lt;=0),"CATALOGO A REVISAR",IF(OR(I23&lt;INDEX(CATALOGO!$N$6:$N$105,MATCH(A23,CATALOGO!$A$6:$A$105,0)),MOD(I23,INDEX(CATALOGO!$O$6:$O$105,MATCH(A23,CATALOGO!$A$6:$A$105,0)))&lt;&gt;0),"NO RESPETA MOQ/PACK",IF(J23="","FALTA FECHA PAGO",IF(Q23="","COSTO DESCONOCIDO",IF(OR(J23&lt;=CONFIG!$B$5,J23&gt;CONFIG!$B$5+91),"FUERA DE 91 DIAS",IF(AND(P23&lt;&gt;"",I23&gt;P23),"EN MODELO · SUPERA PROPUESTA","EN MODELO")))))))))))</f>
        <v/>
      </c>
    </row>
    <row r="24" spans="1:19" x14ac:dyDescent="0.45">
      <c r="A24" s="8"/>
      <c r="B24" s="4"/>
      <c r="C24" s="5"/>
      <c r="D24" s="5"/>
      <c r="E24" s="5"/>
      <c r="F24" s="4"/>
      <c r="G24" s="8"/>
      <c r="H24" s="5"/>
      <c r="I24" s="5"/>
      <c r="J24" s="4"/>
      <c r="K24" s="12" t="str">
        <f>IFERROR(IF(A24="","",IF(COUNTIF($A$6:$A$105,A24)&gt;1,"DUPLICADO STOCK",IF(COUNTIF(CATALOGO!$A$6:$A$105,A24)&lt;&gt;1,"SKU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INVALIDA",IF(INDEX(CATALOGO!$F$6:$F$105,MATCH(A24,CATALOGO!$A$6:$A$105,0))&lt;&gt;"ACTIVO",INDEX(CATALOGO!$F$6:$F$105,MATCH(A24,CATALOGO!$A$6:$A$105,0)),IF(OR(B24="",B24&lt;&gt;CONFIG!$B$5),"CONTEO NO VIGENTE",IF(OR(C24="",D24="",E24="",H24=""),"FALTA CAMPO",IF(OR(C24&lt;0,C24&gt;1000000,D24&lt;0,D24&gt;1000000,E24&lt;0,E24&gt;1000000,D24&gt;C24),"REVISAR VALOR",IF(H24&gt;CONFIG!$B$6,"EXPOSICION FUERA DE RANGO",IF(H24&lt;&gt;CONFIG!$B$6,"DISPONIBILIDAD INCOMPLETA",IF(CONFIG!$B$14&lt;&gt;"SI","VENTAS INCOMPLETAS",IF(CONFIG!$B$12&lt;&gt;"SI","POLITICA SIN REVISAR",IF(SUMPRODUCT(--(VENTAS!$B$6:$B$1005=A24),--(VENTAS!$A$6:$A$1005&gt;=CONFIG!$B$5-CONFIG!$B$6+1),--(VENTAS!$A$6:$A$1005&lt;=CONFIG!$B$5),--(VENTAS!$I$6:$I$1005&lt;&gt;""),--(VENTAS!$I$6:$I$1005&lt;&gt;"OK"))&gt;0,"VENTAS A REVISAR",IF(AND(E24&gt;0,OR(F24="",G24&lt;&gt;"SI")),"TRANSITO SIN CONFIRMAR",IF(AND(E24&gt;0,G24="SI",OR(F24&lt;=CONFIG!$B$5,F24&gt;CONFIG!$B$5+INDEX(CATALOGO!$M$6:$M$105,MATCH(A24,CATALOGO!$A$6:$A$105,0)))),"TRANSITO FUERA DEL PLAZO",IF(INDEX(CATALOGO!$T$6:$T$105,MATCH(A24,CATALOGO!$A$6:$A$105,0))&lt;&gt;"OK","CATALOGO A REVISAR",IF(1-INDEX(CATALOGO!$K$6:$K$105,MATCH(A24,CATALOGO!$A$6:$A$105,0))-CONFIG!$B$8&lt;=0,"MARGEN OBJETIVO INVIABLE",IF(INDEX(CATALOGO!$R$6:$R$105,MATCH(A24,CATALOGO!$A$6:$A$105,0))&lt;CONFIG!$B$8,"REVISAR PRECIO O COSTO","ELEGIBLE")))))))))))))))))),"CONFIG INVALIDA")</f>
        <v/>
      </c>
      <c r="L24" s="13" t="str">
        <f t="shared" si="0"/>
        <v/>
      </c>
      <c r="M24" s="12" t="str">
        <f>IFERROR(IF(OR(A24="",CONFIG!$B$14&lt;&gt;"SI",CONFIG!$B$6&lt;1,CONFIG!$B$6&gt;365,CONFIG!$B$6&lt;&gt;INT(CONFIG!$B$6),SUMPRODUCT(--(VENTAS!$B$6:$B$1005=A24),--(VENTAS!$A$6:$A$1005&gt;=CONFIG!$B$5-CONFIG!$B$6+1),--(VENTAS!$A$6:$A$1005&lt;=CONFIG!$B$5),--(VENTAS!$I$6:$I$1005&lt;&gt;""),--(VENTAS!$I$6:$I$1005&lt;&gt;"OK"))&gt;0),"",MAX(0,(SUMIFS(VENTAS!$C$6:$C$1005,VENTAS!$B$6:$B$1005,A24,VENTAS!$A$6:$A$1005,"&gt;="&amp;CONFIG!$B$5-CONFIG!$B$6+1,VENTAS!$A$6:$A$1005,"&lt;="&amp;CONFIG!$B$5)-SUMIFS(VENTAS!$E$6:$E$1005,VENTAS!$B$6:$B$1005,A24,VENTAS!$A$6:$A$1005,"&gt;="&amp;CONFIG!$B$5-CONFIG!$B$6+1,VENTAS!$A$6:$A$1005,"&lt;="&amp;CONFIG!$B$5))/CONFIG!$B$6)),"")</f>
        <v/>
      </c>
      <c r="N24" s="14" t="str">
        <f>IF(K24&lt;&gt;"ELEGIBLE","",IF(AND(E24&gt;0,G24="SI",F24&gt;CONFIG!$B$5,F24&lt;=CONFIG!$B$5+INDEX(CATALOGO!$M$6:$M$105,MATCH(A24,CATALOGO!$A$6:$A$105,0))),E24,0))</f>
        <v/>
      </c>
      <c r="O24" s="14" t="str">
        <f>IF(K24&lt;&gt;"ELEGIBLE","",MAX(0,ROUNDUP(ROUND(M24*(INDEX(CATALOGO!$M$6:$M$105,MATCH(A24,CATALOGO!$A$6:$A$105,0))+CONFIG!$B$7)-L24-N24,10),0)))</f>
        <v/>
      </c>
      <c r="P24" s="14" t="str">
        <f>IF(O24="","",IF(O24=0,0,ROUNDUP(MAX(O24,INDEX(CATALOGO!$N$6:$N$105,MATCH(A24,CATALOGO!$A$6:$A$105,0)))/INDEX(CATALOGO!$O$6:$O$105,MATCH(A24,CATALOGO!$A$6:$A$105,0)),0)*INDEX(CATALOGO!$O$6:$O$105,MATCH(A24,CATALOGO!$A$6:$A$105,0))))</f>
        <v/>
      </c>
      <c r="Q24" s="11" t="str">
        <f>IFERROR(IF(OR(A24="",COUNTIF(CATALOGO!$A$6:$A$105,A24)&lt;&gt;1),"",IF(OR(INDEX(CATALOGO!$H$6:$H$105,MATCH(A24,CATALOGO!$A$6:$A$105,0))="",INDEX(CATALOGO!$I$6:$I$105,MATCH(A24,CATALOGO!$A$6:$A$105,0))="",ABS(INDEX(CATALOGO!$H$6:$H$105,MATCH(A24,CATALOGO!$A$6:$A$105,0)))&gt;1000000000,ABS(INDEX(CATALOGO!$I$6:$I$105,MATCH(A24,CATALOGO!$A$6:$A$105,0)))&gt;1000000000),"",INDEX(CATALOGO!$H$6:$H$105,MATCH(A24,CATALOGO!$A$6:$A$105,0))+INDEX(CATALOGO!$I$6:$I$105,MATCH(A24,CATALOGO!$A$6:$A$105,0)))),"")</f>
        <v/>
      </c>
      <c r="R24" s="9" t="str">
        <f>IF(OR(A24="",I24="",COUNTIF(CATALOGO!$A$6:$A$105,A24)&lt;&gt;1),"",IF(I24=0,0,IF(OR(Q24="",INDEX(CATALOGO!$N$6:$N$105,MATCH(A24,CATALOGO!$A$6:$A$105,0))="",INDEX(CATALOGO!$O$6:$O$105,MATCH(A24,CATALOGO!$A$6:$A$105,0))="",INDEX(CATALOGO!$O$6:$O$105,MATCH(A24,CATALOGO!$A$6:$A$105,0))&lt;=0),"",IF(OR(I24&lt;INDEX(CATALOGO!$N$6:$N$105,MATCH(A24,CATALOGO!$A$6:$A$105,0)),MOD(I24,INDEX(CATALOGO!$O$6:$O$105,MATCH(A24,CATALOGO!$A$6:$A$105,0)))&lt;&gt;0,J24="",J24&lt;=CONFIG!$B$5,J24&gt;CONFIG!$B$5+91),"",I24*Q24))))</f>
        <v/>
      </c>
      <c r="S24" s="12" t="str">
        <f>IF(A24="","",IF(COUNTIF(CATALOGO!$A$6:$A$105,A24)&lt;&gt;1,"SKU NO VALIDO",IF(I24="","CANTIDAD DESCONOCIDA",IF(I24=0,"SIN COMPRA ELEGIDA",IF(OR(I24&lt;0,I24&gt;1000000),"CANTIDAD INVALIDA",IF(OR(INDEX(CATALOGO!$N$6:$N$105,MATCH(A24,CATALOGO!$A$6:$A$105,0))="",INDEX(CATALOGO!$O$6:$O$105,MATCH(A24,CATALOGO!$A$6:$A$105,0))="",INDEX(CATALOGO!$O$6:$O$105,MATCH(A24,CATALOGO!$A$6:$A$105,0))&lt;=0),"CATALOGO A REVISAR",IF(OR(I24&lt;INDEX(CATALOGO!$N$6:$N$105,MATCH(A24,CATALOGO!$A$6:$A$105,0)),MOD(I24,INDEX(CATALOGO!$O$6:$O$105,MATCH(A24,CATALOGO!$A$6:$A$105,0)))&lt;&gt;0),"NO RESPETA MOQ/PACK",IF(J24="","FALTA FECHA PAGO",IF(Q24="","COSTO DESCONOCIDO",IF(OR(J24&lt;=CONFIG!$B$5,J24&gt;CONFIG!$B$5+91),"FUERA DE 91 DIAS",IF(AND(P24&lt;&gt;"",I24&gt;P24),"EN MODELO · SUPERA PROPUESTA","EN MODELO")))))))))))</f>
        <v/>
      </c>
    </row>
    <row r="25" spans="1:19" x14ac:dyDescent="0.45">
      <c r="A25" s="8"/>
      <c r="B25" s="4"/>
      <c r="C25" s="5"/>
      <c r="D25" s="5"/>
      <c r="E25" s="5"/>
      <c r="F25" s="4"/>
      <c r="G25" s="8"/>
      <c r="H25" s="5"/>
      <c r="I25" s="5"/>
      <c r="J25" s="4"/>
      <c r="K25" s="12" t="str">
        <f>IFERROR(IF(A25="","",IF(COUNTIF($A$6:$A$105,A25)&gt;1,"DUPLICADO STOCK",IF(COUNTIF(CATALOGO!$A$6:$A$105,A25)&lt;&gt;1,"SKU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INVALIDA",IF(INDEX(CATALOGO!$F$6:$F$105,MATCH(A25,CATALOGO!$A$6:$A$105,0))&lt;&gt;"ACTIVO",INDEX(CATALOGO!$F$6:$F$105,MATCH(A25,CATALOGO!$A$6:$A$105,0)),IF(OR(B25="",B25&lt;&gt;CONFIG!$B$5),"CONTEO NO VIGENTE",IF(OR(C25="",D25="",E25="",H25=""),"FALTA CAMPO",IF(OR(C25&lt;0,C25&gt;1000000,D25&lt;0,D25&gt;1000000,E25&lt;0,E25&gt;1000000,D25&gt;C25),"REVISAR VALOR",IF(H25&gt;CONFIG!$B$6,"EXPOSICION FUERA DE RANGO",IF(H25&lt;&gt;CONFIG!$B$6,"DISPONIBILIDAD INCOMPLETA",IF(CONFIG!$B$14&lt;&gt;"SI","VENTAS INCOMPLETAS",IF(CONFIG!$B$12&lt;&gt;"SI","POLITICA SIN REVISAR",IF(SUMPRODUCT(--(VENTAS!$B$6:$B$1005=A25),--(VENTAS!$A$6:$A$1005&gt;=CONFIG!$B$5-CONFIG!$B$6+1),--(VENTAS!$A$6:$A$1005&lt;=CONFIG!$B$5),--(VENTAS!$I$6:$I$1005&lt;&gt;""),--(VENTAS!$I$6:$I$1005&lt;&gt;"OK"))&gt;0,"VENTAS A REVISAR",IF(AND(E25&gt;0,OR(F25="",G25&lt;&gt;"SI")),"TRANSITO SIN CONFIRMAR",IF(AND(E25&gt;0,G25="SI",OR(F25&lt;=CONFIG!$B$5,F25&gt;CONFIG!$B$5+INDEX(CATALOGO!$M$6:$M$105,MATCH(A25,CATALOGO!$A$6:$A$105,0)))),"TRANSITO FUERA DEL PLAZO",IF(INDEX(CATALOGO!$T$6:$T$105,MATCH(A25,CATALOGO!$A$6:$A$105,0))&lt;&gt;"OK","CATALOGO A REVISAR",IF(1-INDEX(CATALOGO!$K$6:$K$105,MATCH(A25,CATALOGO!$A$6:$A$105,0))-CONFIG!$B$8&lt;=0,"MARGEN OBJETIVO INVIABLE",IF(INDEX(CATALOGO!$R$6:$R$105,MATCH(A25,CATALOGO!$A$6:$A$105,0))&lt;CONFIG!$B$8,"REVISAR PRECIO O COSTO","ELEGIBLE")))))))))))))))))),"CONFIG INVALIDA")</f>
        <v/>
      </c>
      <c r="L25" s="13" t="str">
        <f t="shared" si="0"/>
        <v/>
      </c>
      <c r="M25" s="12" t="str">
        <f>IFERROR(IF(OR(A25="",CONFIG!$B$14&lt;&gt;"SI",CONFIG!$B$6&lt;1,CONFIG!$B$6&gt;365,CONFIG!$B$6&lt;&gt;INT(CONFIG!$B$6),SUMPRODUCT(--(VENTAS!$B$6:$B$1005=A25),--(VENTAS!$A$6:$A$1005&gt;=CONFIG!$B$5-CONFIG!$B$6+1),--(VENTAS!$A$6:$A$1005&lt;=CONFIG!$B$5),--(VENTAS!$I$6:$I$1005&lt;&gt;""),--(VENTAS!$I$6:$I$1005&lt;&gt;"OK"))&gt;0),"",MAX(0,(SUMIFS(VENTAS!$C$6:$C$1005,VENTAS!$B$6:$B$1005,A25,VENTAS!$A$6:$A$1005,"&gt;="&amp;CONFIG!$B$5-CONFIG!$B$6+1,VENTAS!$A$6:$A$1005,"&lt;="&amp;CONFIG!$B$5)-SUMIFS(VENTAS!$E$6:$E$1005,VENTAS!$B$6:$B$1005,A25,VENTAS!$A$6:$A$1005,"&gt;="&amp;CONFIG!$B$5-CONFIG!$B$6+1,VENTAS!$A$6:$A$1005,"&lt;="&amp;CONFIG!$B$5))/CONFIG!$B$6)),"")</f>
        <v/>
      </c>
      <c r="N25" s="14" t="str">
        <f>IF(K25&lt;&gt;"ELEGIBLE","",IF(AND(E25&gt;0,G25="SI",F25&gt;CONFIG!$B$5,F25&lt;=CONFIG!$B$5+INDEX(CATALOGO!$M$6:$M$105,MATCH(A25,CATALOGO!$A$6:$A$105,0))),E25,0))</f>
        <v/>
      </c>
      <c r="O25" s="14" t="str">
        <f>IF(K25&lt;&gt;"ELEGIBLE","",MAX(0,ROUNDUP(ROUND(M25*(INDEX(CATALOGO!$M$6:$M$105,MATCH(A25,CATALOGO!$A$6:$A$105,0))+CONFIG!$B$7)-L25-N25,10),0)))</f>
        <v/>
      </c>
      <c r="P25" s="14" t="str">
        <f>IF(O25="","",IF(O25=0,0,ROUNDUP(MAX(O25,INDEX(CATALOGO!$N$6:$N$105,MATCH(A25,CATALOGO!$A$6:$A$105,0)))/INDEX(CATALOGO!$O$6:$O$105,MATCH(A25,CATALOGO!$A$6:$A$105,0)),0)*INDEX(CATALOGO!$O$6:$O$105,MATCH(A25,CATALOGO!$A$6:$A$105,0))))</f>
        <v/>
      </c>
      <c r="Q25" s="11" t="str">
        <f>IFERROR(IF(OR(A25="",COUNTIF(CATALOGO!$A$6:$A$105,A25)&lt;&gt;1),"",IF(OR(INDEX(CATALOGO!$H$6:$H$105,MATCH(A25,CATALOGO!$A$6:$A$105,0))="",INDEX(CATALOGO!$I$6:$I$105,MATCH(A25,CATALOGO!$A$6:$A$105,0))="",ABS(INDEX(CATALOGO!$H$6:$H$105,MATCH(A25,CATALOGO!$A$6:$A$105,0)))&gt;1000000000,ABS(INDEX(CATALOGO!$I$6:$I$105,MATCH(A25,CATALOGO!$A$6:$A$105,0)))&gt;1000000000),"",INDEX(CATALOGO!$H$6:$H$105,MATCH(A25,CATALOGO!$A$6:$A$105,0))+INDEX(CATALOGO!$I$6:$I$105,MATCH(A25,CATALOGO!$A$6:$A$105,0)))),"")</f>
        <v/>
      </c>
      <c r="R25" s="9" t="str">
        <f>IF(OR(A25="",I25="",COUNTIF(CATALOGO!$A$6:$A$105,A25)&lt;&gt;1),"",IF(I25=0,0,IF(OR(Q25="",INDEX(CATALOGO!$N$6:$N$105,MATCH(A25,CATALOGO!$A$6:$A$105,0))="",INDEX(CATALOGO!$O$6:$O$105,MATCH(A25,CATALOGO!$A$6:$A$105,0))="",INDEX(CATALOGO!$O$6:$O$105,MATCH(A25,CATALOGO!$A$6:$A$105,0))&lt;=0),"",IF(OR(I25&lt;INDEX(CATALOGO!$N$6:$N$105,MATCH(A25,CATALOGO!$A$6:$A$105,0)),MOD(I25,INDEX(CATALOGO!$O$6:$O$105,MATCH(A25,CATALOGO!$A$6:$A$105,0)))&lt;&gt;0,J25="",J25&lt;=CONFIG!$B$5,J25&gt;CONFIG!$B$5+91),"",I25*Q25))))</f>
        <v/>
      </c>
      <c r="S25" s="12" t="str">
        <f>IF(A25="","",IF(COUNTIF(CATALOGO!$A$6:$A$105,A25)&lt;&gt;1,"SKU NO VALIDO",IF(I25="","CANTIDAD DESCONOCIDA",IF(I25=0,"SIN COMPRA ELEGIDA",IF(OR(I25&lt;0,I25&gt;1000000),"CANTIDAD INVALIDA",IF(OR(INDEX(CATALOGO!$N$6:$N$105,MATCH(A25,CATALOGO!$A$6:$A$105,0))="",INDEX(CATALOGO!$O$6:$O$105,MATCH(A25,CATALOGO!$A$6:$A$105,0))="",INDEX(CATALOGO!$O$6:$O$105,MATCH(A25,CATALOGO!$A$6:$A$105,0))&lt;=0),"CATALOGO A REVISAR",IF(OR(I25&lt;INDEX(CATALOGO!$N$6:$N$105,MATCH(A25,CATALOGO!$A$6:$A$105,0)),MOD(I25,INDEX(CATALOGO!$O$6:$O$105,MATCH(A25,CATALOGO!$A$6:$A$105,0)))&lt;&gt;0),"NO RESPETA MOQ/PACK",IF(J25="","FALTA FECHA PAGO",IF(Q25="","COSTO DESCONOCIDO",IF(OR(J25&lt;=CONFIG!$B$5,J25&gt;CONFIG!$B$5+91),"FUERA DE 91 DIAS",IF(AND(P25&lt;&gt;"",I25&gt;P25),"EN MODELO · SUPERA PROPUESTA","EN MODELO")))))))))))</f>
        <v/>
      </c>
    </row>
    <row r="26" spans="1:19" x14ac:dyDescent="0.45">
      <c r="A26" s="8"/>
      <c r="B26" s="4"/>
      <c r="C26" s="5"/>
      <c r="D26" s="5"/>
      <c r="E26" s="5"/>
      <c r="F26" s="4"/>
      <c r="G26" s="8"/>
      <c r="H26" s="5"/>
      <c r="I26" s="5"/>
      <c r="J26" s="4"/>
      <c r="K26" s="12" t="str">
        <f>IFERROR(IF(A26="","",IF(COUNTIF($A$6:$A$105,A26)&gt;1,"DUPLICADO STOCK",IF(COUNTIF(CATALOGO!$A$6:$A$105,A26)&lt;&gt;1,"SKU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INVALIDA",IF(INDEX(CATALOGO!$F$6:$F$105,MATCH(A26,CATALOGO!$A$6:$A$105,0))&lt;&gt;"ACTIVO",INDEX(CATALOGO!$F$6:$F$105,MATCH(A26,CATALOGO!$A$6:$A$105,0)),IF(OR(B26="",B26&lt;&gt;CONFIG!$B$5),"CONTEO NO VIGENTE",IF(OR(C26="",D26="",E26="",H26=""),"FALTA CAMPO",IF(OR(C26&lt;0,C26&gt;1000000,D26&lt;0,D26&gt;1000000,E26&lt;0,E26&gt;1000000,D26&gt;C26),"REVISAR VALOR",IF(H26&gt;CONFIG!$B$6,"EXPOSICION FUERA DE RANGO",IF(H26&lt;&gt;CONFIG!$B$6,"DISPONIBILIDAD INCOMPLETA",IF(CONFIG!$B$14&lt;&gt;"SI","VENTAS INCOMPLETAS",IF(CONFIG!$B$12&lt;&gt;"SI","POLITICA SIN REVISAR",IF(SUMPRODUCT(--(VENTAS!$B$6:$B$1005=A26),--(VENTAS!$A$6:$A$1005&gt;=CONFIG!$B$5-CONFIG!$B$6+1),--(VENTAS!$A$6:$A$1005&lt;=CONFIG!$B$5),--(VENTAS!$I$6:$I$1005&lt;&gt;""),--(VENTAS!$I$6:$I$1005&lt;&gt;"OK"))&gt;0,"VENTAS A REVISAR",IF(AND(E26&gt;0,OR(F26="",G26&lt;&gt;"SI")),"TRANSITO SIN CONFIRMAR",IF(AND(E26&gt;0,G26="SI",OR(F26&lt;=CONFIG!$B$5,F26&gt;CONFIG!$B$5+INDEX(CATALOGO!$M$6:$M$105,MATCH(A26,CATALOGO!$A$6:$A$105,0)))),"TRANSITO FUERA DEL PLAZO",IF(INDEX(CATALOGO!$T$6:$T$105,MATCH(A26,CATALOGO!$A$6:$A$105,0))&lt;&gt;"OK","CATALOGO A REVISAR",IF(1-INDEX(CATALOGO!$K$6:$K$105,MATCH(A26,CATALOGO!$A$6:$A$105,0))-CONFIG!$B$8&lt;=0,"MARGEN OBJETIVO INVIABLE",IF(INDEX(CATALOGO!$R$6:$R$105,MATCH(A26,CATALOGO!$A$6:$A$105,0))&lt;CONFIG!$B$8,"REVISAR PRECIO O COSTO","ELEGIBLE")))))))))))))))))),"CONFIG INVALIDA")</f>
        <v/>
      </c>
      <c r="L26" s="13" t="str">
        <f t="shared" si="0"/>
        <v/>
      </c>
      <c r="M26" s="12" t="str">
        <f>IFERROR(IF(OR(A26="",CONFIG!$B$14&lt;&gt;"SI",CONFIG!$B$6&lt;1,CONFIG!$B$6&gt;365,CONFIG!$B$6&lt;&gt;INT(CONFIG!$B$6),SUMPRODUCT(--(VENTAS!$B$6:$B$1005=A26),--(VENTAS!$A$6:$A$1005&gt;=CONFIG!$B$5-CONFIG!$B$6+1),--(VENTAS!$A$6:$A$1005&lt;=CONFIG!$B$5),--(VENTAS!$I$6:$I$1005&lt;&gt;""),--(VENTAS!$I$6:$I$1005&lt;&gt;"OK"))&gt;0),"",MAX(0,(SUMIFS(VENTAS!$C$6:$C$1005,VENTAS!$B$6:$B$1005,A26,VENTAS!$A$6:$A$1005,"&gt;="&amp;CONFIG!$B$5-CONFIG!$B$6+1,VENTAS!$A$6:$A$1005,"&lt;="&amp;CONFIG!$B$5)-SUMIFS(VENTAS!$E$6:$E$1005,VENTAS!$B$6:$B$1005,A26,VENTAS!$A$6:$A$1005,"&gt;="&amp;CONFIG!$B$5-CONFIG!$B$6+1,VENTAS!$A$6:$A$1005,"&lt;="&amp;CONFIG!$B$5))/CONFIG!$B$6)),"")</f>
        <v/>
      </c>
      <c r="N26" s="14" t="str">
        <f>IF(K26&lt;&gt;"ELEGIBLE","",IF(AND(E26&gt;0,G26="SI",F26&gt;CONFIG!$B$5,F26&lt;=CONFIG!$B$5+INDEX(CATALOGO!$M$6:$M$105,MATCH(A26,CATALOGO!$A$6:$A$105,0))),E26,0))</f>
        <v/>
      </c>
      <c r="O26" s="14" t="str">
        <f>IF(K26&lt;&gt;"ELEGIBLE","",MAX(0,ROUNDUP(ROUND(M26*(INDEX(CATALOGO!$M$6:$M$105,MATCH(A26,CATALOGO!$A$6:$A$105,0))+CONFIG!$B$7)-L26-N26,10),0)))</f>
        <v/>
      </c>
      <c r="P26" s="14" t="str">
        <f>IF(O26="","",IF(O26=0,0,ROUNDUP(MAX(O26,INDEX(CATALOGO!$N$6:$N$105,MATCH(A26,CATALOGO!$A$6:$A$105,0)))/INDEX(CATALOGO!$O$6:$O$105,MATCH(A26,CATALOGO!$A$6:$A$105,0)),0)*INDEX(CATALOGO!$O$6:$O$105,MATCH(A26,CATALOGO!$A$6:$A$105,0))))</f>
        <v/>
      </c>
      <c r="Q26" s="11" t="str">
        <f>IFERROR(IF(OR(A26="",COUNTIF(CATALOGO!$A$6:$A$105,A26)&lt;&gt;1),"",IF(OR(INDEX(CATALOGO!$H$6:$H$105,MATCH(A26,CATALOGO!$A$6:$A$105,0))="",INDEX(CATALOGO!$I$6:$I$105,MATCH(A26,CATALOGO!$A$6:$A$105,0))="",ABS(INDEX(CATALOGO!$H$6:$H$105,MATCH(A26,CATALOGO!$A$6:$A$105,0)))&gt;1000000000,ABS(INDEX(CATALOGO!$I$6:$I$105,MATCH(A26,CATALOGO!$A$6:$A$105,0)))&gt;1000000000),"",INDEX(CATALOGO!$H$6:$H$105,MATCH(A26,CATALOGO!$A$6:$A$105,0))+INDEX(CATALOGO!$I$6:$I$105,MATCH(A26,CATALOGO!$A$6:$A$105,0)))),"")</f>
        <v/>
      </c>
      <c r="R26" s="9" t="str">
        <f>IF(OR(A26="",I26="",COUNTIF(CATALOGO!$A$6:$A$105,A26)&lt;&gt;1),"",IF(I26=0,0,IF(OR(Q26="",INDEX(CATALOGO!$N$6:$N$105,MATCH(A26,CATALOGO!$A$6:$A$105,0))="",INDEX(CATALOGO!$O$6:$O$105,MATCH(A26,CATALOGO!$A$6:$A$105,0))="",INDEX(CATALOGO!$O$6:$O$105,MATCH(A26,CATALOGO!$A$6:$A$105,0))&lt;=0),"",IF(OR(I26&lt;INDEX(CATALOGO!$N$6:$N$105,MATCH(A26,CATALOGO!$A$6:$A$105,0)),MOD(I26,INDEX(CATALOGO!$O$6:$O$105,MATCH(A26,CATALOGO!$A$6:$A$105,0)))&lt;&gt;0,J26="",J26&lt;=CONFIG!$B$5,J26&gt;CONFIG!$B$5+91),"",I26*Q26))))</f>
        <v/>
      </c>
      <c r="S26" s="12" t="str">
        <f>IF(A26="","",IF(COUNTIF(CATALOGO!$A$6:$A$105,A26)&lt;&gt;1,"SKU NO VALIDO",IF(I26="","CANTIDAD DESCONOCIDA",IF(I26=0,"SIN COMPRA ELEGIDA",IF(OR(I26&lt;0,I26&gt;1000000),"CANTIDAD INVALIDA",IF(OR(INDEX(CATALOGO!$N$6:$N$105,MATCH(A26,CATALOGO!$A$6:$A$105,0))="",INDEX(CATALOGO!$O$6:$O$105,MATCH(A26,CATALOGO!$A$6:$A$105,0))="",INDEX(CATALOGO!$O$6:$O$105,MATCH(A26,CATALOGO!$A$6:$A$105,0))&lt;=0),"CATALOGO A REVISAR",IF(OR(I26&lt;INDEX(CATALOGO!$N$6:$N$105,MATCH(A26,CATALOGO!$A$6:$A$105,0)),MOD(I26,INDEX(CATALOGO!$O$6:$O$105,MATCH(A26,CATALOGO!$A$6:$A$105,0)))&lt;&gt;0),"NO RESPETA MOQ/PACK",IF(J26="","FALTA FECHA PAGO",IF(Q26="","COSTO DESCONOCIDO",IF(OR(J26&lt;=CONFIG!$B$5,J26&gt;CONFIG!$B$5+91),"FUERA DE 91 DIAS",IF(AND(P26&lt;&gt;"",I26&gt;P26),"EN MODELO · SUPERA PROPUESTA","EN MODELO")))))))))))</f>
        <v/>
      </c>
    </row>
    <row r="27" spans="1:19" x14ac:dyDescent="0.45">
      <c r="A27" s="8"/>
      <c r="B27" s="4"/>
      <c r="C27" s="5"/>
      <c r="D27" s="5"/>
      <c r="E27" s="5"/>
      <c r="F27" s="4"/>
      <c r="G27" s="8"/>
      <c r="H27" s="5"/>
      <c r="I27" s="5"/>
      <c r="J27" s="4"/>
      <c r="K27" s="12" t="str">
        <f>IFERROR(IF(A27="","",IF(COUNTIF($A$6:$A$105,A27)&gt;1,"DUPLICADO STOCK",IF(COUNTIF(CATALOGO!$A$6:$A$105,A27)&lt;&gt;1,"SKU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INVALIDA",IF(INDEX(CATALOGO!$F$6:$F$105,MATCH(A27,CATALOGO!$A$6:$A$105,0))&lt;&gt;"ACTIVO",INDEX(CATALOGO!$F$6:$F$105,MATCH(A27,CATALOGO!$A$6:$A$105,0)),IF(OR(B27="",B27&lt;&gt;CONFIG!$B$5),"CONTEO NO VIGENTE",IF(OR(C27="",D27="",E27="",H27=""),"FALTA CAMPO",IF(OR(C27&lt;0,C27&gt;1000000,D27&lt;0,D27&gt;1000000,E27&lt;0,E27&gt;1000000,D27&gt;C27),"REVISAR VALOR",IF(H27&gt;CONFIG!$B$6,"EXPOSICION FUERA DE RANGO",IF(H27&lt;&gt;CONFIG!$B$6,"DISPONIBILIDAD INCOMPLETA",IF(CONFIG!$B$14&lt;&gt;"SI","VENTAS INCOMPLETAS",IF(CONFIG!$B$12&lt;&gt;"SI","POLITICA SIN REVISAR",IF(SUMPRODUCT(--(VENTAS!$B$6:$B$1005=A27),--(VENTAS!$A$6:$A$1005&gt;=CONFIG!$B$5-CONFIG!$B$6+1),--(VENTAS!$A$6:$A$1005&lt;=CONFIG!$B$5),--(VENTAS!$I$6:$I$1005&lt;&gt;""),--(VENTAS!$I$6:$I$1005&lt;&gt;"OK"))&gt;0,"VENTAS A REVISAR",IF(AND(E27&gt;0,OR(F27="",G27&lt;&gt;"SI")),"TRANSITO SIN CONFIRMAR",IF(AND(E27&gt;0,G27="SI",OR(F27&lt;=CONFIG!$B$5,F27&gt;CONFIG!$B$5+INDEX(CATALOGO!$M$6:$M$105,MATCH(A27,CATALOGO!$A$6:$A$105,0)))),"TRANSITO FUERA DEL PLAZO",IF(INDEX(CATALOGO!$T$6:$T$105,MATCH(A27,CATALOGO!$A$6:$A$105,0))&lt;&gt;"OK","CATALOGO A REVISAR",IF(1-INDEX(CATALOGO!$K$6:$K$105,MATCH(A27,CATALOGO!$A$6:$A$105,0))-CONFIG!$B$8&lt;=0,"MARGEN OBJETIVO INVIABLE",IF(INDEX(CATALOGO!$R$6:$R$105,MATCH(A27,CATALOGO!$A$6:$A$105,0))&lt;CONFIG!$B$8,"REVISAR PRECIO O COSTO","ELEGIBLE")))))))))))))))))),"CONFIG INVALIDA")</f>
        <v/>
      </c>
      <c r="L27" s="13" t="str">
        <f t="shared" si="0"/>
        <v/>
      </c>
      <c r="M27" s="12" t="str">
        <f>IFERROR(IF(OR(A27="",CONFIG!$B$14&lt;&gt;"SI",CONFIG!$B$6&lt;1,CONFIG!$B$6&gt;365,CONFIG!$B$6&lt;&gt;INT(CONFIG!$B$6),SUMPRODUCT(--(VENTAS!$B$6:$B$1005=A27),--(VENTAS!$A$6:$A$1005&gt;=CONFIG!$B$5-CONFIG!$B$6+1),--(VENTAS!$A$6:$A$1005&lt;=CONFIG!$B$5),--(VENTAS!$I$6:$I$1005&lt;&gt;""),--(VENTAS!$I$6:$I$1005&lt;&gt;"OK"))&gt;0),"",MAX(0,(SUMIFS(VENTAS!$C$6:$C$1005,VENTAS!$B$6:$B$1005,A27,VENTAS!$A$6:$A$1005,"&gt;="&amp;CONFIG!$B$5-CONFIG!$B$6+1,VENTAS!$A$6:$A$1005,"&lt;="&amp;CONFIG!$B$5)-SUMIFS(VENTAS!$E$6:$E$1005,VENTAS!$B$6:$B$1005,A27,VENTAS!$A$6:$A$1005,"&gt;="&amp;CONFIG!$B$5-CONFIG!$B$6+1,VENTAS!$A$6:$A$1005,"&lt;="&amp;CONFIG!$B$5))/CONFIG!$B$6)),"")</f>
        <v/>
      </c>
      <c r="N27" s="14" t="str">
        <f>IF(K27&lt;&gt;"ELEGIBLE","",IF(AND(E27&gt;0,G27="SI",F27&gt;CONFIG!$B$5,F27&lt;=CONFIG!$B$5+INDEX(CATALOGO!$M$6:$M$105,MATCH(A27,CATALOGO!$A$6:$A$105,0))),E27,0))</f>
        <v/>
      </c>
      <c r="O27" s="14" t="str">
        <f>IF(K27&lt;&gt;"ELEGIBLE","",MAX(0,ROUNDUP(ROUND(M27*(INDEX(CATALOGO!$M$6:$M$105,MATCH(A27,CATALOGO!$A$6:$A$105,0))+CONFIG!$B$7)-L27-N27,10),0)))</f>
        <v/>
      </c>
      <c r="P27" s="14" t="str">
        <f>IF(O27="","",IF(O27=0,0,ROUNDUP(MAX(O27,INDEX(CATALOGO!$N$6:$N$105,MATCH(A27,CATALOGO!$A$6:$A$105,0)))/INDEX(CATALOGO!$O$6:$O$105,MATCH(A27,CATALOGO!$A$6:$A$105,0)),0)*INDEX(CATALOGO!$O$6:$O$105,MATCH(A27,CATALOGO!$A$6:$A$105,0))))</f>
        <v/>
      </c>
      <c r="Q27" s="11" t="str">
        <f>IFERROR(IF(OR(A27="",COUNTIF(CATALOGO!$A$6:$A$105,A27)&lt;&gt;1),"",IF(OR(INDEX(CATALOGO!$H$6:$H$105,MATCH(A27,CATALOGO!$A$6:$A$105,0))="",INDEX(CATALOGO!$I$6:$I$105,MATCH(A27,CATALOGO!$A$6:$A$105,0))="",ABS(INDEX(CATALOGO!$H$6:$H$105,MATCH(A27,CATALOGO!$A$6:$A$105,0)))&gt;1000000000,ABS(INDEX(CATALOGO!$I$6:$I$105,MATCH(A27,CATALOGO!$A$6:$A$105,0)))&gt;1000000000),"",INDEX(CATALOGO!$H$6:$H$105,MATCH(A27,CATALOGO!$A$6:$A$105,0))+INDEX(CATALOGO!$I$6:$I$105,MATCH(A27,CATALOGO!$A$6:$A$105,0)))),"")</f>
        <v/>
      </c>
      <c r="R27" s="9" t="str">
        <f>IF(OR(A27="",I27="",COUNTIF(CATALOGO!$A$6:$A$105,A27)&lt;&gt;1),"",IF(I27=0,0,IF(OR(Q27="",INDEX(CATALOGO!$N$6:$N$105,MATCH(A27,CATALOGO!$A$6:$A$105,0))="",INDEX(CATALOGO!$O$6:$O$105,MATCH(A27,CATALOGO!$A$6:$A$105,0))="",INDEX(CATALOGO!$O$6:$O$105,MATCH(A27,CATALOGO!$A$6:$A$105,0))&lt;=0),"",IF(OR(I27&lt;INDEX(CATALOGO!$N$6:$N$105,MATCH(A27,CATALOGO!$A$6:$A$105,0)),MOD(I27,INDEX(CATALOGO!$O$6:$O$105,MATCH(A27,CATALOGO!$A$6:$A$105,0)))&lt;&gt;0,J27="",J27&lt;=CONFIG!$B$5,J27&gt;CONFIG!$B$5+91),"",I27*Q27))))</f>
        <v/>
      </c>
      <c r="S27" s="12" t="str">
        <f>IF(A27="","",IF(COUNTIF(CATALOGO!$A$6:$A$105,A27)&lt;&gt;1,"SKU NO VALIDO",IF(I27="","CANTIDAD DESCONOCIDA",IF(I27=0,"SIN COMPRA ELEGIDA",IF(OR(I27&lt;0,I27&gt;1000000),"CANTIDAD INVALIDA",IF(OR(INDEX(CATALOGO!$N$6:$N$105,MATCH(A27,CATALOGO!$A$6:$A$105,0))="",INDEX(CATALOGO!$O$6:$O$105,MATCH(A27,CATALOGO!$A$6:$A$105,0))="",INDEX(CATALOGO!$O$6:$O$105,MATCH(A27,CATALOGO!$A$6:$A$105,0))&lt;=0),"CATALOGO A REVISAR",IF(OR(I27&lt;INDEX(CATALOGO!$N$6:$N$105,MATCH(A27,CATALOGO!$A$6:$A$105,0)),MOD(I27,INDEX(CATALOGO!$O$6:$O$105,MATCH(A27,CATALOGO!$A$6:$A$105,0)))&lt;&gt;0),"NO RESPETA MOQ/PACK",IF(J27="","FALTA FECHA PAGO",IF(Q27="","COSTO DESCONOCIDO",IF(OR(J27&lt;=CONFIG!$B$5,J27&gt;CONFIG!$B$5+91),"FUERA DE 91 DIAS",IF(AND(P27&lt;&gt;"",I27&gt;P27),"EN MODELO · SUPERA PROPUESTA","EN MODELO")))))))))))</f>
        <v/>
      </c>
    </row>
    <row r="28" spans="1:19" x14ac:dyDescent="0.45">
      <c r="A28" s="8"/>
      <c r="B28" s="4"/>
      <c r="C28" s="5"/>
      <c r="D28" s="5"/>
      <c r="E28" s="5"/>
      <c r="F28" s="4"/>
      <c r="G28" s="8"/>
      <c r="H28" s="5"/>
      <c r="I28" s="5"/>
      <c r="J28" s="4"/>
      <c r="K28" s="12" t="str">
        <f>IFERROR(IF(A28="","",IF(COUNTIF($A$6:$A$105,A28)&gt;1,"DUPLICADO STOCK",IF(COUNTIF(CATALOGO!$A$6:$A$105,A28)&lt;&gt;1,"SKU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INVALIDA",IF(INDEX(CATALOGO!$F$6:$F$105,MATCH(A28,CATALOGO!$A$6:$A$105,0))&lt;&gt;"ACTIVO",INDEX(CATALOGO!$F$6:$F$105,MATCH(A28,CATALOGO!$A$6:$A$105,0)),IF(OR(B28="",B28&lt;&gt;CONFIG!$B$5),"CONTEO NO VIGENTE",IF(OR(C28="",D28="",E28="",H28=""),"FALTA CAMPO",IF(OR(C28&lt;0,C28&gt;1000000,D28&lt;0,D28&gt;1000000,E28&lt;0,E28&gt;1000000,D28&gt;C28),"REVISAR VALOR",IF(H28&gt;CONFIG!$B$6,"EXPOSICION FUERA DE RANGO",IF(H28&lt;&gt;CONFIG!$B$6,"DISPONIBILIDAD INCOMPLETA",IF(CONFIG!$B$14&lt;&gt;"SI","VENTAS INCOMPLETAS",IF(CONFIG!$B$12&lt;&gt;"SI","POLITICA SIN REVISAR",IF(SUMPRODUCT(--(VENTAS!$B$6:$B$1005=A28),--(VENTAS!$A$6:$A$1005&gt;=CONFIG!$B$5-CONFIG!$B$6+1),--(VENTAS!$A$6:$A$1005&lt;=CONFIG!$B$5),--(VENTAS!$I$6:$I$1005&lt;&gt;""),--(VENTAS!$I$6:$I$1005&lt;&gt;"OK"))&gt;0,"VENTAS A REVISAR",IF(AND(E28&gt;0,OR(F28="",G28&lt;&gt;"SI")),"TRANSITO SIN CONFIRMAR",IF(AND(E28&gt;0,G28="SI",OR(F28&lt;=CONFIG!$B$5,F28&gt;CONFIG!$B$5+INDEX(CATALOGO!$M$6:$M$105,MATCH(A28,CATALOGO!$A$6:$A$105,0)))),"TRANSITO FUERA DEL PLAZO",IF(INDEX(CATALOGO!$T$6:$T$105,MATCH(A28,CATALOGO!$A$6:$A$105,0))&lt;&gt;"OK","CATALOGO A REVISAR",IF(1-INDEX(CATALOGO!$K$6:$K$105,MATCH(A28,CATALOGO!$A$6:$A$105,0))-CONFIG!$B$8&lt;=0,"MARGEN OBJETIVO INVIABLE",IF(INDEX(CATALOGO!$R$6:$R$105,MATCH(A28,CATALOGO!$A$6:$A$105,0))&lt;CONFIG!$B$8,"REVISAR PRECIO O COSTO","ELEGIBLE")))))))))))))))))),"CONFIG INVALIDA")</f>
        <v/>
      </c>
      <c r="L28" s="13" t="str">
        <f t="shared" si="0"/>
        <v/>
      </c>
      <c r="M28" s="12" t="str">
        <f>IFERROR(IF(OR(A28="",CONFIG!$B$14&lt;&gt;"SI",CONFIG!$B$6&lt;1,CONFIG!$B$6&gt;365,CONFIG!$B$6&lt;&gt;INT(CONFIG!$B$6),SUMPRODUCT(--(VENTAS!$B$6:$B$1005=A28),--(VENTAS!$A$6:$A$1005&gt;=CONFIG!$B$5-CONFIG!$B$6+1),--(VENTAS!$A$6:$A$1005&lt;=CONFIG!$B$5),--(VENTAS!$I$6:$I$1005&lt;&gt;""),--(VENTAS!$I$6:$I$1005&lt;&gt;"OK"))&gt;0),"",MAX(0,(SUMIFS(VENTAS!$C$6:$C$1005,VENTAS!$B$6:$B$1005,A28,VENTAS!$A$6:$A$1005,"&gt;="&amp;CONFIG!$B$5-CONFIG!$B$6+1,VENTAS!$A$6:$A$1005,"&lt;="&amp;CONFIG!$B$5)-SUMIFS(VENTAS!$E$6:$E$1005,VENTAS!$B$6:$B$1005,A28,VENTAS!$A$6:$A$1005,"&gt;="&amp;CONFIG!$B$5-CONFIG!$B$6+1,VENTAS!$A$6:$A$1005,"&lt;="&amp;CONFIG!$B$5))/CONFIG!$B$6)),"")</f>
        <v/>
      </c>
      <c r="N28" s="14" t="str">
        <f>IF(K28&lt;&gt;"ELEGIBLE","",IF(AND(E28&gt;0,G28="SI",F28&gt;CONFIG!$B$5,F28&lt;=CONFIG!$B$5+INDEX(CATALOGO!$M$6:$M$105,MATCH(A28,CATALOGO!$A$6:$A$105,0))),E28,0))</f>
        <v/>
      </c>
      <c r="O28" s="14" t="str">
        <f>IF(K28&lt;&gt;"ELEGIBLE","",MAX(0,ROUNDUP(ROUND(M28*(INDEX(CATALOGO!$M$6:$M$105,MATCH(A28,CATALOGO!$A$6:$A$105,0))+CONFIG!$B$7)-L28-N28,10),0)))</f>
        <v/>
      </c>
      <c r="P28" s="14" t="str">
        <f>IF(O28="","",IF(O28=0,0,ROUNDUP(MAX(O28,INDEX(CATALOGO!$N$6:$N$105,MATCH(A28,CATALOGO!$A$6:$A$105,0)))/INDEX(CATALOGO!$O$6:$O$105,MATCH(A28,CATALOGO!$A$6:$A$105,0)),0)*INDEX(CATALOGO!$O$6:$O$105,MATCH(A28,CATALOGO!$A$6:$A$105,0))))</f>
        <v/>
      </c>
      <c r="Q28" s="11" t="str">
        <f>IFERROR(IF(OR(A28="",COUNTIF(CATALOGO!$A$6:$A$105,A28)&lt;&gt;1),"",IF(OR(INDEX(CATALOGO!$H$6:$H$105,MATCH(A28,CATALOGO!$A$6:$A$105,0))="",INDEX(CATALOGO!$I$6:$I$105,MATCH(A28,CATALOGO!$A$6:$A$105,0))="",ABS(INDEX(CATALOGO!$H$6:$H$105,MATCH(A28,CATALOGO!$A$6:$A$105,0)))&gt;1000000000,ABS(INDEX(CATALOGO!$I$6:$I$105,MATCH(A28,CATALOGO!$A$6:$A$105,0)))&gt;1000000000),"",INDEX(CATALOGO!$H$6:$H$105,MATCH(A28,CATALOGO!$A$6:$A$105,0))+INDEX(CATALOGO!$I$6:$I$105,MATCH(A28,CATALOGO!$A$6:$A$105,0)))),"")</f>
        <v/>
      </c>
      <c r="R28" s="9" t="str">
        <f>IF(OR(A28="",I28="",COUNTIF(CATALOGO!$A$6:$A$105,A28)&lt;&gt;1),"",IF(I28=0,0,IF(OR(Q28="",INDEX(CATALOGO!$N$6:$N$105,MATCH(A28,CATALOGO!$A$6:$A$105,0))="",INDEX(CATALOGO!$O$6:$O$105,MATCH(A28,CATALOGO!$A$6:$A$105,0))="",INDEX(CATALOGO!$O$6:$O$105,MATCH(A28,CATALOGO!$A$6:$A$105,0))&lt;=0),"",IF(OR(I28&lt;INDEX(CATALOGO!$N$6:$N$105,MATCH(A28,CATALOGO!$A$6:$A$105,0)),MOD(I28,INDEX(CATALOGO!$O$6:$O$105,MATCH(A28,CATALOGO!$A$6:$A$105,0)))&lt;&gt;0,J28="",J28&lt;=CONFIG!$B$5,J28&gt;CONFIG!$B$5+91),"",I28*Q28))))</f>
        <v/>
      </c>
      <c r="S28" s="12" t="str">
        <f>IF(A28="","",IF(COUNTIF(CATALOGO!$A$6:$A$105,A28)&lt;&gt;1,"SKU NO VALIDO",IF(I28="","CANTIDAD DESCONOCIDA",IF(I28=0,"SIN COMPRA ELEGIDA",IF(OR(I28&lt;0,I28&gt;1000000),"CANTIDAD INVALIDA",IF(OR(INDEX(CATALOGO!$N$6:$N$105,MATCH(A28,CATALOGO!$A$6:$A$105,0))="",INDEX(CATALOGO!$O$6:$O$105,MATCH(A28,CATALOGO!$A$6:$A$105,0))="",INDEX(CATALOGO!$O$6:$O$105,MATCH(A28,CATALOGO!$A$6:$A$105,0))&lt;=0),"CATALOGO A REVISAR",IF(OR(I28&lt;INDEX(CATALOGO!$N$6:$N$105,MATCH(A28,CATALOGO!$A$6:$A$105,0)),MOD(I28,INDEX(CATALOGO!$O$6:$O$105,MATCH(A28,CATALOGO!$A$6:$A$105,0)))&lt;&gt;0),"NO RESPETA MOQ/PACK",IF(J28="","FALTA FECHA PAGO",IF(Q28="","COSTO DESCONOCIDO",IF(OR(J28&lt;=CONFIG!$B$5,J28&gt;CONFIG!$B$5+91),"FUERA DE 91 DIAS",IF(AND(P28&lt;&gt;"",I28&gt;P28),"EN MODELO · SUPERA PROPUESTA","EN MODELO")))))))))))</f>
        <v/>
      </c>
    </row>
    <row r="29" spans="1:19" x14ac:dyDescent="0.45">
      <c r="A29" s="8"/>
      <c r="B29" s="4"/>
      <c r="C29" s="5"/>
      <c r="D29" s="5"/>
      <c r="E29" s="5"/>
      <c r="F29" s="4"/>
      <c r="G29" s="8"/>
      <c r="H29" s="5"/>
      <c r="I29" s="5"/>
      <c r="J29" s="4"/>
      <c r="K29" s="12" t="str">
        <f>IFERROR(IF(A29="","",IF(COUNTIF($A$6:$A$105,A29)&gt;1,"DUPLICADO STOCK",IF(COUNTIF(CATALOGO!$A$6:$A$105,A29)&lt;&gt;1,"SKU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INVALIDA",IF(INDEX(CATALOGO!$F$6:$F$105,MATCH(A29,CATALOGO!$A$6:$A$105,0))&lt;&gt;"ACTIVO",INDEX(CATALOGO!$F$6:$F$105,MATCH(A29,CATALOGO!$A$6:$A$105,0)),IF(OR(B29="",B29&lt;&gt;CONFIG!$B$5),"CONTEO NO VIGENTE",IF(OR(C29="",D29="",E29="",H29=""),"FALTA CAMPO",IF(OR(C29&lt;0,C29&gt;1000000,D29&lt;0,D29&gt;1000000,E29&lt;0,E29&gt;1000000,D29&gt;C29),"REVISAR VALOR",IF(H29&gt;CONFIG!$B$6,"EXPOSICION FUERA DE RANGO",IF(H29&lt;&gt;CONFIG!$B$6,"DISPONIBILIDAD INCOMPLETA",IF(CONFIG!$B$14&lt;&gt;"SI","VENTAS INCOMPLETAS",IF(CONFIG!$B$12&lt;&gt;"SI","POLITICA SIN REVISAR",IF(SUMPRODUCT(--(VENTAS!$B$6:$B$1005=A29),--(VENTAS!$A$6:$A$1005&gt;=CONFIG!$B$5-CONFIG!$B$6+1),--(VENTAS!$A$6:$A$1005&lt;=CONFIG!$B$5),--(VENTAS!$I$6:$I$1005&lt;&gt;""),--(VENTAS!$I$6:$I$1005&lt;&gt;"OK"))&gt;0,"VENTAS A REVISAR",IF(AND(E29&gt;0,OR(F29="",G29&lt;&gt;"SI")),"TRANSITO SIN CONFIRMAR",IF(AND(E29&gt;0,G29="SI",OR(F29&lt;=CONFIG!$B$5,F29&gt;CONFIG!$B$5+INDEX(CATALOGO!$M$6:$M$105,MATCH(A29,CATALOGO!$A$6:$A$105,0)))),"TRANSITO FUERA DEL PLAZO",IF(INDEX(CATALOGO!$T$6:$T$105,MATCH(A29,CATALOGO!$A$6:$A$105,0))&lt;&gt;"OK","CATALOGO A REVISAR",IF(1-INDEX(CATALOGO!$K$6:$K$105,MATCH(A29,CATALOGO!$A$6:$A$105,0))-CONFIG!$B$8&lt;=0,"MARGEN OBJETIVO INVIABLE",IF(INDEX(CATALOGO!$R$6:$R$105,MATCH(A29,CATALOGO!$A$6:$A$105,0))&lt;CONFIG!$B$8,"REVISAR PRECIO O COSTO","ELEGIBLE")))))))))))))))))),"CONFIG INVALIDA")</f>
        <v/>
      </c>
      <c r="L29" s="13" t="str">
        <f t="shared" si="0"/>
        <v/>
      </c>
      <c r="M29" s="12" t="str">
        <f>IFERROR(IF(OR(A29="",CONFIG!$B$14&lt;&gt;"SI",CONFIG!$B$6&lt;1,CONFIG!$B$6&gt;365,CONFIG!$B$6&lt;&gt;INT(CONFIG!$B$6),SUMPRODUCT(--(VENTAS!$B$6:$B$1005=A29),--(VENTAS!$A$6:$A$1005&gt;=CONFIG!$B$5-CONFIG!$B$6+1),--(VENTAS!$A$6:$A$1005&lt;=CONFIG!$B$5),--(VENTAS!$I$6:$I$1005&lt;&gt;""),--(VENTAS!$I$6:$I$1005&lt;&gt;"OK"))&gt;0),"",MAX(0,(SUMIFS(VENTAS!$C$6:$C$1005,VENTAS!$B$6:$B$1005,A29,VENTAS!$A$6:$A$1005,"&gt;="&amp;CONFIG!$B$5-CONFIG!$B$6+1,VENTAS!$A$6:$A$1005,"&lt;="&amp;CONFIG!$B$5)-SUMIFS(VENTAS!$E$6:$E$1005,VENTAS!$B$6:$B$1005,A29,VENTAS!$A$6:$A$1005,"&gt;="&amp;CONFIG!$B$5-CONFIG!$B$6+1,VENTAS!$A$6:$A$1005,"&lt;="&amp;CONFIG!$B$5))/CONFIG!$B$6)),"")</f>
        <v/>
      </c>
      <c r="N29" s="14" t="str">
        <f>IF(K29&lt;&gt;"ELEGIBLE","",IF(AND(E29&gt;0,G29="SI",F29&gt;CONFIG!$B$5,F29&lt;=CONFIG!$B$5+INDEX(CATALOGO!$M$6:$M$105,MATCH(A29,CATALOGO!$A$6:$A$105,0))),E29,0))</f>
        <v/>
      </c>
      <c r="O29" s="14" t="str">
        <f>IF(K29&lt;&gt;"ELEGIBLE","",MAX(0,ROUNDUP(ROUND(M29*(INDEX(CATALOGO!$M$6:$M$105,MATCH(A29,CATALOGO!$A$6:$A$105,0))+CONFIG!$B$7)-L29-N29,10),0)))</f>
        <v/>
      </c>
      <c r="P29" s="14" t="str">
        <f>IF(O29="","",IF(O29=0,0,ROUNDUP(MAX(O29,INDEX(CATALOGO!$N$6:$N$105,MATCH(A29,CATALOGO!$A$6:$A$105,0)))/INDEX(CATALOGO!$O$6:$O$105,MATCH(A29,CATALOGO!$A$6:$A$105,0)),0)*INDEX(CATALOGO!$O$6:$O$105,MATCH(A29,CATALOGO!$A$6:$A$105,0))))</f>
        <v/>
      </c>
      <c r="Q29" s="11" t="str">
        <f>IFERROR(IF(OR(A29="",COUNTIF(CATALOGO!$A$6:$A$105,A29)&lt;&gt;1),"",IF(OR(INDEX(CATALOGO!$H$6:$H$105,MATCH(A29,CATALOGO!$A$6:$A$105,0))="",INDEX(CATALOGO!$I$6:$I$105,MATCH(A29,CATALOGO!$A$6:$A$105,0))="",ABS(INDEX(CATALOGO!$H$6:$H$105,MATCH(A29,CATALOGO!$A$6:$A$105,0)))&gt;1000000000,ABS(INDEX(CATALOGO!$I$6:$I$105,MATCH(A29,CATALOGO!$A$6:$A$105,0)))&gt;1000000000),"",INDEX(CATALOGO!$H$6:$H$105,MATCH(A29,CATALOGO!$A$6:$A$105,0))+INDEX(CATALOGO!$I$6:$I$105,MATCH(A29,CATALOGO!$A$6:$A$105,0)))),"")</f>
        <v/>
      </c>
      <c r="R29" s="9" t="str">
        <f>IF(OR(A29="",I29="",COUNTIF(CATALOGO!$A$6:$A$105,A29)&lt;&gt;1),"",IF(I29=0,0,IF(OR(Q29="",INDEX(CATALOGO!$N$6:$N$105,MATCH(A29,CATALOGO!$A$6:$A$105,0))="",INDEX(CATALOGO!$O$6:$O$105,MATCH(A29,CATALOGO!$A$6:$A$105,0))="",INDEX(CATALOGO!$O$6:$O$105,MATCH(A29,CATALOGO!$A$6:$A$105,0))&lt;=0),"",IF(OR(I29&lt;INDEX(CATALOGO!$N$6:$N$105,MATCH(A29,CATALOGO!$A$6:$A$105,0)),MOD(I29,INDEX(CATALOGO!$O$6:$O$105,MATCH(A29,CATALOGO!$A$6:$A$105,0)))&lt;&gt;0,J29="",J29&lt;=CONFIG!$B$5,J29&gt;CONFIG!$B$5+91),"",I29*Q29))))</f>
        <v/>
      </c>
      <c r="S29" s="12" t="str">
        <f>IF(A29="","",IF(COUNTIF(CATALOGO!$A$6:$A$105,A29)&lt;&gt;1,"SKU NO VALIDO",IF(I29="","CANTIDAD DESCONOCIDA",IF(I29=0,"SIN COMPRA ELEGIDA",IF(OR(I29&lt;0,I29&gt;1000000),"CANTIDAD INVALIDA",IF(OR(INDEX(CATALOGO!$N$6:$N$105,MATCH(A29,CATALOGO!$A$6:$A$105,0))="",INDEX(CATALOGO!$O$6:$O$105,MATCH(A29,CATALOGO!$A$6:$A$105,0))="",INDEX(CATALOGO!$O$6:$O$105,MATCH(A29,CATALOGO!$A$6:$A$105,0))&lt;=0),"CATALOGO A REVISAR",IF(OR(I29&lt;INDEX(CATALOGO!$N$6:$N$105,MATCH(A29,CATALOGO!$A$6:$A$105,0)),MOD(I29,INDEX(CATALOGO!$O$6:$O$105,MATCH(A29,CATALOGO!$A$6:$A$105,0)))&lt;&gt;0),"NO RESPETA MOQ/PACK",IF(J29="","FALTA FECHA PAGO",IF(Q29="","COSTO DESCONOCIDO",IF(OR(J29&lt;=CONFIG!$B$5,J29&gt;CONFIG!$B$5+91),"FUERA DE 91 DIAS",IF(AND(P29&lt;&gt;"",I29&gt;P29),"EN MODELO · SUPERA PROPUESTA","EN MODELO")))))))))))</f>
        <v/>
      </c>
    </row>
    <row r="30" spans="1:19" x14ac:dyDescent="0.45">
      <c r="A30" s="8"/>
      <c r="B30" s="4"/>
      <c r="C30" s="5"/>
      <c r="D30" s="5"/>
      <c r="E30" s="5"/>
      <c r="F30" s="4"/>
      <c r="G30" s="8"/>
      <c r="H30" s="5"/>
      <c r="I30" s="5"/>
      <c r="J30" s="4"/>
      <c r="K30" s="12" t="str">
        <f>IFERROR(IF(A30="","",IF(COUNTIF($A$6:$A$105,A30)&gt;1,"DUPLICADO STOCK",IF(COUNTIF(CATALOGO!$A$6:$A$105,A30)&lt;&gt;1,"SKU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INVALIDA",IF(INDEX(CATALOGO!$F$6:$F$105,MATCH(A30,CATALOGO!$A$6:$A$105,0))&lt;&gt;"ACTIVO",INDEX(CATALOGO!$F$6:$F$105,MATCH(A30,CATALOGO!$A$6:$A$105,0)),IF(OR(B30="",B30&lt;&gt;CONFIG!$B$5),"CONTEO NO VIGENTE",IF(OR(C30="",D30="",E30="",H30=""),"FALTA CAMPO",IF(OR(C30&lt;0,C30&gt;1000000,D30&lt;0,D30&gt;1000000,E30&lt;0,E30&gt;1000000,D30&gt;C30),"REVISAR VALOR",IF(H30&gt;CONFIG!$B$6,"EXPOSICION FUERA DE RANGO",IF(H30&lt;&gt;CONFIG!$B$6,"DISPONIBILIDAD INCOMPLETA",IF(CONFIG!$B$14&lt;&gt;"SI","VENTAS INCOMPLETAS",IF(CONFIG!$B$12&lt;&gt;"SI","POLITICA SIN REVISAR",IF(SUMPRODUCT(--(VENTAS!$B$6:$B$1005=A30),--(VENTAS!$A$6:$A$1005&gt;=CONFIG!$B$5-CONFIG!$B$6+1),--(VENTAS!$A$6:$A$1005&lt;=CONFIG!$B$5),--(VENTAS!$I$6:$I$1005&lt;&gt;""),--(VENTAS!$I$6:$I$1005&lt;&gt;"OK"))&gt;0,"VENTAS A REVISAR",IF(AND(E30&gt;0,OR(F30="",G30&lt;&gt;"SI")),"TRANSITO SIN CONFIRMAR",IF(AND(E30&gt;0,G30="SI",OR(F30&lt;=CONFIG!$B$5,F30&gt;CONFIG!$B$5+INDEX(CATALOGO!$M$6:$M$105,MATCH(A30,CATALOGO!$A$6:$A$105,0)))),"TRANSITO FUERA DEL PLAZO",IF(INDEX(CATALOGO!$T$6:$T$105,MATCH(A30,CATALOGO!$A$6:$A$105,0))&lt;&gt;"OK","CATALOGO A REVISAR",IF(1-INDEX(CATALOGO!$K$6:$K$105,MATCH(A30,CATALOGO!$A$6:$A$105,0))-CONFIG!$B$8&lt;=0,"MARGEN OBJETIVO INVIABLE",IF(INDEX(CATALOGO!$R$6:$R$105,MATCH(A30,CATALOGO!$A$6:$A$105,0))&lt;CONFIG!$B$8,"REVISAR PRECIO O COSTO","ELEGIBLE")))))))))))))))))),"CONFIG INVALIDA")</f>
        <v/>
      </c>
      <c r="L30" s="13" t="str">
        <f t="shared" si="0"/>
        <v/>
      </c>
      <c r="M30" s="12" t="str">
        <f>IFERROR(IF(OR(A30="",CONFIG!$B$14&lt;&gt;"SI",CONFIG!$B$6&lt;1,CONFIG!$B$6&gt;365,CONFIG!$B$6&lt;&gt;INT(CONFIG!$B$6),SUMPRODUCT(--(VENTAS!$B$6:$B$1005=A30),--(VENTAS!$A$6:$A$1005&gt;=CONFIG!$B$5-CONFIG!$B$6+1),--(VENTAS!$A$6:$A$1005&lt;=CONFIG!$B$5),--(VENTAS!$I$6:$I$1005&lt;&gt;""),--(VENTAS!$I$6:$I$1005&lt;&gt;"OK"))&gt;0),"",MAX(0,(SUMIFS(VENTAS!$C$6:$C$1005,VENTAS!$B$6:$B$1005,A30,VENTAS!$A$6:$A$1005,"&gt;="&amp;CONFIG!$B$5-CONFIG!$B$6+1,VENTAS!$A$6:$A$1005,"&lt;="&amp;CONFIG!$B$5)-SUMIFS(VENTAS!$E$6:$E$1005,VENTAS!$B$6:$B$1005,A30,VENTAS!$A$6:$A$1005,"&gt;="&amp;CONFIG!$B$5-CONFIG!$B$6+1,VENTAS!$A$6:$A$1005,"&lt;="&amp;CONFIG!$B$5))/CONFIG!$B$6)),"")</f>
        <v/>
      </c>
      <c r="N30" s="14" t="str">
        <f>IF(K30&lt;&gt;"ELEGIBLE","",IF(AND(E30&gt;0,G30="SI",F30&gt;CONFIG!$B$5,F30&lt;=CONFIG!$B$5+INDEX(CATALOGO!$M$6:$M$105,MATCH(A30,CATALOGO!$A$6:$A$105,0))),E30,0))</f>
        <v/>
      </c>
      <c r="O30" s="14" t="str">
        <f>IF(K30&lt;&gt;"ELEGIBLE","",MAX(0,ROUNDUP(ROUND(M30*(INDEX(CATALOGO!$M$6:$M$105,MATCH(A30,CATALOGO!$A$6:$A$105,0))+CONFIG!$B$7)-L30-N30,10),0)))</f>
        <v/>
      </c>
      <c r="P30" s="14" t="str">
        <f>IF(O30="","",IF(O30=0,0,ROUNDUP(MAX(O30,INDEX(CATALOGO!$N$6:$N$105,MATCH(A30,CATALOGO!$A$6:$A$105,0)))/INDEX(CATALOGO!$O$6:$O$105,MATCH(A30,CATALOGO!$A$6:$A$105,0)),0)*INDEX(CATALOGO!$O$6:$O$105,MATCH(A30,CATALOGO!$A$6:$A$105,0))))</f>
        <v/>
      </c>
      <c r="Q30" s="11" t="str">
        <f>IFERROR(IF(OR(A30="",COUNTIF(CATALOGO!$A$6:$A$105,A30)&lt;&gt;1),"",IF(OR(INDEX(CATALOGO!$H$6:$H$105,MATCH(A30,CATALOGO!$A$6:$A$105,0))="",INDEX(CATALOGO!$I$6:$I$105,MATCH(A30,CATALOGO!$A$6:$A$105,0))="",ABS(INDEX(CATALOGO!$H$6:$H$105,MATCH(A30,CATALOGO!$A$6:$A$105,0)))&gt;1000000000,ABS(INDEX(CATALOGO!$I$6:$I$105,MATCH(A30,CATALOGO!$A$6:$A$105,0)))&gt;1000000000),"",INDEX(CATALOGO!$H$6:$H$105,MATCH(A30,CATALOGO!$A$6:$A$105,0))+INDEX(CATALOGO!$I$6:$I$105,MATCH(A30,CATALOGO!$A$6:$A$105,0)))),"")</f>
        <v/>
      </c>
      <c r="R30" s="9" t="str">
        <f>IF(OR(A30="",I30="",COUNTIF(CATALOGO!$A$6:$A$105,A30)&lt;&gt;1),"",IF(I30=0,0,IF(OR(Q30="",INDEX(CATALOGO!$N$6:$N$105,MATCH(A30,CATALOGO!$A$6:$A$105,0))="",INDEX(CATALOGO!$O$6:$O$105,MATCH(A30,CATALOGO!$A$6:$A$105,0))="",INDEX(CATALOGO!$O$6:$O$105,MATCH(A30,CATALOGO!$A$6:$A$105,0))&lt;=0),"",IF(OR(I30&lt;INDEX(CATALOGO!$N$6:$N$105,MATCH(A30,CATALOGO!$A$6:$A$105,0)),MOD(I30,INDEX(CATALOGO!$O$6:$O$105,MATCH(A30,CATALOGO!$A$6:$A$105,0)))&lt;&gt;0,J30="",J30&lt;=CONFIG!$B$5,J30&gt;CONFIG!$B$5+91),"",I30*Q30))))</f>
        <v/>
      </c>
      <c r="S30" s="12" t="str">
        <f>IF(A30="","",IF(COUNTIF(CATALOGO!$A$6:$A$105,A30)&lt;&gt;1,"SKU NO VALIDO",IF(I30="","CANTIDAD DESCONOCIDA",IF(I30=0,"SIN COMPRA ELEGIDA",IF(OR(I30&lt;0,I30&gt;1000000),"CANTIDAD INVALIDA",IF(OR(INDEX(CATALOGO!$N$6:$N$105,MATCH(A30,CATALOGO!$A$6:$A$105,0))="",INDEX(CATALOGO!$O$6:$O$105,MATCH(A30,CATALOGO!$A$6:$A$105,0))="",INDEX(CATALOGO!$O$6:$O$105,MATCH(A30,CATALOGO!$A$6:$A$105,0))&lt;=0),"CATALOGO A REVISAR",IF(OR(I30&lt;INDEX(CATALOGO!$N$6:$N$105,MATCH(A30,CATALOGO!$A$6:$A$105,0)),MOD(I30,INDEX(CATALOGO!$O$6:$O$105,MATCH(A30,CATALOGO!$A$6:$A$105,0)))&lt;&gt;0),"NO RESPETA MOQ/PACK",IF(J30="","FALTA FECHA PAGO",IF(Q30="","COSTO DESCONOCIDO",IF(OR(J30&lt;=CONFIG!$B$5,J30&gt;CONFIG!$B$5+91),"FUERA DE 91 DIAS",IF(AND(P30&lt;&gt;"",I30&gt;P30),"EN MODELO · SUPERA PROPUESTA","EN MODELO")))))))))))</f>
        <v/>
      </c>
    </row>
    <row r="31" spans="1:19" x14ac:dyDescent="0.45">
      <c r="A31" s="8"/>
      <c r="B31" s="4"/>
      <c r="C31" s="5"/>
      <c r="D31" s="5"/>
      <c r="E31" s="5"/>
      <c r="F31" s="4"/>
      <c r="G31" s="8"/>
      <c r="H31" s="5"/>
      <c r="I31" s="5"/>
      <c r="J31" s="4"/>
      <c r="K31" s="12" t="str">
        <f>IFERROR(IF(A31="","",IF(COUNTIF($A$6:$A$105,A31)&gt;1,"DUPLICADO STOCK",IF(COUNTIF(CATALOGO!$A$6:$A$105,A31)&lt;&gt;1,"SKU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INVALIDA",IF(INDEX(CATALOGO!$F$6:$F$105,MATCH(A31,CATALOGO!$A$6:$A$105,0))&lt;&gt;"ACTIVO",INDEX(CATALOGO!$F$6:$F$105,MATCH(A31,CATALOGO!$A$6:$A$105,0)),IF(OR(B31="",B31&lt;&gt;CONFIG!$B$5),"CONTEO NO VIGENTE",IF(OR(C31="",D31="",E31="",H31=""),"FALTA CAMPO",IF(OR(C31&lt;0,C31&gt;1000000,D31&lt;0,D31&gt;1000000,E31&lt;0,E31&gt;1000000,D31&gt;C31),"REVISAR VALOR",IF(H31&gt;CONFIG!$B$6,"EXPOSICION FUERA DE RANGO",IF(H31&lt;&gt;CONFIG!$B$6,"DISPONIBILIDAD INCOMPLETA",IF(CONFIG!$B$14&lt;&gt;"SI","VENTAS INCOMPLETAS",IF(CONFIG!$B$12&lt;&gt;"SI","POLITICA SIN REVISAR",IF(SUMPRODUCT(--(VENTAS!$B$6:$B$1005=A31),--(VENTAS!$A$6:$A$1005&gt;=CONFIG!$B$5-CONFIG!$B$6+1),--(VENTAS!$A$6:$A$1005&lt;=CONFIG!$B$5),--(VENTAS!$I$6:$I$1005&lt;&gt;""),--(VENTAS!$I$6:$I$1005&lt;&gt;"OK"))&gt;0,"VENTAS A REVISAR",IF(AND(E31&gt;0,OR(F31="",G31&lt;&gt;"SI")),"TRANSITO SIN CONFIRMAR",IF(AND(E31&gt;0,G31="SI",OR(F31&lt;=CONFIG!$B$5,F31&gt;CONFIG!$B$5+INDEX(CATALOGO!$M$6:$M$105,MATCH(A31,CATALOGO!$A$6:$A$105,0)))),"TRANSITO FUERA DEL PLAZO",IF(INDEX(CATALOGO!$T$6:$T$105,MATCH(A31,CATALOGO!$A$6:$A$105,0))&lt;&gt;"OK","CATALOGO A REVISAR",IF(1-INDEX(CATALOGO!$K$6:$K$105,MATCH(A31,CATALOGO!$A$6:$A$105,0))-CONFIG!$B$8&lt;=0,"MARGEN OBJETIVO INVIABLE",IF(INDEX(CATALOGO!$R$6:$R$105,MATCH(A31,CATALOGO!$A$6:$A$105,0))&lt;CONFIG!$B$8,"REVISAR PRECIO O COSTO","ELEGIBLE")))))))))))))))))),"CONFIG INVALIDA")</f>
        <v/>
      </c>
      <c r="L31" s="13" t="str">
        <f t="shared" si="0"/>
        <v/>
      </c>
      <c r="M31" s="12" t="str">
        <f>IFERROR(IF(OR(A31="",CONFIG!$B$14&lt;&gt;"SI",CONFIG!$B$6&lt;1,CONFIG!$B$6&gt;365,CONFIG!$B$6&lt;&gt;INT(CONFIG!$B$6),SUMPRODUCT(--(VENTAS!$B$6:$B$1005=A31),--(VENTAS!$A$6:$A$1005&gt;=CONFIG!$B$5-CONFIG!$B$6+1),--(VENTAS!$A$6:$A$1005&lt;=CONFIG!$B$5),--(VENTAS!$I$6:$I$1005&lt;&gt;""),--(VENTAS!$I$6:$I$1005&lt;&gt;"OK"))&gt;0),"",MAX(0,(SUMIFS(VENTAS!$C$6:$C$1005,VENTAS!$B$6:$B$1005,A31,VENTAS!$A$6:$A$1005,"&gt;="&amp;CONFIG!$B$5-CONFIG!$B$6+1,VENTAS!$A$6:$A$1005,"&lt;="&amp;CONFIG!$B$5)-SUMIFS(VENTAS!$E$6:$E$1005,VENTAS!$B$6:$B$1005,A31,VENTAS!$A$6:$A$1005,"&gt;="&amp;CONFIG!$B$5-CONFIG!$B$6+1,VENTAS!$A$6:$A$1005,"&lt;="&amp;CONFIG!$B$5))/CONFIG!$B$6)),"")</f>
        <v/>
      </c>
      <c r="N31" s="14" t="str">
        <f>IF(K31&lt;&gt;"ELEGIBLE","",IF(AND(E31&gt;0,G31="SI",F31&gt;CONFIG!$B$5,F31&lt;=CONFIG!$B$5+INDEX(CATALOGO!$M$6:$M$105,MATCH(A31,CATALOGO!$A$6:$A$105,0))),E31,0))</f>
        <v/>
      </c>
      <c r="O31" s="14" t="str">
        <f>IF(K31&lt;&gt;"ELEGIBLE","",MAX(0,ROUNDUP(ROUND(M31*(INDEX(CATALOGO!$M$6:$M$105,MATCH(A31,CATALOGO!$A$6:$A$105,0))+CONFIG!$B$7)-L31-N31,10),0)))</f>
        <v/>
      </c>
      <c r="P31" s="14" t="str">
        <f>IF(O31="","",IF(O31=0,0,ROUNDUP(MAX(O31,INDEX(CATALOGO!$N$6:$N$105,MATCH(A31,CATALOGO!$A$6:$A$105,0)))/INDEX(CATALOGO!$O$6:$O$105,MATCH(A31,CATALOGO!$A$6:$A$105,0)),0)*INDEX(CATALOGO!$O$6:$O$105,MATCH(A31,CATALOGO!$A$6:$A$105,0))))</f>
        <v/>
      </c>
      <c r="Q31" s="11" t="str">
        <f>IFERROR(IF(OR(A31="",COUNTIF(CATALOGO!$A$6:$A$105,A31)&lt;&gt;1),"",IF(OR(INDEX(CATALOGO!$H$6:$H$105,MATCH(A31,CATALOGO!$A$6:$A$105,0))="",INDEX(CATALOGO!$I$6:$I$105,MATCH(A31,CATALOGO!$A$6:$A$105,0))="",ABS(INDEX(CATALOGO!$H$6:$H$105,MATCH(A31,CATALOGO!$A$6:$A$105,0)))&gt;1000000000,ABS(INDEX(CATALOGO!$I$6:$I$105,MATCH(A31,CATALOGO!$A$6:$A$105,0)))&gt;1000000000),"",INDEX(CATALOGO!$H$6:$H$105,MATCH(A31,CATALOGO!$A$6:$A$105,0))+INDEX(CATALOGO!$I$6:$I$105,MATCH(A31,CATALOGO!$A$6:$A$105,0)))),"")</f>
        <v/>
      </c>
      <c r="R31" s="9" t="str">
        <f>IF(OR(A31="",I31="",COUNTIF(CATALOGO!$A$6:$A$105,A31)&lt;&gt;1),"",IF(I31=0,0,IF(OR(Q31="",INDEX(CATALOGO!$N$6:$N$105,MATCH(A31,CATALOGO!$A$6:$A$105,0))="",INDEX(CATALOGO!$O$6:$O$105,MATCH(A31,CATALOGO!$A$6:$A$105,0))="",INDEX(CATALOGO!$O$6:$O$105,MATCH(A31,CATALOGO!$A$6:$A$105,0))&lt;=0),"",IF(OR(I31&lt;INDEX(CATALOGO!$N$6:$N$105,MATCH(A31,CATALOGO!$A$6:$A$105,0)),MOD(I31,INDEX(CATALOGO!$O$6:$O$105,MATCH(A31,CATALOGO!$A$6:$A$105,0)))&lt;&gt;0,J31="",J31&lt;=CONFIG!$B$5,J31&gt;CONFIG!$B$5+91),"",I31*Q31))))</f>
        <v/>
      </c>
      <c r="S31" s="12" t="str">
        <f>IF(A31="","",IF(COUNTIF(CATALOGO!$A$6:$A$105,A31)&lt;&gt;1,"SKU NO VALIDO",IF(I31="","CANTIDAD DESCONOCIDA",IF(I31=0,"SIN COMPRA ELEGIDA",IF(OR(I31&lt;0,I31&gt;1000000),"CANTIDAD INVALIDA",IF(OR(INDEX(CATALOGO!$N$6:$N$105,MATCH(A31,CATALOGO!$A$6:$A$105,0))="",INDEX(CATALOGO!$O$6:$O$105,MATCH(A31,CATALOGO!$A$6:$A$105,0))="",INDEX(CATALOGO!$O$6:$O$105,MATCH(A31,CATALOGO!$A$6:$A$105,0))&lt;=0),"CATALOGO A REVISAR",IF(OR(I31&lt;INDEX(CATALOGO!$N$6:$N$105,MATCH(A31,CATALOGO!$A$6:$A$105,0)),MOD(I31,INDEX(CATALOGO!$O$6:$O$105,MATCH(A31,CATALOGO!$A$6:$A$105,0)))&lt;&gt;0),"NO RESPETA MOQ/PACK",IF(J31="","FALTA FECHA PAGO",IF(Q31="","COSTO DESCONOCIDO",IF(OR(J31&lt;=CONFIG!$B$5,J31&gt;CONFIG!$B$5+91),"FUERA DE 91 DIAS",IF(AND(P31&lt;&gt;"",I31&gt;P31),"EN MODELO · SUPERA PROPUESTA","EN MODELO")))))))))))</f>
        <v/>
      </c>
    </row>
    <row r="32" spans="1:19" x14ac:dyDescent="0.45">
      <c r="A32" s="8"/>
      <c r="B32" s="4"/>
      <c r="C32" s="5"/>
      <c r="D32" s="5"/>
      <c r="E32" s="5"/>
      <c r="F32" s="4"/>
      <c r="G32" s="8"/>
      <c r="H32" s="5"/>
      <c r="I32" s="5"/>
      <c r="J32" s="4"/>
      <c r="K32" s="12" t="str">
        <f>IFERROR(IF(A32="","",IF(COUNTIF($A$6:$A$105,A32)&gt;1,"DUPLICADO STOCK",IF(COUNTIF(CATALOGO!$A$6:$A$105,A32)&lt;&gt;1,"SKU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INVALIDA",IF(INDEX(CATALOGO!$F$6:$F$105,MATCH(A32,CATALOGO!$A$6:$A$105,0))&lt;&gt;"ACTIVO",INDEX(CATALOGO!$F$6:$F$105,MATCH(A32,CATALOGO!$A$6:$A$105,0)),IF(OR(B32="",B32&lt;&gt;CONFIG!$B$5),"CONTEO NO VIGENTE",IF(OR(C32="",D32="",E32="",H32=""),"FALTA CAMPO",IF(OR(C32&lt;0,C32&gt;1000000,D32&lt;0,D32&gt;1000000,E32&lt;0,E32&gt;1000000,D32&gt;C32),"REVISAR VALOR",IF(H32&gt;CONFIG!$B$6,"EXPOSICION FUERA DE RANGO",IF(H32&lt;&gt;CONFIG!$B$6,"DISPONIBILIDAD INCOMPLETA",IF(CONFIG!$B$14&lt;&gt;"SI","VENTAS INCOMPLETAS",IF(CONFIG!$B$12&lt;&gt;"SI","POLITICA SIN REVISAR",IF(SUMPRODUCT(--(VENTAS!$B$6:$B$1005=A32),--(VENTAS!$A$6:$A$1005&gt;=CONFIG!$B$5-CONFIG!$B$6+1),--(VENTAS!$A$6:$A$1005&lt;=CONFIG!$B$5),--(VENTAS!$I$6:$I$1005&lt;&gt;""),--(VENTAS!$I$6:$I$1005&lt;&gt;"OK"))&gt;0,"VENTAS A REVISAR",IF(AND(E32&gt;0,OR(F32="",G32&lt;&gt;"SI")),"TRANSITO SIN CONFIRMAR",IF(AND(E32&gt;0,G32="SI",OR(F32&lt;=CONFIG!$B$5,F32&gt;CONFIG!$B$5+INDEX(CATALOGO!$M$6:$M$105,MATCH(A32,CATALOGO!$A$6:$A$105,0)))),"TRANSITO FUERA DEL PLAZO",IF(INDEX(CATALOGO!$T$6:$T$105,MATCH(A32,CATALOGO!$A$6:$A$105,0))&lt;&gt;"OK","CATALOGO A REVISAR",IF(1-INDEX(CATALOGO!$K$6:$K$105,MATCH(A32,CATALOGO!$A$6:$A$105,0))-CONFIG!$B$8&lt;=0,"MARGEN OBJETIVO INVIABLE",IF(INDEX(CATALOGO!$R$6:$R$105,MATCH(A32,CATALOGO!$A$6:$A$105,0))&lt;CONFIG!$B$8,"REVISAR PRECIO O COSTO","ELEGIBLE")))))))))))))))))),"CONFIG INVALIDA")</f>
        <v/>
      </c>
      <c r="L32" s="13" t="str">
        <f t="shared" si="0"/>
        <v/>
      </c>
      <c r="M32" s="12" t="str">
        <f>IFERROR(IF(OR(A32="",CONFIG!$B$14&lt;&gt;"SI",CONFIG!$B$6&lt;1,CONFIG!$B$6&gt;365,CONFIG!$B$6&lt;&gt;INT(CONFIG!$B$6),SUMPRODUCT(--(VENTAS!$B$6:$B$1005=A32),--(VENTAS!$A$6:$A$1005&gt;=CONFIG!$B$5-CONFIG!$B$6+1),--(VENTAS!$A$6:$A$1005&lt;=CONFIG!$B$5),--(VENTAS!$I$6:$I$1005&lt;&gt;""),--(VENTAS!$I$6:$I$1005&lt;&gt;"OK"))&gt;0),"",MAX(0,(SUMIFS(VENTAS!$C$6:$C$1005,VENTAS!$B$6:$B$1005,A32,VENTAS!$A$6:$A$1005,"&gt;="&amp;CONFIG!$B$5-CONFIG!$B$6+1,VENTAS!$A$6:$A$1005,"&lt;="&amp;CONFIG!$B$5)-SUMIFS(VENTAS!$E$6:$E$1005,VENTAS!$B$6:$B$1005,A32,VENTAS!$A$6:$A$1005,"&gt;="&amp;CONFIG!$B$5-CONFIG!$B$6+1,VENTAS!$A$6:$A$1005,"&lt;="&amp;CONFIG!$B$5))/CONFIG!$B$6)),"")</f>
        <v/>
      </c>
      <c r="N32" s="14" t="str">
        <f>IF(K32&lt;&gt;"ELEGIBLE","",IF(AND(E32&gt;0,G32="SI",F32&gt;CONFIG!$B$5,F32&lt;=CONFIG!$B$5+INDEX(CATALOGO!$M$6:$M$105,MATCH(A32,CATALOGO!$A$6:$A$105,0))),E32,0))</f>
        <v/>
      </c>
      <c r="O32" s="14" t="str">
        <f>IF(K32&lt;&gt;"ELEGIBLE","",MAX(0,ROUNDUP(ROUND(M32*(INDEX(CATALOGO!$M$6:$M$105,MATCH(A32,CATALOGO!$A$6:$A$105,0))+CONFIG!$B$7)-L32-N32,10),0)))</f>
        <v/>
      </c>
      <c r="P32" s="14" t="str">
        <f>IF(O32="","",IF(O32=0,0,ROUNDUP(MAX(O32,INDEX(CATALOGO!$N$6:$N$105,MATCH(A32,CATALOGO!$A$6:$A$105,0)))/INDEX(CATALOGO!$O$6:$O$105,MATCH(A32,CATALOGO!$A$6:$A$105,0)),0)*INDEX(CATALOGO!$O$6:$O$105,MATCH(A32,CATALOGO!$A$6:$A$105,0))))</f>
        <v/>
      </c>
      <c r="Q32" s="11" t="str">
        <f>IFERROR(IF(OR(A32="",COUNTIF(CATALOGO!$A$6:$A$105,A32)&lt;&gt;1),"",IF(OR(INDEX(CATALOGO!$H$6:$H$105,MATCH(A32,CATALOGO!$A$6:$A$105,0))="",INDEX(CATALOGO!$I$6:$I$105,MATCH(A32,CATALOGO!$A$6:$A$105,0))="",ABS(INDEX(CATALOGO!$H$6:$H$105,MATCH(A32,CATALOGO!$A$6:$A$105,0)))&gt;1000000000,ABS(INDEX(CATALOGO!$I$6:$I$105,MATCH(A32,CATALOGO!$A$6:$A$105,0)))&gt;1000000000),"",INDEX(CATALOGO!$H$6:$H$105,MATCH(A32,CATALOGO!$A$6:$A$105,0))+INDEX(CATALOGO!$I$6:$I$105,MATCH(A32,CATALOGO!$A$6:$A$105,0)))),"")</f>
        <v/>
      </c>
      <c r="R32" s="9" t="str">
        <f>IF(OR(A32="",I32="",COUNTIF(CATALOGO!$A$6:$A$105,A32)&lt;&gt;1),"",IF(I32=0,0,IF(OR(Q32="",INDEX(CATALOGO!$N$6:$N$105,MATCH(A32,CATALOGO!$A$6:$A$105,0))="",INDEX(CATALOGO!$O$6:$O$105,MATCH(A32,CATALOGO!$A$6:$A$105,0))="",INDEX(CATALOGO!$O$6:$O$105,MATCH(A32,CATALOGO!$A$6:$A$105,0))&lt;=0),"",IF(OR(I32&lt;INDEX(CATALOGO!$N$6:$N$105,MATCH(A32,CATALOGO!$A$6:$A$105,0)),MOD(I32,INDEX(CATALOGO!$O$6:$O$105,MATCH(A32,CATALOGO!$A$6:$A$105,0)))&lt;&gt;0,J32="",J32&lt;=CONFIG!$B$5,J32&gt;CONFIG!$B$5+91),"",I32*Q32))))</f>
        <v/>
      </c>
      <c r="S32" s="12" t="str">
        <f>IF(A32="","",IF(COUNTIF(CATALOGO!$A$6:$A$105,A32)&lt;&gt;1,"SKU NO VALIDO",IF(I32="","CANTIDAD DESCONOCIDA",IF(I32=0,"SIN COMPRA ELEGIDA",IF(OR(I32&lt;0,I32&gt;1000000),"CANTIDAD INVALIDA",IF(OR(INDEX(CATALOGO!$N$6:$N$105,MATCH(A32,CATALOGO!$A$6:$A$105,0))="",INDEX(CATALOGO!$O$6:$O$105,MATCH(A32,CATALOGO!$A$6:$A$105,0))="",INDEX(CATALOGO!$O$6:$O$105,MATCH(A32,CATALOGO!$A$6:$A$105,0))&lt;=0),"CATALOGO A REVISAR",IF(OR(I32&lt;INDEX(CATALOGO!$N$6:$N$105,MATCH(A32,CATALOGO!$A$6:$A$105,0)),MOD(I32,INDEX(CATALOGO!$O$6:$O$105,MATCH(A32,CATALOGO!$A$6:$A$105,0)))&lt;&gt;0),"NO RESPETA MOQ/PACK",IF(J32="","FALTA FECHA PAGO",IF(Q32="","COSTO DESCONOCIDO",IF(OR(J32&lt;=CONFIG!$B$5,J32&gt;CONFIG!$B$5+91),"FUERA DE 91 DIAS",IF(AND(P32&lt;&gt;"",I32&gt;P32),"EN MODELO · SUPERA PROPUESTA","EN MODELO")))))))))))</f>
        <v/>
      </c>
    </row>
    <row r="33" spans="1:19" x14ac:dyDescent="0.45">
      <c r="A33" s="8"/>
      <c r="B33" s="4"/>
      <c r="C33" s="5"/>
      <c r="D33" s="5"/>
      <c r="E33" s="5"/>
      <c r="F33" s="4"/>
      <c r="G33" s="8"/>
      <c r="H33" s="5"/>
      <c r="I33" s="5"/>
      <c r="J33" s="4"/>
      <c r="K33" s="12" t="str">
        <f>IFERROR(IF(A33="","",IF(COUNTIF($A$6:$A$105,A33)&gt;1,"DUPLICADO STOCK",IF(COUNTIF(CATALOGO!$A$6:$A$105,A33)&lt;&gt;1,"SKU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INVALIDA",IF(INDEX(CATALOGO!$F$6:$F$105,MATCH(A33,CATALOGO!$A$6:$A$105,0))&lt;&gt;"ACTIVO",INDEX(CATALOGO!$F$6:$F$105,MATCH(A33,CATALOGO!$A$6:$A$105,0)),IF(OR(B33="",B33&lt;&gt;CONFIG!$B$5),"CONTEO NO VIGENTE",IF(OR(C33="",D33="",E33="",H33=""),"FALTA CAMPO",IF(OR(C33&lt;0,C33&gt;1000000,D33&lt;0,D33&gt;1000000,E33&lt;0,E33&gt;1000000,D33&gt;C33),"REVISAR VALOR",IF(H33&gt;CONFIG!$B$6,"EXPOSICION FUERA DE RANGO",IF(H33&lt;&gt;CONFIG!$B$6,"DISPONIBILIDAD INCOMPLETA",IF(CONFIG!$B$14&lt;&gt;"SI","VENTAS INCOMPLETAS",IF(CONFIG!$B$12&lt;&gt;"SI","POLITICA SIN REVISAR",IF(SUMPRODUCT(--(VENTAS!$B$6:$B$1005=A33),--(VENTAS!$A$6:$A$1005&gt;=CONFIG!$B$5-CONFIG!$B$6+1),--(VENTAS!$A$6:$A$1005&lt;=CONFIG!$B$5),--(VENTAS!$I$6:$I$1005&lt;&gt;""),--(VENTAS!$I$6:$I$1005&lt;&gt;"OK"))&gt;0,"VENTAS A REVISAR",IF(AND(E33&gt;0,OR(F33="",G33&lt;&gt;"SI")),"TRANSITO SIN CONFIRMAR",IF(AND(E33&gt;0,G33="SI",OR(F33&lt;=CONFIG!$B$5,F33&gt;CONFIG!$B$5+INDEX(CATALOGO!$M$6:$M$105,MATCH(A33,CATALOGO!$A$6:$A$105,0)))),"TRANSITO FUERA DEL PLAZO",IF(INDEX(CATALOGO!$T$6:$T$105,MATCH(A33,CATALOGO!$A$6:$A$105,0))&lt;&gt;"OK","CATALOGO A REVISAR",IF(1-INDEX(CATALOGO!$K$6:$K$105,MATCH(A33,CATALOGO!$A$6:$A$105,0))-CONFIG!$B$8&lt;=0,"MARGEN OBJETIVO INVIABLE",IF(INDEX(CATALOGO!$R$6:$R$105,MATCH(A33,CATALOGO!$A$6:$A$105,0))&lt;CONFIG!$B$8,"REVISAR PRECIO O COSTO","ELEGIBLE")))))))))))))))))),"CONFIG INVALIDA")</f>
        <v/>
      </c>
      <c r="L33" s="13" t="str">
        <f t="shared" si="0"/>
        <v/>
      </c>
      <c r="M33" s="12" t="str">
        <f>IFERROR(IF(OR(A33="",CONFIG!$B$14&lt;&gt;"SI",CONFIG!$B$6&lt;1,CONFIG!$B$6&gt;365,CONFIG!$B$6&lt;&gt;INT(CONFIG!$B$6),SUMPRODUCT(--(VENTAS!$B$6:$B$1005=A33),--(VENTAS!$A$6:$A$1005&gt;=CONFIG!$B$5-CONFIG!$B$6+1),--(VENTAS!$A$6:$A$1005&lt;=CONFIG!$B$5),--(VENTAS!$I$6:$I$1005&lt;&gt;""),--(VENTAS!$I$6:$I$1005&lt;&gt;"OK"))&gt;0),"",MAX(0,(SUMIFS(VENTAS!$C$6:$C$1005,VENTAS!$B$6:$B$1005,A33,VENTAS!$A$6:$A$1005,"&gt;="&amp;CONFIG!$B$5-CONFIG!$B$6+1,VENTAS!$A$6:$A$1005,"&lt;="&amp;CONFIG!$B$5)-SUMIFS(VENTAS!$E$6:$E$1005,VENTAS!$B$6:$B$1005,A33,VENTAS!$A$6:$A$1005,"&gt;="&amp;CONFIG!$B$5-CONFIG!$B$6+1,VENTAS!$A$6:$A$1005,"&lt;="&amp;CONFIG!$B$5))/CONFIG!$B$6)),"")</f>
        <v/>
      </c>
      <c r="N33" s="14" t="str">
        <f>IF(K33&lt;&gt;"ELEGIBLE","",IF(AND(E33&gt;0,G33="SI",F33&gt;CONFIG!$B$5,F33&lt;=CONFIG!$B$5+INDEX(CATALOGO!$M$6:$M$105,MATCH(A33,CATALOGO!$A$6:$A$105,0))),E33,0))</f>
        <v/>
      </c>
      <c r="O33" s="14" t="str">
        <f>IF(K33&lt;&gt;"ELEGIBLE","",MAX(0,ROUNDUP(ROUND(M33*(INDEX(CATALOGO!$M$6:$M$105,MATCH(A33,CATALOGO!$A$6:$A$105,0))+CONFIG!$B$7)-L33-N33,10),0)))</f>
        <v/>
      </c>
      <c r="P33" s="14" t="str">
        <f>IF(O33="","",IF(O33=0,0,ROUNDUP(MAX(O33,INDEX(CATALOGO!$N$6:$N$105,MATCH(A33,CATALOGO!$A$6:$A$105,0)))/INDEX(CATALOGO!$O$6:$O$105,MATCH(A33,CATALOGO!$A$6:$A$105,0)),0)*INDEX(CATALOGO!$O$6:$O$105,MATCH(A33,CATALOGO!$A$6:$A$105,0))))</f>
        <v/>
      </c>
      <c r="Q33" s="11" t="str">
        <f>IFERROR(IF(OR(A33="",COUNTIF(CATALOGO!$A$6:$A$105,A33)&lt;&gt;1),"",IF(OR(INDEX(CATALOGO!$H$6:$H$105,MATCH(A33,CATALOGO!$A$6:$A$105,0))="",INDEX(CATALOGO!$I$6:$I$105,MATCH(A33,CATALOGO!$A$6:$A$105,0))="",ABS(INDEX(CATALOGO!$H$6:$H$105,MATCH(A33,CATALOGO!$A$6:$A$105,0)))&gt;1000000000,ABS(INDEX(CATALOGO!$I$6:$I$105,MATCH(A33,CATALOGO!$A$6:$A$105,0)))&gt;1000000000),"",INDEX(CATALOGO!$H$6:$H$105,MATCH(A33,CATALOGO!$A$6:$A$105,0))+INDEX(CATALOGO!$I$6:$I$105,MATCH(A33,CATALOGO!$A$6:$A$105,0)))),"")</f>
        <v/>
      </c>
      <c r="R33" s="9" t="str">
        <f>IF(OR(A33="",I33="",COUNTIF(CATALOGO!$A$6:$A$105,A33)&lt;&gt;1),"",IF(I33=0,0,IF(OR(Q33="",INDEX(CATALOGO!$N$6:$N$105,MATCH(A33,CATALOGO!$A$6:$A$105,0))="",INDEX(CATALOGO!$O$6:$O$105,MATCH(A33,CATALOGO!$A$6:$A$105,0))="",INDEX(CATALOGO!$O$6:$O$105,MATCH(A33,CATALOGO!$A$6:$A$105,0))&lt;=0),"",IF(OR(I33&lt;INDEX(CATALOGO!$N$6:$N$105,MATCH(A33,CATALOGO!$A$6:$A$105,0)),MOD(I33,INDEX(CATALOGO!$O$6:$O$105,MATCH(A33,CATALOGO!$A$6:$A$105,0)))&lt;&gt;0,J33="",J33&lt;=CONFIG!$B$5,J33&gt;CONFIG!$B$5+91),"",I33*Q33))))</f>
        <v/>
      </c>
      <c r="S33" s="12" t="str">
        <f>IF(A33="","",IF(COUNTIF(CATALOGO!$A$6:$A$105,A33)&lt;&gt;1,"SKU NO VALIDO",IF(I33="","CANTIDAD DESCONOCIDA",IF(I33=0,"SIN COMPRA ELEGIDA",IF(OR(I33&lt;0,I33&gt;1000000),"CANTIDAD INVALIDA",IF(OR(INDEX(CATALOGO!$N$6:$N$105,MATCH(A33,CATALOGO!$A$6:$A$105,0))="",INDEX(CATALOGO!$O$6:$O$105,MATCH(A33,CATALOGO!$A$6:$A$105,0))="",INDEX(CATALOGO!$O$6:$O$105,MATCH(A33,CATALOGO!$A$6:$A$105,0))&lt;=0),"CATALOGO A REVISAR",IF(OR(I33&lt;INDEX(CATALOGO!$N$6:$N$105,MATCH(A33,CATALOGO!$A$6:$A$105,0)),MOD(I33,INDEX(CATALOGO!$O$6:$O$105,MATCH(A33,CATALOGO!$A$6:$A$105,0)))&lt;&gt;0),"NO RESPETA MOQ/PACK",IF(J33="","FALTA FECHA PAGO",IF(Q33="","COSTO DESCONOCIDO",IF(OR(J33&lt;=CONFIG!$B$5,J33&gt;CONFIG!$B$5+91),"FUERA DE 91 DIAS",IF(AND(P33&lt;&gt;"",I33&gt;P33),"EN MODELO · SUPERA PROPUESTA","EN MODELO")))))))))))</f>
        <v/>
      </c>
    </row>
    <row r="34" spans="1:19" x14ac:dyDescent="0.45">
      <c r="A34" s="8"/>
      <c r="B34" s="4"/>
      <c r="C34" s="5"/>
      <c r="D34" s="5"/>
      <c r="E34" s="5"/>
      <c r="F34" s="4"/>
      <c r="G34" s="8"/>
      <c r="H34" s="5"/>
      <c r="I34" s="5"/>
      <c r="J34" s="4"/>
      <c r="K34" s="12" t="str">
        <f>IFERROR(IF(A34="","",IF(COUNTIF($A$6:$A$105,A34)&gt;1,"DUPLICADO STOCK",IF(COUNTIF(CATALOGO!$A$6:$A$105,A34)&lt;&gt;1,"SKU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INVALIDA",IF(INDEX(CATALOGO!$F$6:$F$105,MATCH(A34,CATALOGO!$A$6:$A$105,0))&lt;&gt;"ACTIVO",INDEX(CATALOGO!$F$6:$F$105,MATCH(A34,CATALOGO!$A$6:$A$105,0)),IF(OR(B34="",B34&lt;&gt;CONFIG!$B$5),"CONTEO NO VIGENTE",IF(OR(C34="",D34="",E34="",H34=""),"FALTA CAMPO",IF(OR(C34&lt;0,C34&gt;1000000,D34&lt;0,D34&gt;1000000,E34&lt;0,E34&gt;1000000,D34&gt;C34),"REVISAR VALOR",IF(H34&gt;CONFIG!$B$6,"EXPOSICION FUERA DE RANGO",IF(H34&lt;&gt;CONFIG!$B$6,"DISPONIBILIDAD INCOMPLETA",IF(CONFIG!$B$14&lt;&gt;"SI","VENTAS INCOMPLETAS",IF(CONFIG!$B$12&lt;&gt;"SI","POLITICA SIN REVISAR",IF(SUMPRODUCT(--(VENTAS!$B$6:$B$1005=A34),--(VENTAS!$A$6:$A$1005&gt;=CONFIG!$B$5-CONFIG!$B$6+1),--(VENTAS!$A$6:$A$1005&lt;=CONFIG!$B$5),--(VENTAS!$I$6:$I$1005&lt;&gt;""),--(VENTAS!$I$6:$I$1005&lt;&gt;"OK"))&gt;0,"VENTAS A REVISAR",IF(AND(E34&gt;0,OR(F34="",G34&lt;&gt;"SI")),"TRANSITO SIN CONFIRMAR",IF(AND(E34&gt;0,G34="SI",OR(F34&lt;=CONFIG!$B$5,F34&gt;CONFIG!$B$5+INDEX(CATALOGO!$M$6:$M$105,MATCH(A34,CATALOGO!$A$6:$A$105,0)))),"TRANSITO FUERA DEL PLAZO",IF(INDEX(CATALOGO!$T$6:$T$105,MATCH(A34,CATALOGO!$A$6:$A$105,0))&lt;&gt;"OK","CATALOGO A REVISAR",IF(1-INDEX(CATALOGO!$K$6:$K$105,MATCH(A34,CATALOGO!$A$6:$A$105,0))-CONFIG!$B$8&lt;=0,"MARGEN OBJETIVO INVIABLE",IF(INDEX(CATALOGO!$R$6:$R$105,MATCH(A34,CATALOGO!$A$6:$A$105,0))&lt;CONFIG!$B$8,"REVISAR PRECIO O COSTO","ELEGIBLE")))))))))))))))))),"CONFIG INVALIDA")</f>
        <v/>
      </c>
      <c r="L34" s="13" t="str">
        <f t="shared" si="0"/>
        <v/>
      </c>
      <c r="M34" s="12" t="str">
        <f>IFERROR(IF(OR(A34="",CONFIG!$B$14&lt;&gt;"SI",CONFIG!$B$6&lt;1,CONFIG!$B$6&gt;365,CONFIG!$B$6&lt;&gt;INT(CONFIG!$B$6),SUMPRODUCT(--(VENTAS!$B$6:$B$1005=A34),--(VENTAS!$A$6:$A$1005&gt;=CONFIG!$B$5-CONFIG!$B$6+1),--(VENTAS!$A$6:$A$1005&lt;=CONFIG!$B$5),--(VENTAS!$I$6:$I$1005&lt;&gt;""),--(VENTAS!$I$6:$I$1005&lt;&gt;"OK"))&gt;0),"",MAX(0,(SUMIFS(VENTAS!$C$6:$C$1005,VENTAS!$B$6:$B$1005,A34,VENTAS!$A$6:$A$1005,"&gt;="&amp;CONFIG!$B$5-CONFIG!$B$6+1,VENTAS!$A$6:$A$1005,"&lt;="&amp;CONFIG!$B$5)-SUMIFS(VENTAS!$E$6:$E$1005,VENTAS!$B$6:$B$1005,A34,VENTAS!$A$6:$A$1005,"&gt;="&amp;CONFIG!$B$5-CONFIG!$B$6+1,VENTAS!$A$6:$A$1005,"&lt;="&amp;CONFIG!$B$5))/CONFIG!$B$6)),"")</f>
        <v/>
      </c>
      <c r="N34" s="14" t="str">
        <f>IF(K34&lt;&gt;"ELEGIBLE","",IF(AND(E34&gt;0,G34="SI",F34&gt;CONFIG!$B$5,F34&lt;=CONFIG!$B$5+INDEX(CATALOGO!$M$6:$M$105,MATCH(A34,CATALOGO!$A$6:$A$105,0))),E34,0))</f>
        <v/>
      </c>
      <c r="O34" s="14" t="str">
        <f>IF(K34&lt;&gt;"ELEGIBLE","",MAX(0,ROUNDUP(ROUND(M34*(INDEX(CATALOGO!$M$6:$M$105,MATCH(A34,CATALOGO!$A$6:$A$105,0))+CONFIG!$B$7)-L34-N34,10),0)))</f>
        <v/>
      </c>
      <c r="P34" s="14" t="str">
        <f>IF(O34="","",IF(O34=0,0,ROUNDUP(MAX(O34,INDEX(CATALOGO!$N$6:$N$105,MATCH(A34,CATALOGO!$A$6:$A$105,0)))/INDEX(CATALOGO!$O$6:$O$105,MATCH(A34,CATALOGO!$A$6:$A$105,0)),0)*INDEX(CATALOGO!$O$6:$O$105,MATCH(A34,CATALOGO!$A$6:$A$105,0))))</f>
        <v/>
      </c>
      <c r="Q34" s="11" t="str">
        <f>IFERROR(IF(OR(A34="",COUNTIF(CATALOGO!$A$6:$A$105,A34)&lt;&gt;1),"",IF(OR(INDEX(CATALOGO!$H$6:$H$105,MATCH(A34,CATALOGO!$A$6:$A$105,0))="",INDEX(CATALOGO!$I$6:$I$105,MATCH(A34,CATALOGO!$A$6:$A$105,0))="",ABS(INDEX(CATALOGO!$H$6:$H$105,MATCH(A34,CATALOGO!$A$6:$A$105,0)))&gt;1000000000,ABS(INDEX(CATALOGO!$I$6:$I$105,MATCH(A34,CATALOGO!$A$6:$A$105,0)))&gt;1000000000),"",INDEX(CATALOGO!$H$6:$H$105,MATCH(A34,CATALOGO!$A$6:$A$105,0))+INDEX(CATALOGO!$I$6:$I$105,MATCH(A34,CATALOGO!$A$6:$A$105,0)))),"")</f>
        <v/>
      </c>
      <c r="R34" s="9" t="str">
        <f>IF(OR(A34="",I34="",COUNTIF(CATALOGO!$A$6:$A$105,A34)&lt;&gt;1),"",IF(I34=0,0,IF(OR(Q34="",INDEX(CATALOGO!$N$6:$N$105,MATCH(A34,CATALOGO!$A$6:$A$105,0))="",INDEX(CATALOGO!$O$6:$O$105,MATCH(A34,CATALOGO!$A$6:$A$105,0))="",INDEX(CATALOGO!$O$6:$O$105,MATCH(A34,CATALOGO!$A$6:$A$105,0))&lt;=0),"",IF(OR(I34&lt;INDEX(CATALOGO!$N$6:$N$105,MATCH(A34,CATALOGO!$A$6:$A$105,0)),MOD(I34,INDEX(CATALOGO!$O$6:$O$105,MATCH(A34,CATALOGO!$A$6:$A$105,0)))&lt;&gt;0,J34="",J34&lt;=CONFIG!$B$5,J34&gt;CONFIG!$B$5+91),"",I34*Q34))))</f>
        <v/>
      </c>
      <c r="S34" s="12" t="str">
        <f>IF(A34="","",IF(COUNTIF(CATALOGO!$A$6:$A$105,A34)&lt;&gt;1,"SKU NO VALIDO",IF(I34="","CANTIDAD DESCONOCIDA",IF(I34=0,"SIN COMPRA ELEGIDA",IF(OR(I34&lt;0,I34&gt;1000000),"CANTIDAD INVALIDA",IF(OR(INDEX(CATALOGO!$N$6:$N$105,MATCH(A34,CATALOGO!$A$6:$A$105,0))="",INDEX(CATALOGO!$O$6:$O$105,MATCH(A34,CATALOGO!$A$6:$A$105,0))="",INDEX(CATALOGO!$O$6:$O$105,MATCH(A34,CATALOGO!$A$6:$A$105,0))&lt;=0),"CATALOGO A REVISAR",IF(OR(I34&lt;INDEX(CATALOGO!$N$6:$N$105,MATCH(A34,CATALOGO!$A$6:$A$105,0)),MOD(I34,INDEX(CATALOGO!$O$6:$O$105,MATCH(A34,CATALOGO!$A$6:$A$105,0)))&lt;&gt;0),"NO RESPETA MOQ/PACK",IF(J34="","FALTA FECHA PAGO",IF(Q34="","COSTO DESCONOCIDO",IF(OR(J34&lt;=CONFIG!$B$5,J34&gt;CONFIG!$B$5+91),"FUERA DE 91 DIAS",IF(AND(P34&lt;&gt;"",I34&gt;P34),"EN MODELO · SUPERA PROPUESTA","EN MODELO")))))))))))</f>
        <v/>
      </c>
    </row>
    <row r="35" spans="1:19" x14ac:dyDescent="0.45">
      <c r="A35" s="8"/>
      <c r="B35" s="4"/>
      <c r="C35" s="5"/>
      <c r="D35" s="5"/>
      <c r="E35" s="5"/>
      <c r="F35" s="4"/>
      <c r="G35" s="8"/>
      <c r="H35" s="5"/>
      <c r="I35" s="5"/>
      <c r="J35" s="4"/>
      <c r="K35" s="12" t="str">
        <f>IFERROR(IF(A35="","",IF(COUNTIF($A$6:$A$105,A35)&gt;1,"DUPLICADO STOCK",IF(COUNTIF(CATALOGO!$A$6:$A$105,A35)&lt;&gt;1,"SKU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INVALIDA",IF(INDEX(CATALOGO!$F$6:$F$105,MATCH(A35,CATALOGO!$A$6:$A$105,0))&lt;&gt;"ACTIVO",INDEX(CATALOGO!$F$6:$F$105,MATCH(A35,CATALOGO!$A$6:$A$105,0)),IF(OR(B35="",B35&lt;&gt;CONFIG!$B$5),"CONTEO NO VIGENTE",IF(OR(C35="",D35="",E35="",H35=""),"FALTA CAMPO",IF(OR(C35&lt;0,C35&gt;1000000,D35&lt;0,D35&gt;1000000,E35&lt;0,E35&gt;1000000,D35&gt;C35),"REVISAR VALOR",IF(H35&gt;CONFIG!$B$6,"EXPOSICION FUERA DE RANGO",IF(H35&lt;&gt;CONFIG!$B$6,"DISPONIBILIDAD INCOMPLETA",IF(CONFIG!$B$14&lt;&gt;"SI","VENTAS INCOMPLETAS",IF(CONFIG!$B$12&lt;&gt;"SI","POLITICA SIN REVISAR",IF(SUMPRODUCT(--(VENTAS!$B$6:$B$1005=A35),--(VENTAS!$A$6:$A$1005&gt;=CONFIG!$B$5-CONFIG!$B$6+1),--(VENTAS!$A$6:$A$1005&lt;=CONFIG!$B$5),--(VENTAS!$I$6:$I$1005&lt;&gt;""),--(VENTAS!$I$6:$I$1005&lt;&gt;"OK"))&gt;0,"VENTAS A REVISAR",IF(AND(E35&gt;0,OR(F35="",G35&lt;&gt;"SI")),"TRANSITO SIN CONFIRMAR",IF(AND(E35&gt;0,G35="SI",OR(F35&lt;=CONFIG!$B$5,F35&gt;CONFIG!$B$5+INDEX(CATALOGO!$M$6:$M$105,MATCH(A35,CATALOGO!$A$6:$A$105,0)))),"TRANSITO FUERA DEL PLAZO",IF(INDEX(CATALOGO!$T$6:$T$105,MATCH(A35,CATALOGO!$A$6:$A$105,0))&lt;&gt;"OK","CATALOGO A REVISAR",IF(1-INDEX(CATALOGO!$K$6:$K$105,MATCH(A35,CATALOGO!$A$6:$A$105,0))-CONFIG!$B$8&lt;=0,"MARGEN OBJETIVO INVIABLE",IF(INDEX(CATALOGO!$R$6:$R$105,MATCH(A35,CATALOGO!$A$6:$A$105,0))&lt;CONFIG!$B$8,"REVISAR PRECIO O COSTO","ELEGIBLE")))))))))))))))))),"CONFIG INVALIDA")</f>
        <v/>
      </c>
      <c r="L35" s="13" t="str">
        <f t="shared" si="0"/>
        <v/>
      </c>
      <c r="M35" s="12" t="str">
        <f>IFERROR(IF(OR(A35="",CONFIG!$B$14&lt;&gt;"SI",CONFIG!$B$6&lt;1,CONFIG!$B$6&gt;365,CONFIG!$B$6&lt;&gt;INT(CONFIG!$B$6),SUMPRODUCT(--(VENTAS!$B$6:$B$1005=A35),--(VENTAS!$A$6:$A$1005&gt;=CONFIG!$B$5-CONFIG!$B$6+1),--(VENTAS!$A$6:$A$1005&lt;=CONFIG!$B$5),--(VENTAS!$I$6:$I$1005&lt;&gt;""),--(VENTAS!$I$6:$I$1005&lt;&gt;"OK"))&gt;0),"",MAX(0,(SUMIFS(VENTAS!$C$6:$C$1005,VENTAS!$B$6:$B$1005,A35,VENTAS!$A$6:$A$1005,"&gt;="&amp;CONFIG!$B$5-CONFIG!$B$6+1,VENTAS!$A$6:$A$1005,"&lt;="&amp;CONFIG!$B$5)-SUMIFS(VENTAS!$E$6:$E$1005,VENTAS!$B$6:$B$1005,A35,VENTAS!$A$6:$A$1005,"&gt;="&amp;CONFIG!$B$5-CONFIG!$B$6+1,VENTAS!$A$6:$A$1005,"&lt;="&amp;CONFIG!$B$5))/CONFIG!$B$6)),"")</f>
        <v/>
      </c>
      <c r="N35" s="14" t="str">
        <f>IF(K35&lt;&gt;"ELEGIBLE","",IF(AND(E35&gt;0,G35="SI",F35&gt;CONFIG!$B$5,F35&lt;=CONFIG!$B$5+INDEX(CATALOGO!$M$6:$M$105,MATCH(A35,CATALOGO!$A$6:$A$105,0))),E35,0))</f>
        <v/>
      </c>
      <c r="O35" s="14" t="str">
        <f>IF(K35&lt;&gt;"ELEGIBLE","",MAX(0,ROUNDUP(ROUND(M35*(INDEX(CATALOGO!$M$6:$M$105,MATCH(A35,CATALOGO!$A$6:$A$105,0))+CONFIG!$B$7)-L35-N35,10),0)))</f>
        <v/>
      </c>
      <c r="P35" s="14" t="str">
        <f>IF(O35="","",IF(O35=0,0,ROUNDUP(MAX(O35,INDEX(CATALOGO!$N$6:$N$105,MATCH(A35,CATALOGO!$A$6:$A$105,0)))/INDEX(CATALOGO!$O$6:$O$105,MATCH(A35,CATALOGO!$A$6:$A$105,0)),0)*INDEX(CATALOGO!$O$6:$O$105,MATCH(A35,CATALOGO!$A$6:$A$105,0))))</f>
        <v/>
      </c>
      <c r="Q35" s="11" t="str">
        <f>IFERROR(IF(OR(A35="",COUNTIF(CATALOGO!$A$6:$A$105,A35)&lt;&gt;1),"",IF(OR(INDEX(CATALOGO!$H$6:$H$105,MATCH(A35,CATALOGO!$A$6:$A$105,0))="",INDEX(CATALOGO!$I$6:$I$105,MATCH(A35,CATALOGO!$A$6:$A$105,0))="",ABS(INDEX(CATALOGO!$H$6:$H$105,MATCH(A35,CATALOGO!$A$6:$A$105,0)))&gt;1000000000,ABS(INDEX(CATALOGO!$I$6:$I$105,MATCH(A35,CATALOGO!$A$6:$A$105,0)))&gt;1000000000),"",INDEX(CATALOGO!$H$6:$H$105,MATCH(A35,CATALOGO!$A$6:$A$105,0))+INDEX(CATALOGO!$I$6:$I$105,MATCH(A35,CATALOGO!$A$6:$A$105,0)))),"")</f>
        <v/>
      </c>
      <c r="R35" s="9" t="str">
        <f>IF(OR(A35="",I35="",COUNTIF(CATALOGO!$A$6:$A$105,A35)&lt;&gt;1),"",IF(I35=0,0,IF(OR(Q35="",INDEX(CATALOGO!$N$6:$N$105,MATCH(A35,CATALOGO!$A$6:$A$105,0))="",INDEX(CATALOGO!$O$6:$O$105,MATCH(A35,CATALOGO!$A$6:$A$105,0))="",INDEX(CATALOGO!$O$6:$O$105,MATCH(A35,CATALOGO!$A$6:$A$105,0))&lt;=0),"",IF(OR(I35&lt;INDEX(CATALOGO!$N$6:$N$105,MATCH(A35,CATALOGO!$A$6:$A$105,0)),MOD(I35,INDEX(CATALOGO!$O$6:$O$105,MATCH(A35,CATALOGO!$A$6:$A$105,0)))&lt;&gt;0,J35="",J35&lt;=CONFIG!$B$5,J35&gt;CONFIG!$B$5+91),"",I35*Q35))))</f>
        <v/>
      </c>
      <c r="S35" s="12" t="str">
        <f>IF(A35="","",IF(COUNTIF(CATALOGO!$A$6:$A$105,A35)&lt;&gt;1,"SKU NO VALIDO",IF(I35="","CANTIDAD DESCONOCIDA",IF(I35=0,"SIN COMPRA ELEGIDA",IF(OR(I35&lt;0,I35&gt;1000000),"CANTIDAD INVALIDA",IF(OR(INDEX(CATALOGO!$N$6:$N$105,MATCH(A35,CATALOGO!$A$6:$A$105,0))="",INDEX(CATALOGO!$O$6:$O$105,MATCH(A35,CATALOGO!$A$6:$A$105,0))="",INDEX(CATALOGO!$O$6:$O$105,MATCH(A35,CATALOGO!$A$6:$A$105,0))&lt;=0),"CATALOGO A REVISAR",IF(OR(I35&lt;INDEX(CATALOGO!$N$6:$N$105,MATCH(A35,CATALOGO!$A$6:$A$105,0)),MOD(I35,INDEX(CATALOGO!$O$6:$O$105,MATCH(A35,CATALOGO!$A$6:$A$105,0)))&lt;&gt;0),"NO RESPETA MOQ/PACK",IF(J35="","FALTA FECHA PAGO",IF(Q35="","COSTO DESCONOCIDO",IF(OR(J35&lt;=CONFIG!$B$5,J35&gt;CONFIG!$B$5+91),"FUERA DE 91 DIAS",IF(AND(P35&lt;&gt;"",I35&gt;P35),"EN MODELO · SUPERA PROPUESTA","EN MODELO")))))))))))</f>
        <v/>
      </c>
    </row>
    <row r="36" spans="1:19" x14ac:dyDescent="0.45">
      <c r="A36" s="8"/>
      <c r="B36" s="4"/>
      <c r="C36" s="5"/>
      <c r="D36" s="5"/>
      <c r="E36" s="5"/>
      <c r="F36" s="4"/>
      <c r="G36" s="8"/>
      <c r="H36" s="5"/>
      <c r="I36" s="5"/>
      <c r="J36" s="4"/>
      <c r="K36" s="12" t="str">
        <f>IFERROR(IF(A36="","",IF(COUNTIF($A$6:$A$105,A36)&gt;1,"DUPLICADO STOCK",IF(COUNTIF(CATALOGO!$A$6:$A$105,A36)&lt;&gt;1,"SKU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INVALIDA",IF(INDEX(CATALOGO!$F$6:$F$105,MATCH(A36,CATALOGO!$A$6:$A$105,0))&lt;&gt;"ACTIVO",INDEX(CATALOGO!$F$6:$F$105,MATCH(A36,CATALOGO!$A$6:$A$105,0)),IF(OR(B36="",B36&lt;&gt;CONFIG!$B$5),"CONTEO NO VIGENTE",IF(OR(C36="",D36="",E36="",H36=""),"FALTA CAMPO",IF(OR(C36&lt;0,C36&gt;1000000,D36&lt;0,D36&gt;1000000,E36&lt;0,E36&gt;1000000,D36&gt;C36),"REVISAR VALOR",IF(H36&gt;CONFIG!$B$6,"EXPOSICION FUERA DE RANGO",IF(H36&lt;&gt;CONFIG!$B$6,"DISPONIBILIDAD INCOMPLETA",IF(CONFIG!$B$14&lt;&gt;"SI","VENTAS INCOMPLETAS",IF(CONFIG!$B$12&lt;&gt;"SI","POLITICA SIN REVISAR",IF(SUMPRODUCT(--(VENTAS!$B$6:$B$1005=A36),--(VENTAS!$A$6:$A$1005&gt;=CONFIG!$B$5-CONFIG!$B$6+1),--(VENTAS!$A$6:$A$1005&lt;=CONFIG!$B$5),--(VENTAS!$I$6:$I$1005&lt;&gt;""),--(VENTAS!$I$6:$I$1005&lt;&gt;"OK"))&gt;0,"VENTAS A REVISAR",IF(AND(E36&gt;0,OR(F36="",G36&lt;&gt;"SI")),"TRANSITO SIN CONFIRMAR",IF(AND(E36&gt;0,G36="SI",OR(F36&lt;=CONFIG!$B$5,F36&gt;CONFIG!$B$5+INDEX(CATALOGO!$M$6:$M$105,MATCH(A36,CATALOGO!$A$6:$A$105,0)))),"TRANSITO FUERA DEL PLAZO",IF(INDEX(CATALOGO!$T$6:$T$105,MATCH(A36,CATALOGO!$A$6:$A$105,0))&lt;&gt;"OK","CATALOGO A REVISAR",IF(1-INDEX(CATALOGO!$K$6:$K$105,MATCH(A36,CATALOGO!$A$6:$A$105,0))-CONFIG!$B$8&lt;=0,"MARGEN OBJETIVO INVIABLE",IF(INDEX(CATALOGO!$R$6:$R$105,MATCH(A36,CATALOGO!$A$6:$A$105,0))&lt;CONFIG!$B$8,"REVISAR PRECIO O COSTO","ELEGIBLE")))))))))))))))))),"CONFIG INVALIDA")</f>
        <v/>
      </c>
      <c r="L36" s="13" t="str">
        <f t="shared" si="0"/>
        <v/>
      </c>
      <c r="M36" s="12" t="str">
        <f>IFERROR(IF(OR(A36="",CONFIG!$B$14&lt;&gt;"SI",CONFIG!$B$6&lt;1,CONFIG!$B$6&gt;365,CONFIG!$B$6&lt;&gt;INT(CONFIG!$B$6),SUMPRODUCT(--(VENTAS!$B$6:$B$1005=A36),--(VENTAS!$A$6:$A$1005&gt;=CONFIG!$B$5-CONFIG!$B$6+1),--(VENTAS!$A$6:$A$1005&lt;=CONFIG!$B$5),--(VENTAS!$I$6:$I$1005&lt;&gt;""),--(VENTAS!$I$6:$I$1005&lt;&gt;"OK"))&gt;0),"",MAX(0,(SUMIFS(VENTAS!$C$6:$C$1005,VENTAS!$B$6:$B$1005,A36,VENTAS!$A$6:$A$1005,"&gt;="&amp;CONFIG!$B$5-CONFIG!$B$6+1,VENTAS!$A$6:$A$1005,"&lt;="&amp;CONFIG!$B$5)-SUMIFS(VENTAS!$E$6:$E$1005,VENTAS!$B$6:$B$1005,A36,VENTAS!$A$6:$A$1005,"&gt;="&amp;CONFIG!$B$5-CONFIG!$B$6+1,VENTAS!$A$6:$A$1005,"&lt;="&amp;CONFIG!$B$5))/CONFIG!$B$6)),"")</f>
        <v/>
      </c>
      <c r="N36" s="14" t="str">
        <f>IF(K36&lt;&gt;"ELEGIBLE","",IF(AND(E36&gt;0,G36="SI",F36&gt;CONFIG!$B$5,F36&lt;=CONFIG!$B$5+INDEX(CATALOGO!$M$6:$M$105,MATCH(A36,CATALOGO!$A$6:$A$105,0))),E36,0))</f>
        <v/>
      </c>
      <c r="O36" s="14" t="str">
        <f>IF(K36&lt;&gt;"ELEGIBLE","",MAX(0,ROUNDUP(ROUND(M36*(INDEX(CATALOGO!$M$6:$M$105,MATCH(A36,CATALOGO!$A$6:$A$105,0))+CONFIG!$B$7)-L36-N36,10),0)))</f>
        <v/>
      </c>
      <c r="P36" s="14" t="str">
        <f>IF(O36="","",IF(O36=0,0,ROUNDUP(MAX(O36,INDEX(CATALOGO!$N$6:$N$105,MATCH(A36,CATALOGO!$A$6:$A$105,0)))/INDEX(CATALOGO!$O$6:$O$105,MATCH(A36,CATALOGO!$A$6:$A$105,0)),0)*INDEX(CATALOGO!$O$6:$O$105,MATCH(A36,CATALOGO!$A$6:$A$105,0))))</f>
        <v/>
      </c>
      <c r="Q36" s="11" t="str">
        <f>IFERROR(IF(OR(A36="",COUNTIF(CATALOGO!$A$6:$A$105,A36)&lt;&gt;1),"",IF(OR(INDEX(CATALOGO!$H$6:$H$105,MATCH(A36,CATALOGO!$A$6:$A$105,0))="",INDEX(CATALOGO!$I$6:$I$105,MATCH(A36,CATALOGO!$A$6:$A$105,0))="",ABS(INDEX(CATALOGO!$H$6:$H$105,MATCH(A36,CATALOGO!$A$6:$A$105,0)))&gt;1000000000,ABS(INDEX(CATALOGO!$I$6:$I$105,MATCH(A36,CATALOGO!$A$6:$A$105,0)))&gt;1000000000),"",INDEX(CATALOGO!$H$6:$H$105,MATCH(A36,CATALOGO!$A$6:$A$105,0))+INDEX(CATALOGO!$I$6:$I$105,MATCH(A36,CATALOGO!$A$6:$A$105,0)))),"")</f>
        <v/>
      </c>
      <c r="R36" s="9" t="str">
        <f>IF(OR(A36="",I36="",COUNTIF(CATALOGO!$A$6:$A$105,A36)&lt;&gt;1),"",IF(I36=0,0,IF(OR(Q36="",INDEX(CATALOGO!$N$6:$N$105,MATCH(A36,CATALOGO!$A$6:$A$105,0))="",INDEX(CATALOGO!$O$6:$O$105,MATCH(A36,CATALOGO!$A$6:$A$105,0))="",INDEX(CATALOGO!$O$6:$O$105,MATCH(A36,CATALOGO!$A$6:$A$105,0))&lt;=0),"",IF(OR(I36&lt;INDEX(CATALOGO!$N$6:$N$105,MATCH(A36,CATALOGO!$A$6:$A$105,0)),MOD(I36,INDEX(CATALOGO!$O$6:$O$105,MATCH(A36,CATALOGO!$A$6:$A$105,0)))&lt;&gt;0,J36="",J36&lt;=CONFIG!$B$5,J36&gt;CONFIG!$B$5+91),"",I36*Q36))))</f>
        <v/>
      </c>
      <c r="S36" s="12" t="str">
        <f>IF(A36="","",IF(COUNTIF(CATALOGO!$A$6:$A$105,A36)&lt;&gt;1,"SKU NO VALIDO",IF(I36="","CANTIDAD DESCONOCIDA",IF(I36=0,"SIN COMPRA ELEGIDA",IF(OR(I36&lt;0,I36&gt;1000000),"CANTIDAD INVALIDA",IF(OR(INDEX(CATALOGO!$N$6:$N$105,MATCH(A36,CATALOGO!$A$6:$A$105,0))="",INDEX(CATALOGO!$O$6:$O$105,MATCH(A36,CATALOGO!$A$6:$A$105,0))="",INDEX(CATALOGO!$O$6:$O$105,MATCH(A36,CATALOGO!$A$6:$A$105,0))&lt;=0),"CATALOGO A REVISAR",IF(OR(I36&lt;INDEX(CATALOGO!$N$6:$N$105,MATCH(A36,CATALOGO!$A$6:$A$105,0)),MOD(I36,INDEX(CATALOGO!$O$6:$O$105,MATCH(A36,CATALOGO!$A$6:$A$105,0)))&lt;&gt;0),"NO RESPETA MOQ/PACK",IF(J36="","FALTA FECHA PAGO",IF(Q36="","COSTO DESCONOCIDO",IF(OR(J36&lt;=CONFIG!$B$5,J36&gt;CONFIG!$B$5+91),"FUERA DE 91 DIAS",IF(AND(P36&lt;&gt;"",I36&gt;P36),"EN MODELO · SUPERA PROPUESTA","EN MODELO")))))))))))</f>
        <v/>
      </c>
    </row>
    <row r="37" spans="1:19" x14ac:dyDescent="0.45">
      <c r="A37" s="8"/>
      <c r="B37" s="4"/>
      <c r="C37" s="5"/>
      <c r="D37" s="5"/>
      <c r="E37" s="5"/>
      <c r="F37" s="4"/>
      <c r="G37" s="8"/>
      <c r="H37" s="5"/>
      <c r="I37" s="5"/>
      <c r="J37" s="4"/>
      <c r="K37" s="12" t="str">
        <f>IFERROR(IF(A37="","",IF(COUNTIF($A$6:$A$105,A37)&gt;1,"DUPLICADO STOCK",IF(COUNTIF(CATALOGO!$A$6:$A$105,A37)&lt;&gt;1,"SKU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INVALIDA",IF(INDEX(CATALOGO!$F$6:$F$105,MATCH(A37,CATALOGO!$A$6:$A$105,0))&lt;&gt;"ACTIVO",INDEX(CATALOGO!$F$6:$F$105,MATCH(A37,CATALOGO!$A$6:$A$105,0)),IF(OR(B37="",B37&lt;&gt;CONFIG!$B$5),"CONTEO NO VIGENTE",IF(OR(C37="",D37="",E37="",H37=""),"FALTA CAMPO",IF(OR(C37&lt;0,C37&gt;1000000,D37&lt;0,D37&gt;1000000,E37&lt;0,E37&gt;1000000,D37&gt;C37),"REVISAR VALOR",IF(H37&gt;CONFIG!$B$6,"EXPOSICION FUERA DE RANGO",IF(H37&lt;&gt;CONFIG!$B$6,"DISPONIBILIDAD INCOMPLETA",IF(CONFIG!$B$14&lt;&gt;"SI","VENTAS INCOMPLETAS",IF(CONFIG!$B$12&lt;&gt;"SI","POLITICA SIN REVISAR",IF(SUMPRODUCT(--(VENTAS!$B$6:$B$1005=A37),--(VENTAS!$A$6:$A$1005&gt;=CONFIG!$B$5-CONFIG!$B$6+1),--(VENTAS!$A$6:$A$1005&lt;=CONFIG!$B$5),--(VENTAS!$I$6:$I$1005&lt;&gt;""),--(VENTAS!$I$6:$I$1005&lt;&gt;"OK"))&gt;0,"VENTAS A REVISAR",IF(AND(E37&gt;0,OR(F37="",G37&lt;&gt;"SI")),"TRANSITO SIN CONFIRMAR",IF(AND(E37&gt;0,G37="SI",OR(F37&lt;=CONFIG!$B$5,F37&gt;CONFIG!$B$5+INDEX(CATALOGO!$M$6:$M$105,MATCH(A37,CATALOGO!$A$6:$A$105,0)))),"TRANSITO FUERA DEL PLAZO",IF(INDEX(CATALOGO!$T$6:$T$105,MATCH(A37,CATALOGO!$A$6:$A$105,0))&lt;&gt;"OK","CATALOGO A REVISAR",IF(1-INDEX(CATALOGO!$K$6:$K$105,MATCH(A37,CATALOGO!$A$6:$A$105,0))-CONFIG!$B$8&lt;=0,"MARGEN OBJETIVO INVIABLE",IF(INDEX(CATALOGO!$R$6:$R$105,MATCH(A37,CATALOGO!$A$6:$A$105,0))&lt;CONFIG!$B$8,"REVISAR PRECIO O COSTO","ELEGIBLE")))))))))))))))))),"CONFIG INVALIDA")</f>
        <v/>
      </c>
      <c r="L37" s="13" t="str">
        <f t="shared" si="0"/>
        <v/>
      </c>
      <c r="M37" s="12" t="str">
        <f>IFERROR(IF(OR(A37="",CONFIG!$B$14&lt;&gt;"SI",CONFIG!$B$6&lt;1,CONFIG!$B$6&gt;365,CONFIG!$B$6&lt;&gt;INT(CONFIG!$B$6),SUMPRODUCT(--(VENTAS!$B$6:$B$1005=A37),--(VENTAS!$A$6:$A$1005&gt;=CONFIG!$B$5-CONFIG!$B$6+1),--(VENTAS!$A$6:$A$1005&lt;=CONFIG!$B$5),--(VENTAS!$I$6:$I$1005&lt;&gt;""),--(VENTAS!$I$6:$I$1005&lt;&gt;"OK"))&gt;0),"",MAX(0,(SUMIFS(VENTAS!$C$6:$C$1005,VENTAS!$B$6:$B$1005,A37,VENTAS!$A$6:$A$1005,"&gt;="&amp;CONFIG!$B$5-CONFIG!$B$6+1,VENTAS!$A$6:$A$1005,"&lt;="&amp;CONFIG!$B$5)-SUMIFS(VENTAS!$E$6:$E$1005,VENTAS!$B$6:$B$1005,A37,VENTAS!$A$6:$A$1005,"&gt;="&amp;CONFIG!$B$5-CONFIG!$B$6+1,VENTAS!$A$6:$A$1005,"&lt;="&amp;CONFIG!$B$5))/CONFIG!$B$6)),"")</f>
        <v/>
      </c>
      <c r="N37" s="14" t="str">
        <f>IF(K37&lt;&gt;"ELEGIBLE","",IF(AND(E37&gt;0,G37="SI",F37&gt;CONFIG!$B$5,F37&lt;=CONFIG!$B$5+INDEX(CATALOGO!$M$6:$M$105,MATCH(A37,CATALOGO!$A$6:$A$105,0))),E37,0))</f>
        <v/>
      </c>
      <c r="O37" s="14" t="str">
        <f>IF(K37&lt;&gt;"ELEGIBLE","",MAX(0,ROUNDUP(ROUND(M37*(INDEX(CATALOGO!$M$6:$M$105,MATCH(A37,CATALOGO!$A$6:$A$105,0))+CONFIG!$B$7)-L37-N37,10),0)))</f>
        <v/>
      </c>
      <c r="P37" s="14" t="str">
        <f>IF(O37="","",IF(O37=0,0,ROUNDUP(MAX(O37,INDEX(CATALOGO!$N$6:$N$105,MATCH(A37,CATALOGO!$A$6:$A$105,0)))/INDEX(CATALOGO!$O$6:$O$105,MATCH(A37,CATALOGO!$A$6:$A$105,0)),0)*INDEX(CATALOGO!$O$6:$O$105,MATCH(A37,CATALOGO!$A$6:$A$105,0))))</f>
        <v/>
      </c>
      <c r="Q37" s="11" t="str">
        <f>IFERROR(IF(OR(A37="",COUNTIF(CATALOGO!$A$6:$A$105,A37)&lt;&gt;1),"",IF(OR(INDEX(CATALOGO!$H$6:$H$105,MATCH(A37,CATALOGO!$A$6:$A$105,0))="",INDEX(CATALOGO!$I$6:$I$105,MATCH(A37,CATALOGO!$A$6:$A$105,0))="",ABS(INDEX(CATALOGO!$H$6:$H$105,MATCH(A37,CATALOGO!$A$6:$A$105,0)))&gt;1000000000,ABS(INDEX(CATALOGO!$I$6:$I$105,MATCH(A37,CATALOGO!$A$6:$A$105,0)))&gt;1000000000),"",INDEX(CATALOGO!$H$6:$H$105,MATCH(A37,CATALOGO!$A$6:$A$105,0))+INDEX(CATALOGO!$I$6:$I$105,MATCH(A37,CATALOGO!$A$6:$A$105,0)))),"")</f>
        <v/>
      </c>
      <c r="R37" s="9" t="str">
        <f>IF(OR(A37="",I37="",COUNTIF(CATALOGO!$A$6:$A$105,A37)&lt;&gt;1),"",IF(I37=0,0,IF(OR(Q37="",INDEX(CATALOGO!$N$6:$N$105,MATCH(A37,CATALOGO!$A$6:$A$105,0))="",INDEX(CATALOGO!$O$6:$O$105,MATCH(A37,CATALOGO!$A$6:$A$105,0))="",INDEX(CATALOGO!$O$6:$O$105,MATCH(A37,CATALOGO!$A$6:$A$105,0))&lt;=0),"",IF(OR(I37&lt;INDEX(CATALOGO!$N$6:$N$105,MATCH(A37,CATALOGO!$A$6:$A$105,0)),MOD(I37,INDEX(CATALOGO!$O$6:$O$105,MATCH(A37,CATALOGO!$A$6:$A$105,0)))&lt;&gt;0,J37="",J37&lt;=CONFIG!$B$5,J37&gt;CONFIG!$B$5+91),"",I37*Q37))))</f>
        <v/>
      </c>
      <c r="S37" s="12" t="str">
        <f>IF(A37="","",IF(COUNTIF(CATALOGO!$A$6:$A$105,A37)&lt;&gt;1,"SKU NO VALIDO",IF(I37="","CANTIDAD DESCONOCIDA",IF(I37=0,"SIN COMPRA ELEGIDA",IF(OR(I37&lt;0,I37&gt;1000000),"CANTIDAD INVALIDA",IF(OR(INDEX(CATALOGO!$N$6:$N$105,MATCH(A37,CATALOGO!$A$6:$A$105,0))="",INDEX(CATALOGO!$O$6:$O$105,MATCH(A37,CATALOGO!$A$6:$A$105,0))="",INDEX(CATALOGO!$O$6:$O$105,MATCH(A37,CATALOGO!$A$6:$A$105,0))&lt;=0),"CATALOGO A REVISAR",IF(OR(I37&lt;INDEX(CATALOGO!$N$6:$N$105,MATCH(A37,CATALOGO!$A$6:$A$105,0)),MOD(I37,INDEX(CATALOGO!$O$6:$O$105,MATCH(A37,CATALOGO!$A$6:$A$105,0)))&lt;&gt;0),"NO RESPETA MOQ/PACK",IF(J37="","FALTA FECHA PAGO",IF(Q37="","COSTO DESCONOCIDO",IF(OR(J37&lt;=CONFIG!$B$5,J37&gt;CONFIG!$B$5+91),"FUERA DE 91 DIAS",IF(AND(P37&lt;&gt;"",I37&gt;P37),"EN MODELO · SUPERA PROPUESTA","EN MODELO")))))))))))</f>
        <v/>
      </c>
    </row>
    <row r="38" spans="1:19" x14ac:dyDescent="0.45">
      <c r="A38" s="8"/>
      <c r="B38" s="4"/>
      <c r="C38" s="5"/>
      <c r="D38" s="5"/>
      <c r="E38" s="5"/>
      <c r="F38" s="4"/>
      <c r="G38" s="8"/>
      <c r="H38" s="5"/>
      <c r="I38" s="5"/>
      <c r="J38" s="4"/>
      <c r="K38" s="12" t="str">
        <f>IFERROR(IF(A38="","",IF(COUNTIF($A$6:$A$105,A38)&gt;1,"DUPLICADO STOCK",IF(COUNTIF(CATALOGO!$A$6:$A$105,A38)&lt;&gt;1,"SKU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INVALIDA",IF(INDEX(CATALOGO!$F$6:$F$105,MATCH(A38,CATALOGO!$A$6:$A$105,0))&lt;&gt;"ACTIVO",INDEX(CATALOGO!$F$6:$F$105,MATCH(A38,CATALOGO!$A$6:$A$105,0)),IF(OR(B38="",B38&lt;&gt;CONFIG!$B$5),"CONTEO NO VIGENTE",IF(OR(C38="",D38="",E38="",H38=""),"FALTA CAMPO",IF(OR(C38&lt;0,C38&gt;1000000,D38&lt;0,D38&gt;1000000,E38&lt;0,E38&gt;1000000,D38&gt;C38),"REVISAR VALOR",IF(H38&gt;CONFIG!$B$6,"EXPOSICION FUERA DE RANGO",IF(H38&lt;&gt;CONFIG!$B$6,"DISPONIBILIDAD INCOMPLETA",IF(CONFIG!$B$14&lt;&gt;"SI","VENTAS INCOMPLETAS",IF(CONFIG!$B$12&lt;&gt;"SI","POLITICA SIN REVISAR",IF(SUMPRODUCT(--(VENTAS!$B$6:$B$1005=A38),--(VENTAS!$A$6:$A$1005&gt;=CONFIG!$B$5-CONFIG!$B$6+1),--(VENTAS!$A$6:$A$1005&lt;=CONFIG!$B$5),--(VENTAS!$I$6:$I$1005&lt;&gt;""),--(VENTAS!$I$6:$I$1005&lt;&gt;"OK"))&gt;0,"VENTAS A REVISAR",IF(AND(E38&gt;0,OR(F38="",G38&lt;&gt;"SI")),"TRANSITO SIN CONFIRMAR",IF(AND(E38&gt;0,G38="SI",OR(F38&lt;=CONFIG!$B$5,F38&gt;CONFIG!$B$5+INDEX(CATALOGO!$M$6:$M$105,MATCH(A38,CATALOGO!$A$6:$A$105,0)))),"TRANSITO FUERA DEL PLAZO",IF(INDEX(CATALOGO!$T$6:$T$105,MATCH(A38,CATALOGO!$A$6:$A$105,0))&lt;&gt;"OK","CATALOGO A REVISAR",IF(1-INDEX(CATALOGO!$K$6:$K$105,MATCH(A38,CATALOGO!$A$6:$A$105,0))-CONFIG!$B$8&lt;=0,"MARGEN OBJETIVO INVIABLE",IF(INDEX(CATALOGO!$R$6:$R$105,MATCH(A38,CATALOGO!$A$6:$A$105,0))&lt;CONFIG!$B$8,"REVISAR PRECIO O COSTO","ELEGIBLE")))))))))))))))))),"CONFIG INVALIDA")</f>
        <v/>
      </c>
      <c r="L38" s="13" t="str">
        <f t="shared" ref="L38:L69" si="1">IF(OR(C38="",D38="",C38&lt;0,C38&gt;1000000,D38&lt;0,D38&gt;1000000,D38&gt;C38),"",C38-D38)</f>
        <v/>
      </c>
      <c r="M38" s="12" t="str">
        <f>IFERROR(IF(OR(A38="",CONFIG!$B$14&lt;&gt;"SI",CONFIG!$B$6&lt;1,CONFIG!$B$6&gt;365,CONFIG!$B$6&lt;&gt;INT(CONFIG!$B$6),SUMPRODUCT(--(VENTAS!$B$6:$B$1005=A38),--(VENTAS!$A$6:$A$1005&gt;=CONFIG!$B$5-CONFIG!$B$6+1),--(VENTAS!$A$6:$A$1005&lt;=CONFIG!$B$5),--(VENTAS!$I$6:$I$1005&lt;&gt;""),--(VENTAS!$I$6:$I$1005&lt;&gt;"OK"))&gt;0),"",MAX(0,(SUMIFS(VENTAS!$C$6:$C$1005,VENTAS!$B$6:$B$1005,A38,VENTAS!$A$6:$A$1005,"&gt;="&amp;CONFIG!$B$5-CONFIG!$B$6+1,VENTAS!$A$6:$A$1005,"&lt;="&amp;CONFIG!$B$5)-SUMIFS(VENTAS!$E$6:$E$1005,VENTAS!$B$6:$B$1005,A38,VENTAS!$A$6:$A$1005,"&gt;="&amp;CONFIG!$B$5-CONFIG!$B$6+1,VENTAS!$A$6:$A$1005,"&lt;="&amp;CONFIG!$B$5))/CONFIG!$B$6)),"")</f>
        <v/>
      </c>
      <c r="N38" s="14" t="str">
        <f>IF(K38&lt;&gt;"ELEGIBLE","",IF(AND(E38&gt;0,G38="SI",F38&gt;CONFIG!$B$5,F38&lt;=CONFIG!$B$5+INDEX(CATALOGO!$M$6:$M$105,MATCH(A38,CATALOGO!$A$6:$A$105,0))),E38,0))</f>
        <v/>
      </c>
      <c r="O38" s="14" t="str">
        <f>IF(K38&lt;&gt;"ELEGIBLE","",MAX(0,ROUNDUP(ROUND(M38*(INDEX(CATALOGO!$M$6:$M$105,MATCH(A38,CATALOGO!$A$6:$A$105,0))+CONFIG!$B$7)-L38-N38,10),0)))</f>
        <v/>
      </c>
      <c r="P38" s="14" t="str">
        <f>IF(O38="","",IF(O38=0,0,ROUNDUP(MAX(O38,INDEX(CATALOGO!$N$6:$N$105,MATCH(A38,CATALOGO!$A$6:$A$105,0)))/INDEX(CATALOGO!$O$6:$O$105,MATCH(A38,CATALOGO!$A$6:$A$105,0)),0)*INDEX(CATALOGO!$O$6:$O$105,MATCH(A38,CATALOGO!$A$6:$A$105,0))))</f>
        <v/>
      </c>
      <c r="Q38" s="11" t="str">
        <f>IFERROR(IF(OR(A38="",COUNTIF(CATALOGO!$A$6:$A$105,A38)&lt;&gt;1),"",IF(OR(INDEX(CATALOGO!$H$6:$H$105,MATCH(A38,CATALOGO!$A$6:$A$105,0))="",INDEX(CATALOGO!$I$6:$I$105,MATCH(A38,CATALOGO!$A$6:$A$105,0))="",ABS(INDEX(CATALOGO!$H$6:$H$105,MATCH(A38,CATALOGO!$A$6:$A$105,0)))&gt;1000000000,ABS(INDEX(CATALOGO!$I$6:$I$105,MATCH(A38,CATALOGO!$A$6:$A$105,0)))&gt;1000000000),"",INDEX(CATALOGO!$H$6:$H$105,MATCH(A38,CATALOGO!$A$6:$A$105,0))+INDEX(CATALOGO!$I$6:$I$105,MATCH(A38,CATALOGO!$A$6:$A$105,0)))),"")</f>
        <v/>
      </c>
      <c r="R38" s="9" t="str">
        <f>IF(OR(A38="",I38="",COUNTIF(CATALOGO!$A$6:$A$105,A38)&lt;&gt;1),"",IF(I38=0,0,IF(OR(Q38="",INDEX(CATALOGO!$N$6:$N$105,MATCH(A38,CATALOGO!$A$6:$A$105,0))="",INDEX(CATALOGO!$O$6:$O$105,MATCH(A38,CATALOGO!$A$6:$A$105,0))="",INDEX(CATALOGO!$O$6:$O$105,MATCH(A38,CATALOGO!$A$6:$A$105,0))&lt;=0),"",IF(OR(I38&lt;INDEX(CATALOGO!$N$6:$N$105,MATCH(A38,CATALOGO!$A$6:$A$105,0)),MOD(I38,INDEX(CATALOGO!$O$6:$O$105,MATCH(A38,CATALOGO!$A$6:$A$105,0)))&lt;&gt;0,J38="",J38&lt;=CONFIG!$B$5,J38&gt;CONFIG!$B$5+91),"",I38*Q38))))</f>
        <v/>
      </c>
      <c r="S38" s="12" t="str">
        <f>IF(A38="","",IF(COUNTIF(CATALOGO!$A$6:$A$105,A38)&lt;&gt;1,"SKU NO VALIDO",IF(I38="","CANTIDAD DESCONOCIDA",IF(I38=0,"SIN COMPRA ELEGIDA",IF(OR(I38&lt;0,I38&gt;1000000),"CANTIDAD INVALIDA",IF(OR(INDEX(CATALOGO!$N$6:$N$105,MATCH(A38,CATALOGO!$A$6:$A$105,0))="",INDEX(CATALOGO!$O$6:$O$105,MATCH(A38,CATALOGO!$A$6:$A$105,0))="",INDEX(CATALOGO!$O$6:$O$105,MATCH(A38,CATALOGO!$A$6:$A$105,0))&lt;=0),"CATALOGO A REVISAR",IF(OR(I38&lt;INDEX(CATALOGO!$N$6:$N$105,MATCH(A38,CATALOGO!$A$6:$A$105,0)),MOD(I38,INDEX(CATALOGO!$O$6:$O$105,MATCH(A38,CATALOGO!$A$6:$A$105,0)))&lt;&gt;0),"NO RESPETA MOQ/PACK",IF(J38="","FALTA FECHA PAGO",IF(Q38="","COSTO DESCONOCIDO",IF(OR(J38&lt;=CONFIG!$B$5,J38&gt;CONFIG!$B$5+91),"FUERA DE 91 DIAS",IF(AND(P38&lt;&gt;"",I38&gt;P38),"EN MODELO · SUPERA PROPUESTA","EN MODELO")))))))))))</f>
        <v/>
      </c>
    </row>
    <row r="39" spans="1:19" x14ac:dyDescent="0.45">
      <c r="A39" s="8"/>
      <c r="B39" s="4"/>
      <c r="C39" s="5"/>
      <c r="D39" s="5"/>
      <c r="E39" s="5"/>
      <c r="F39" s="4"/>
      <c r="G39" s="8"/>
      <c r="H39" s="5"/>
      <c r="I39" s="5"/>
      <c r="J39" s="4"/>
      <c r="K39" s="12" t="str">
        <f>IFERROR(IF(A39="","",IF(COUNTIF($A$6:$A$105,A39)&gt;1,"DUPLICADO STOCK",IF(COUNTIF(CATALOGO!$A$6:$A$105,A39)&lt;&gt;1,"SKU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INVALIDA",IF(INDEX(CATALOGO!$F$6:$F$105,MATCH(A39,CATALOGO!$A$6:$A$105,0))&lt;&gt;"ACTIVO",INDEX(CATALOGO!$F$6:$F$105,MATCH(A39,CATALOGO!$A$6:$A$105,0)),IF(OR(B39="",B39&lt;&gt;CONFIG!$B$5),"CONTEO NO VIGENTE",IF(OR(C39="",D39="",E39="",H39=""),"FALTA CAMPO",IF(OR(C39&lt;0,C39&gt;1000000,D39&lt;0,D39&gt;1000000,E39&lt;0,E39&gt;1000000,D39&gt;C39),"REVISAR VALOR",IF(H39&gt;CONFIG!$B$6,"EXPOSICION FUERA DE RANGO",IF(H39&lt;&gt;CONFIG!$B$6,"DISPONIBILIDAD INCOMPLETA",IF(CONFIG!$B$14&lt;&gt;"SI","VENTAS INCOMPLETAS",IF(CONFIG!$B$12&lt;&gt;"SI","POLITICA SIN REVISAR",IF(SUMPRODUCT(--(VENTAS!$B$6:$B$1005=A39),--(VENTAS!$A$6:$A$1005&gt;=CONFIG!$B$5-CONFIG!$B$6+1),--(VENTAS!$A$6:$A$1005&lt;=CONFIG!$B$5),--(VENTAS!$I$6:$I$1005&lt;&gt;""),--(VENTAS!$I$6:$I$1005&lt;&gt;"OK"))&gt;0,"VENTAS A REVISAR",IF(AND(E39&gt;0,OR(F39="",G39&lt;&gt;"SI")),"TRANSITO SIN CONFIRMAR",IF(AND(E39&gt;0,G39="SI",OR(F39&lt;=CONFIG!$B$5,F39&gt;CONFIG!$B$5+INDEX(CATALOGO!$M$6:$M$105,MATCH(A39,CATALOGO!$A$6:$A$105,0)))),"TRANSITO FUERA DEL PLAZO",IF(INDEX(CATALOGO!$T$6:$T$105,MATCH(A39,CATALOGO!$A$6:$A$105,0))&lt;&gt;"OK","CATALOGO A REVISAR",IF(1-INDEX(CATALOGO!$K$6:$K$105,MATCH(A39,CATALOGO!$A$6:$A$105,0))-CONFIG!$B$8&lt;=0,"MARGEN OBJETIVO INVIABLE",IF(INDEX(CATALOGO!$R$6:$R$105,MATCH(A39,CATALOGO!$A$6:$A$105,0))&lt;CONFIG!$B$8,"REVISAR PRECIO O COSTO","ELEGIBLE")))))))))))))))))),"CONFIG INVALIDA")</f>
        <v/>
      </c>
      <c r="L39" s="13" t="str">
        <f t="shared" si="1"/>
        <v/>
      </c>
      <c r="M39" s="12" t="str">
        <f>IFERROR(IF(OR(A39="",CONFIG!$B$14&lt;&gt;"SI",CONFIG!$B$6&lt;1,CONFIG!$B$6&gt;365,CONFIG!$B$6&lt;&gt;INT(CONFIG!$B$6),SUMPRODUCT(--(VENTAS!$B$6:$B$1005=A39),--(VENTAS!$A$6:$A$1005&gt;=CONFIG!$B$5-CONFIG!$B$6+1),--(VENTAS!$A$6:$A$1005&lt;=CONFIG!$B$5),--(VENTAS!$I$6:$I$1005&lt;&gt;""),--(VENTAS!$I$6:$I$1005&lt;&gt;"OK"))&gt;0),"",MAX(0,(SUMIFS(VENTAS!$C$6:$C$1005,VENTAS!$B$6:$B$1005,A39,VENTAS!$A$6:$A$1005,"&gt;="&amp;CONFIG!$B$5-CONFIG!$B$6+1,VENTAS!$A$6:$A$1005,"&lt;="&amp;CONFIG!$B$5)-SUMIFS(VENTAS!$E$6:$E$1005,VENTAS!$B$6:$B$1005,A39,VENTAS!$A$6:$A$1005,"&gt;="&amp;CONFIG!$B$5-CONFIG!$B$6+1,VENTAS!$A$6:$A$1005,"&lt;="&amp;CONFIG!$B$5))/CONFIG!$B$6)),"")</f>
        <v/>
      </c>
      <c r="N39" s="14" t="str">
        <f>IF(K39&lt;&gt;"ELEGIBLE","",IF(AND(E39&gt;0,G39="SI",F39&gt;CONFIG!$B$5,F39&lt;=CONFIG!$B$5+INDEX(CATALOGO!$M$6:$M$105,MATCH(A39,CATALOGO!$A$6:$A$105,0))),E39,0))</f>
        <v/>
      </c>
      <c r="O39" s="14" t="str">
        <f>IF(K39&lt;&gt;"ELEGIBLE","",MAX(0,ROUNDUP(ROUND(M39*(INDEX(CATALOGO!$M$6:$M$105,MATCH(A39,CATALOGO!$A$6:$A$105,0))+CONFIG!$B$7)-L39-N39,10),0)))</f>
        <v/>
      </c>
      <c r="P39" s="14" t="str">
        <f>IF(O39="","",IF(O39=0,0,ROUNDUP(MAX(O39,INDEX(CATALOGO!$N$6:$N$105,MATCH(A39,CATALOGO!$A$6:$A$105,0)))/INDEX(CATALOGO!$O$6:$O$105,MATCH(A39,CATALOGO!$A$6:$A$105,0)),0)*INDEX(CATALOGO!$O$6:$O$105,MATCH(A39,CATALOGO!$A$6:$A$105,0))))</f>
        <v/>
      </c>
      <c r="Q39" s="11" t="str">
        <f>IFERROR(IF(OR(A39="",COUNTIF(CATALOGO!$A$6:$A$105,A39)&lt;&gt;1),"",IF(OR(INDEX(CATALOGO!$H$6:$H$105,MATCH(A39,CATALOGO!$A$6:$A$105,0))="",INDEX(CATALOGO!$I$6:$I$105,MATCH(A39,CATALOGO!$A$6:$A$105,0))="",ABS(INDEX(CATALOGO!$H$6:$H$105,MATCH(A39,CATALOGO!$A$6:$A$105,0)))&gt;1000000000,ABS(INDEX(CATALOGO!$I$6:$I$105,MATCH(A39,CATALOGO!$A$6:$A$105,0)))&gt;1000000000),"",INDEX(CATALOGO!$H$6:$H$105,MATCH(A39,CATALOGO!$A$6:$A$105,0))+INDEX(CATALOGO!$I$6:$I$105,MATCH(A39,CATALOGO!$A$6:$A$105,0)))),"")</f>
        <v/>
      </c>
      <c r="R39" s="9" t="str">
        <f>IF(OR(A39="",I39="",COUNTIF(CATALOGO!$A$6:$A$105,A39)&lt;&gt;1),"",IF(I39=0,0,IF(OR(Q39="",INDEX(CATALOGO!$N$6:$N$105,MATCH(A39,CATALOGO!$A$6:$A$105,0))="",INDEX(CATALOGO!$O$6:$O$105,MATCH(A39,CATALOGO!$A$6:$A$105,0))="",INDEX(CATALOGO!$O$6:$O$105,MATCH(A39,CATALOGO!$A$6:$A$105,0))&lt;=0),"",IF(OR(I39&lt;INDEX(CATALOGO!$N$6:$N$105,MATCH(A39,CATALOGO!$A$6:$A$105,0)),MOD(I39,INDEX(CATALOGO!$O$6:$O$105,MATCH(A39,CATALOGO!$A$6:$A$105,0)))&lt;&gt;0,J39="",J39&lt;=CONFIG!$B$5,J39&gt;CONFIG!$B$5+91),"",I39*Q39))))</f>
        <v/>
      </c>
      <c r="S39" s="12" t="str">
        <f>IF(A39="","",IF(COUNTIF(CATALOGO!$A$6:$A$105,A39)&lt;&gt;1,"SKU NO VALIDO",IF(I39="","CANTIDAD DESCONOCIDA",IF(I39=0,"SIN COMPRA ELEGIDA",IF(OR(I39&lt;0,I39&gt;1000000),"CANTIDAD INVALIDA",IF(OR(INDEX(CATALOGO!$N$6:$N$105,MATCH(A39,CATALOGO!$A$6:$A$105,0))="",INDEX(CATALOGO!$O$6:$O$105,MATCH(A39,CATALOGO!$A$6:$A$105,0))="",INDEX(CATALOGO!$O$6:$O$105,MATCH(A39,CATALOGO!$A$6:$A$105,0))&lt;=0),"CATALOGO A REVISAR",IF(OR(I39&lt;INDEX(CATALOGO!$N$6:$N$105,MATCH(A39,CATALOGO!$A$6:$A$105,0)),MOD(I39,INDEX(CATALOGO!$O$6:$O$105,MATCH(A39,CATALOGO!$A$6:$A$105,0)))&lt;&gt;0),"NO RESPETA MOQ/PACK",IF(J39="","FALTA FECHA PAGO",IF(Q39="","COSTO DESCONOCIDO",IF(OR(J39&lt;=CONFIG!$B$5,J39&gt;CONFIG!$B$5+91),"FUERA DE 91 DIAS",IF(AND(P39&lt;&gt;"",I39&gt;P39),"EN MODELO · SUPERA PROPUESTA","EN MODELO")))))))))))</f>
        <v/>
      </c>
    </row>
    <row r="40" spans="1:19" x14ac:dyDescent="0.45">
      <c r="A40" s="8"/>
      <c r="B40" s="4"/>
      <c r="C40" s="5"/>
      <c r="D40" s="5"/>
      <c r="E40" s="5"/>
      <c r="F40" s="4"/>
      <c r="G40" s="8"/>
      <c r="H40" s="5"/>
      <c r="I40" s="5"/>
      <c r="J40" s="4"/>
      <c r="K40" s="12" t="str">
        <f>IFERROR(IF(A40="","",IF(COUNTIF($A$6:$A$105,A40)&gt;1,"DUPLICADO STOCK",IF(COUNTIF(CATALOGO!$A$6:$A$105,A40)&lt;&gt;1,"SKU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INVALIDA",IF(INDEX(CATALOGO!$F$6:$F$105,MATCH(A40,CATALOGO!$A$6:$A$105,0))&lt;&gt;"ACTIVO",INDEX(CATALOGO!$F$6:$F$105,MATCH(A40,CATALOGO!$A$6:$A$105,0)),IF(OR(B40="",B40&lt;&gt;CONFIG!$B$5),"CONTEO NO VIGENTE",IF(OR(C40="",D40="",E40="",H40=""),"FALTA CAMPO",IF(OR(C40&lt;0,C40&gt;1000000,D40&lt;0,D40&gt;1000000,E40&lt;0,E40&gt;1000000,D40&gt;C40),"REVISAR VALOR",IF(H40&gt;CONFIG!$B$6,"EXPOSICION FUERA DE RANGO",IF(H40&lt;&gt;CONFIG!$B$6,"DISPONIBILIDAD INCOMPLETA",IF(CONFIG!$B$14&lt;&gt;"SI","VENTAS INCOMPLETAS",IF(CONFIG!$B$12&lt;&gt;"SI","POLITICA SIN REVISAR",IF(SUMPRODUCT(--(VENTAS!$B$6:$B$1005=A40),--(VENTAS!$A$6:$A$1005&gt;=CONFIG!$B$5-CONFIG!$B$6+1),--(VENTAS!$A$6:$A$1005&lt;=CONFIG!$B$5),--(VENTAS!$I$6:$I$1005&lt;&gt;""),--(VENTAS!$I$6:$I$1005&lt;&gt;"OK"))&gt;0,"VENTAS A REVISAR",IF(AND(E40&gt;0,OR(F40="",G40&lt;&gt;"SI")),"TRANSITO SIN CONFIRMAR",IF(AND(E40&gt;0,G40="SI",OR(F40&lt;=CONFIG!$B$5,F40&gt;CONFIG!$B$5+INDEX(CATALOGO!$M$6:$M$105,MATCH(A40,CATALOGO!$A$6:$A$105,0)))),"TRANSITO FUERA DEL PLAZO",IF(INDEX(CATALOGO!$T$6:$T$105,MATCH(A40,CATALOGO!$A$6:$A$105,0))&lt;&gt;"OK","CATALOGO A REVISAR",IF(1-INDEX(CATALOGO!$K$6:$K$105,MATCH(A40,CATALOGO!$A$6:$A$105,0))-CONFIG!$B$8&lt;=0,"MARGEN OBJETIVO INVIABLE",IF(INDEX(CATALOGO!$R$6:$R$105,MATCH(A40,CATALOGO!$A$6:$A$105,0))&lt;CONFIG!$B$8,"REVISAR PRECIO O COSTO","ELEGIBLE")))))))))))))))))),"CONFIG INVALIDA")</f>
        <v/>
      </c>
      <c r="L40" s="13" t="str">
        <f t="shared" si="1"/>
        <v/>
      </c>
      <c r="M40" s="12" t="str">
        <f>IFERROR(IF(OR(A40="",CONFIG!$B$14&lt;&gt;"SI",CONFIG!$B$6&lt;1,CONFIG!$B$6&gt;365,CONFIG!$B$6&lt;&gt;INT(CONFIG!$B$6),SUMPRODUCT(--(VENTAS!$B$6:$B$1005=A40),--(VENTAS!$A$6:$A$1005&gt;=CONFIG!$B$5-CONFIG!$B$6+1),--(VENTAS!$A$6:$A$1005&lt;=CONFIG!$B$5),--(VENTAS!$I$6:$I$1005&lt;&gt;""),--(VENTAS!$I$6:$I$1005&lt;&gt;"OK"))&gt;0),"",MAX(0,(SUMIFS(VENTAS!$C$6:$C$1005,VENTAS!$B$6:$B$1005,A40,VENTAS!$A$6:$A$1005,"&gt;="&amp;CONFIG!$B$5-CONFIG!$B$6+1,VENTAS!$A$6:$A$1005,"&lt;="&amp;CONFIG!$B$5)-SUMIFS(VENTAS!$E$6:$E$1005,VENTAS!$B$6:$B$1005,A40,VENTAS!$A$6:$A$1005,"&gt;="&amp;CONFIG!$B$5-CONFIG!$B$6+1,VENTAS!$A$6:$A$1005,"&lt;="&amp;CONFIG!$B$5))/CONFIG!$B$6)),"")</f>
        <v/>
      </c>
      <c r="N40" s="14" t="str">
        <f>IF(K40&lt;&gt;"ELEGIBLE","",IF(AND(E40&gt;0,G40="SI",F40&gt;CONFIG!$B$5,F40&lt;=CONFIG!$B$5+INDEX(CATALOGO!$M$6:$M$105,MATCH(A40,CATALOGO!$A$6:$A$105,0))),E40,0))</f>
        <v/>
      </c>
      <c r="O40" s="14" t="str">
        <f>IF(K40&lt;&gt;"ELEGIBLE","",MAX(0,ROUNDUP(ROUND(M40*(INDEX(CATALOGO!$M$6:$M$105,MATCH(A40,CATALOGO!$A$6:$A$105,0))+CONFIG!$B$7)-L40-N40,10),0)))</f>
        <v/>
      </c>
      <c r="P40" s="14" t="str">
        <f>IF(O40="","",IF(O40=0,0,ROUNDUP(MAX(O40,INDEX(CATALOGO!$N$6:$N$105,MATCH(A40,CATALOGO!$A$6:$A$105,0)))/INDEX(CATALOGO!$O$6:$O$105,MATCH(A40,CATALOGO!$A$6:$A$105,0)),0)*INDEX(CATALOGO!$O$6:$O$105,MATCH(A40,CATALOGO!$A$6:$A$105,0))))</f>
        <v/>
      </c>
      <c r="Q40" s="11" t="str">
        <f>IFERROR(IF(OR(A40="",COUNTIF(CATALOGO!$A$6:$A$105,A40)&lt;&gt;1),"",IF(OR(INDEX(CATALOGO!$H$6:$H$105,MATCH(A40,CATALOGO!$A$6:$A$105,0))="",INDEX(CATALOGO!$I$6:$I$105,MATCH(A40,CATALOGO!$A$6:$A$105,0))="",ABS(INDEX(CATALOGO!$H$6:$H$105,MATCH(A40,CATALOGO!$A$6:$A$105,0)))&gt;1000000000,ABS(INDEX(CATALOGO!$I$6:$I$105,MATCH(A40,CATALOGO!$A$6:$A$105,0)))&gt;1000000000),"",INDEX(CATALOGO!$H$6:$H$105,MATCH(A40,CATALOGO!$A$6:$A$105,0))+INDEX(CATALOGO!$I$6:$I$105,MATCH(A40,CATALOGO!$A$6:$A$105,0)))),"")</f>
        <v/>
      </c>
      <c r="R40" s="9" t="str">
        <f>IF(OR(A40="",I40="",COUNTIF(CATALOGO!$A$6:$A$105,A40)&lt;&gt;1),"",IF(I40=0,0,IF(OR(Q40="",INDEX(CATALOGO!$N$6:$N$105,MATCH(A40,CATALOGO!$A$6:$A$105,0))="",INDEX(CATALOGO!$O$6:$O$105,MATCH(A40,CATALOGO!$A$6:$A$105,0))="",INDEX(CATALOGO!$O$6:$O$105,MATCH(A40,CATALOGO!$A$6:$A$105,0))&lt;=0),"",IF(OR(I40&lt;INDEX(CATALOGO!$N$6:$N$105,MATCH(A40,CATALOGO!$A$6:$A$105,0)),MOD(I40,INDEX(CATALOGO!$O$6:$O$105,MATCH(A40,CATALOGO!$A$6:$A$105,0)))&lt;&gt;0,J40="",J40&lt;=CONFIG!$B$5,J40&gt;CONFIG!$B$5+91),"",I40*Q40))))</f>
        <v/>
      </c>
      <c r="S40" s="12" t="str">
        <f>IF(A40="","",IF(COUNTIF(CATALOGO!$A$6:$A$105,A40)&lt;&gt;1,"SKU NO VALIDO",IF(I40="","CANTIDAD DESCONOCIDA",IF(I40=0,"SIN COMPRA ELEGIDA",IF(OR(I40&lt;0,I40&gt;1000000),"CANTIDAD INVALIDA",IF(OR(INDEX(CATALOGO!$N$6:$N$105,MATCH(A40,CATALOGO!$A$6:$A$105,0))="",INDEX(CATALOGO!$O$6:$O$105,MATCH(A40,CATALOGO!$A$6:$A$105,0))="",INDEX(CATALOGO!$O$6:$O$105,MATCH(A40,CATALOGO!$A$6:$A$105,0))&lt;=0),"CATALOGO A REVISAR",IF(OR(I40&lt;INDEX(CATALOGO!$N$6:$N$105,MATCH(A40,CATALOGO!$A$6:$A$105,0)),MOD(I40,INDEX(CATALOGO!$O$6:$O$105,MATCH(A40,CATALOGO!$A$6:$A$105,0)))&lt;&gt;0),"NO RESPETA MOQ/PACK",IF(J40="","FALTA FECHA PAGO",IF(Q40="","COSTO DESCONOCIDO",IF(OR(J40&lt;=CONFIG!$B$5,J40&gt;CONFIG!$B$5+91),"FUERA DE 91 DIAS",IF(AND(P40&lt;&gt;"",I40&gt;P40),"EN MODELO · SUPERA PROPUESTA","EN MODELO")))))))))))</f>
        <v/>
      </c>
    </row>
    <row r="41" spans="1:19" x14ac:dyDescent="0.45">
      <c r="A41" s="8"/>
      <c r="B41" s="4"/>
      <c r="C41" s="5"/>
      <c r="D41" s="5"/>
      <c r="E41" s="5"/>
      <c r="F41" s="4"/>
      <c r="G41" s="8"/>
      <c r="H41" s="5"/>
      <c r="I41" s="5"/>
      <c r="J41" s="4"/>
      <c r="K41" s="12" t="str">
        <f>IFERROR(IF(A41="","",IF(COUNTIF($A$6:$A$105,A41)&gt;1,"DUPLICADO STOCK",IF(COUNTIF(CATALOGO!$A$6:$A$105,A41)&lt;&gt;1,"SKU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INVALIDA",IF(INDEX(CATALOGO!$F$6:$F$105,MATCH(A41,CATALOGO!$A$6:$A$105,0))&lt;&gt;"ACTIVO",INDEX(CATALOGO!$F$6:$F$105,MATCH(A41,CATALOGO!$A$6:$A$105,0)),IF(OR(B41="",B41&lt;&gt;CONFIG!$B$5),"CONTEO NO VIGENTE",IF(OR(C41="",D41="",E41="",H41=""),"FALTA CAMPO",IF(OR(C41&lt;0,C41&gt;1000000,D41&lt;0,D41&gt;1000000,E41&lt;0,E41&gt;1000000,D41&gt;C41),"REVISAR VALOR",IF(H41&gt;CONFIG!$B$6,"EXPOSICION FUERA DE RANGO",IF(H41&lt;&gt;CONFIG!$B$6,"DISPONIBILIDAD INCOMPLETA",IF(CONFIG!$B$14&lt;&gt;"SI","VENTAS INCOMPLETAS",IF(CONFIG!$B$12&lt;&gt;"SI","POLITICA SIN REVISAR",IF(SUMPRODUCT(--(VENTAS!$B$6:$B$1005=A41),--(VENTAS!$A$6:$A$1005&gt;=CONFIG!$B$5-CONFIG!$B$6+1),--(VENTAS!$A$6:$A$1005&lt;=CONFIG!$B$5),--(VENTAS!$I$6:$I$1005&lt;&gt;""),--(VENTAS!$I$6:$I$1005&lt;&gt;"OK"))&gt;0,"VENTAS A REVISAR",IF(AND(E41&gt;0,OR(F41="",G41&lt;&gt;"SI")),"TRANSITO SIN CONFIRMAR",IF(AND(E41&gt;0,G41="SI",OR(F41&lt;=CONFIG!$B$5,F41&gt;CONFIG!$B$5+INDEX(CATALOGO!$M$6:$M$105,MATCH(A41,CATALOGO!$A$6:$A$105,0)))),"TRANSITO FUERA DEL PLAZO",IF(INDEX(CATALOGO!$T$6:$T$105,MATCH(A41,CATALOGO!$A$6:$A$105,0))&lt;&gt;"OK","CATALOGO A REVISAR",IF(1-INDEX(CATALOGO!$K$6:$K$105,MATCH(A41,CATALOGO!$A$6:$A$105,0))-CONFIG!$B$8&lt;=0,"MARGEN OBJETIVO INVIABLE",IF(INDEX(CATALOGO!$R$6:$R$105,MATCH(A41,CATALOGO!$A$6:$A$105,0))&lt;CONFIG!$B$8,"REVISAR PRECIO O COSTO","ELEGIBLE")))))))))))))))))),"CONFIG INVALIDA")</f>
        <v/>
      </c>
      <c r="L41" s="13" t="str">
        <f t="shared" si="1"/>
        <v/>
      </c>
      <c r="M41" s="12" t="str">
        <f>IFERROR(IF(OR(A41="",CONFIG!$B$14&lt;&gt;"SI",CONFIG!$B$6&lt;1,CONFIG!$B$6&gt;365,CONFIG!$B$6&lt;&gt;INT(CONFIG!$B$6),SUMPRODUCT(--(VENTAS!$B$6:$B$1005=A41),--(VENTAS!$A$6:$A$1005&gt;=CONFIG!$B$5-CONFIG!$B$6+1),--(VENTAS!$A$6:$A$1005&lt;=CONFIG!$B$5),--(VENTAS!$I$6:$I$1005&lt;&gt;""),--(VENTAS!$I$6:$I$1005&lt;&gt;"OK"))&gt;0),"",MAX(0,(SUMIFS(VENTAS!$C$6:$C$1005,VENTAS!$B$6:$B$1005,A41,VENTAS!$A$6:$A$1005,"&gt;="&amp;CONFIG!$B$5-CONFIG!$B$6+1,VENTAS!$A$6:$A$1005,"&lt;="&amp;CONFIG!$B$5)-SUMIFS(VENTAS!$E$6:$E$1005,VENTAS!$B$6:$B$1005,A41,VENTAS!$A$6:$A$1005,"&gt;="&amp;CONFIG!$B$5-CONFIG!$B$6+1,VENTAS!$A$6:$A$1005,"&lt;="&amp;CONFIG!$B$5))/CONFIG!$B$6)),"")</f>
        <v/>
      </c>
      <c r="N41" s="14" t="str">
        <f>IF(K41&lt;&gt;"ELEGIBLE","",IF(AND(E41&gt;0,G41="SI",F41&gt;CONFIG!$B$5,F41&lt;=CONFIG!$B$5+INDEX(CATALOGO!$M$6:$M$105,MATCH(A41,CATALOGO!$A$6:$A$105,0))),E41,0))</f>
        <v/>
      </c>
      <c r="O41" s="14" t="str">
        <f>IF(K41&lt;&gt;"ELEGIBLE","",MAX(0,ROUNDUP(ROUND(M41*(INDEX(CATALOGO!$M$6:$M$105,MATCH(A41,CATALOGO!$A$6:$A$105,0))+CONFIG!$B$7)-L41-N41,10),0)))</f>
        <v/>
      </c>
      <c r="P41" s="14" t="str">
        <f>IF(O41="","",IF(O41=0,0,ROUNDUP(MAX(O41,INDEX(CATALOGO!$N$6:$N$105,MATCH(A41,CATALOGO!$A$6:$A$105,0)))/INDEX(CATALOGO!$O$6:$O$105,MATCH(A41,CATALOGO!$A$6:$A$105,0)),0)*INDEX(CATALOGO!$O$6:$O$105,MATCH(A41,CATALOGO!$A$6:$A$105,0))))</f>
        <v/>
      </c>
      <c r="Q41" s="11" t="str">
        <f>IFERROR(IF(OR(A41="",COUNTIF(CATALOGO!$A$6:$A$105,A41)&lt;&gt;1),"",IF(OR(INDEX(CATALOGO!$H$6:$H$105,MATCH(A41,CATALOGO!$A$6:$A$105,0))="",INDEX(CATALOGO!$I$6:$I$105,MATCH(A41,CATALOGO!$A$6:$A$105,0))="",ABS(INDEX(CATALOGO!$H$6:$H$105,MATCH(A41,CATALOGO!$A$6:$A$105,0)))&gt;1000000000,ABS(INDEX(CATALOGO!$I$6:$I$105,MATCH(A41,CATALOGO!$A$6:$A$105,0)))&gt;1000000000),"",INDEX(CATALOGO!$H$6:$H$105,MATCH(A41,CATALOGO!$A$6:$A$105,0))+INDEX(CATALOGO!$I$6:$I$105,MATCH(A41,CATALOGO!$A$6:$A$105,0)))),"")</f>
        <v/>
      </c>
      <c r="R41" s="9" t="str">
        <f>IF(OR(A41="",I41="",COUNTIF(CATALOGO!$A$6:$A$105,A41)&lt;&gt;1),"",IF(I41=0,0,IF(OR(Q41="",INDEX(CATALOGO!$N$6:$N$105,MATCH(A41,CATALOGO!$A$6:$A$105,0))="",INDEX(CATALOGO!$O$6:$O$105,MATCH(A41,CATALOGO!$A$6:$A$105,0))="",INDEX(CATALOGO!$O$6:$O$105,MATCH(A41,CATALOGO!$A$6:$A$105,0))&lt;=0),"",IF(OR(I41&lt;INDEX(CATALOGO!$N$6:$N$105,MATCH(A41,CATALOGO!$A$6:$A$105,0)),MOD(I41,INDEX(CATALOGO!$O$6:$O$105,MATCH(A41,CATALOGO!$A$6:$A$105,0)))&lt;&gt;0,J41="",J41&lt;=CONFIG!$B$5,J41&gt;CONFIG!$B$5+91),"",I41*Q41))))</f>
        <v/>
      </c>
      <c r="S41" s="12" t="str">
        <f>IF(A41="","",IF(COUNTIF(CATALOGO!$A$6:$A$105,A41)&lt;&gt;1,"SKU NO VALIDO",IF(I41="","CANTIDAD DESCONOCIDA",IF(I41=0,"SIN COMPRA ELEGIDA",IF(OR(I41&lt;0,I41&gt;1000000),"CANTIDAD INVALIDA",IF(OR(INDEX(CATALOGO!$N$6:$N$105,MATCH(A41,CATALOGO!$A$6:$A$105,0))="",INDEX(CATALOGO!$O$6:$O$105,MATCH(A41,CATALOGO!$A$6:$A$105,0))="",INDEX(CATALOGO!$O$6:$O$105,MATCH(A41,CATALOGO!$A$6:$A$105,0))&lt;=0),"CATALOGO A REVISAR",IF(OR(I41&lt;INDEX(CATALOGO!$N$6:$N$105,MATCH(A41,CATALOGO!$A$6:$A$105,0)),MOD(I41,INDEX(CATALOGO!$O$6:$O$105,MATCH(A41,CATALOGO!$A$6:$A$105,0)))&lt;&gt;0),"NO RESPETA MOQ/PACK",IF(J41="","FALTA FECHA PAGO",IF(Q41="","COSTO DESCONOCIDO",IF(OR(J41&lt;=CONFIG!$B$5,J41&gt;CONFIG!$B$5+91),"FUERA DE 91 DIAS",IF(AND(P41&lt;&gt;"",I41&gt;P41),"EN MODELO · SUPERA PROPUESTA","EN MODELO")))))))))))</f>
        <v/>
      </c>
    </row>
    <row r="42" spans="1:19" x14ac:dyDescent="0.45">
      <c r="A42" s="8"/>
      <c r="B42" s="4"/>
      <c r="C42" s="5"/>
      <c r="D42" s="5"/>
      <c r="E42" s="5"/>
      <c r="F42" s="4"/>
      <c r="G42" s="8"/>
      <c r="H42" s="5"/>
      <c r="I42" s="5"/>
      <c r="J42" s="4"/>
      <c r="K42" s="12" t="str">
        <f>IFERROR(IF(A42="","",IF(COUNTIF($A$6:$A$105,A42)&gt;1,"DUPLICADO STOCK",IF(COUNTIF(CATALOGO!$A$6:$A$105,A42)&lt;&gt;1,"SKU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INVALIDA",IF(INDEX(CATALOGO!$F$6:$F$105,MATCH(A42,CATALOGO!$A$6:$A$105,0))&lt;&gt;"ACTIVO",INDEX(CATALOGO!$F$6:$F$105,MATCH(A42,CATALOGO!$A$6:$A$105,0)),IF(OR(B42="",B42&lt;&gt;CONFIG!$B$5),"CONTEO NO VIGENTE",IF(OR(C42="",D42="",E42="",H42=""),"FALTA CAMPO",IF(OR(C42&lt;0,C42&gt;1000000,D42&lt;0,D42&gt;1000000,E42&lt;0,E42&gt;1000000,D42&gt;C42),"REVISAR VALOR",IF(H42&gt;CONFIG!$B$6,"EXPOSICION FUERA DE RANGO",IF(H42&lt;&gt;CONFIG!$B$6,"DISPONIBILIDAD INCOMPLETA",IF(CONFIG!$B$14&lt;&gt;"SI","VENTAS INCOMPLETAS",IF(CONFIG!$B$12&lt;&gt;"SI","POLITICA SIN REVISAR",IF(SUMPRODUCT(--(VENTAS!$B$6:$B$1005=A42),--(VENTAS!$A$6:$A$1005&gt;=CONFIG!$B$5-CONFIG!$B$6+1),--(VENTAS!$A$6:$A$1005&lt;=CONFIG!$B$5),--(VENTAS!$I$6:$I$1005&lt;&gt;""),--(VENTAS!$I$6:$I$1005&lt;&gt;"OK"))&gt;0,"VENTAS A REVISAR",IF(AND(E42&gt;0,OR(F42="",G42&lt;&gt;"SI")),"TRANSITO SIN CONFIRMAR",IF(AND(E42&gt;0,G42="SI",OR(F42&lt;=CONFIG!$B$5,F42&gt;CONFIG!$B$5+INDEX(CATALOGO!$M$6:$M$105,MATCH(A42,CATALOGO!$A$6:$A$105,0)))),"TRANSITO FUERA DEL PLAZO",IF(INDEX(CATALOGO!$T$6:$T$105,MATCH(A42,CATALOGO!$A$6:$A$105,0))&lt;&gt;"OK","CATALOGO A REVISAR",IF(1-INDEX(CATALOGO!$K$6:$K$105,MATCH(A42,CATALOGO!$A$6:$A$105,0))-CONFIG!$B$8&lt;=0,"MARGEN OBJETIVO INVIABLE",IF(INDEX(CATALOGO!$R$6:$R$105,MATCH(A42,CATALOGO!$A$6:$A$105,0))&lt;CONFIG!$B$8,"REVISAR PRECIO O COSTO","ELEGIBLE")))))))))))))))))),"CONFIG INVALIDA")</f>
        <v/>
      </c>
      <c r="L42" s="13" t="str">
        <f t="shared" si="1"/>
        <v/>
      </c>
      <c r="M42" s="12" t="str">
        <f>IFERROR(IF(OR(A42="",CONFIG!$B$14&lt;&gt;"SI",CONFIG!$B$6&lt;1,CONFIG!$B$6&gt;365,CONFIG!$B$6&lt;&gt;INT(CONFIG!$B$6),SUMPRODUCT(--(VENTAS!$B$6:$B$1005=A42),--(VENTAS!$A$6:$A$1005&gt;=CONFIG!$B$5-CONFIG!$B$6+1),--(VENTAS!$A$6:$A$1005&lt;=CONFIG!$B$5),--(VENTAS!$I$6:$I$1005&lt;&gt;""),--(VENTAS!$I$6:$I$1005&lt;&gt;"OK"))&gt;0),"",MAX(0,(SUMIFS(VENTAS!$C$6:$C$1005,VENTAS!$B$6:$B$1005,A42,VENTAS!$A$6:$A$1005,"&gt;="&amp;CONFIG!$B$5-CONFIG!$B$6+1,VENTAS!$A$6:$A$1005,"&lt;="&amp;CONFIG!$B$5)-SUMIFS(VENTAS!$E$6:$E$1005,VENTAS!$B$6:$B$1005,A42,VENTAS!$A$6:$A$1005,"&gt;="&amp;CONFIG!$B$5-CONFIG!$B$6+1,VENTAS!$A$6:$A$1005,"&lt;="&amp;CONFIG!$B$5))/CONFIG!$B$6)),"")</f>
        <v/>
      </c>
      <c r="N42" s="14" t="str">
        <f>IF(K42&lt;&gt;"ELEGIBLE","",IF(AND(E42&gt;0,G42="SI",F42&gt;CONFIG!$B$5,F42&lt;=CONFIG!$B$5+INDEX(CATALOGO!$M$6:$M$105,MATCH(A42,CATALOGO!$A$6:$A$105,0))),E42,0))</f>
        <v/>
      </c>
      <c r="O42" s="14" t="str">
        <f>IF(K42&lt;&gt;"ELEGIBLE","",MAX(0,ROUNDUP(ROUND(M42*(INDEX(CATALOGO!$M$6:$M$105,MATCH(A42,CATALOGO!$A$6:$A$105,0))+CONFIG!$B$7)-L42-N42,10),0)))</f>
        <v/>
      </c>
      <c r="P42" s="14" t="str">
        <f>IF(O42="","",IF(O42=0,0,ROUNDUP(MAX(O42,INDEX(CATALOGO!$N$6:$N$105,MATCH(A42,CATALOGO!$A$6:$A$105,0)))/INDEX(CATALOGO!$O$6:$O$105,MATCH(A42,CATALOGO!$A$6:$A$105,0)),0)*INDEX(CATALOGO!$O$6:$O$105,MATCH(A42,CATALOGO!$A$6:$A$105,0))))</f>
        <v/>
      </c>
      <c r="Q42" s="11" t="str">
        <f>IFERROR(IF(OR(A42="",COUNTIF(CATALOGO!$A$6:$A$105,A42)&lt;&gt;1),"",IF(OR(INDEX(CATALOGO!$H$6:$H$105,MATCH(A42,CATALOGO!$A$6:$A$105,0))="",INDEX(CATALOGO!$I$6:$I$105,MATCH(A42,CATALOGO!$A$6:$A$105,0))="",ABS(INDEX(CATALOGO!$H$6:$H$105,MATCH(A42,CATALOGO!$A$6:$A$105,0)))&gt;1000000000,ABS(INDEX(CATALOGO!$I$6:$I$105,MATCH(A42,CATALOGO!$A$6:$A$105,0)))&gt;1000000000),"",INDEX(CATALOGO!$H$6:$H$105,MATCH(A42,CATALOGO!$A$6:$A$105,0))+INDEX(CATALOGO!$I$6:$I$105,MATCH(A42,CATALOGO!$A$6:$A$105,0)))),"")</f>
        <v/>
      </c>
      <c r="R42" s="9" t="str">
        <f>IF(OR(A42="",I42="",COUNTIF(CATALOGO!$A$6:$A$105,A42)&lt;&gt;1),"",IF(I42=0,0,IF(OR(Q42="",INDEX(CATALOGO!$N$6:$N$105,MATCH(A42,CATALOGO!$A$6:$A$105,0))="",INDEX(CATALOGO!$O$6:$O$105,MATCH(A42,CATALOGO!$A$6:$A$105,0))="",INDEX(CATALOGO!$O$6:$O$105,MATCH(A42,CATALOGO!$A$6:$A$105,0))&lt;=0),"",IF(OR(I42&lt;INDEX(CATALOGO!$N$6:$N$105,MATCH(A42,CATALOGO!$A$6:$A$105,0)),MOD(I42,INDEX(CATALOGO!$O$6:$O$105,MATCH(A42,CATALOGO!$A$6:$A$105,0)))&lt;&gt;0,J42="",J42&lt;=CONFIG!$B$5,J42&gt;CONFIG!$B$5+91),"",I42*Q42))))</f>
        <v/>
      </c>
      <c r="S42" s="12" t="str">
        <f>IF(A42="","",IF(COUNTIF(CATALOGO!$A$6:$A$105,A42)&lt;&gt;1,"SKU NO VALIDO",IF(I42="","CANTIDAD DESCONOCIDA",IF(I42=0,"SIN COMPRA ELEGIDA",IF(OR(I42&lt;0,I42&gt;1000000),"CANTIDAD INVALIDA",IF(OR(INDEX(CATALOGO!$N$6:$N$105,MATCH(A42,CATALOGO!$A$6:$A$105,0))="",INDEX(CATALOGO!$O$6:$O$105,MATCH(A42,CATALOGO!$A$6:$A$105,0))="",INDEX(CATALOGO!$O$6:$O$105,MATCH(A42,CATALOGO!$A$6:$A$105,0))&lt;=0),"CATALOGO A REVISAR",IF(OR(I42&lt;INDEX(CATALOGO!$N$6:$N$105,MATCH(A42,CATALOGO!$A$6:$A$105,0)),MOD(I42,INDEX(CATALOGO!$O$6:$O$105,MATCH(A42,CATALOGO!$A$6:$A$105,0)))&lt;&gt;0),"NO RESPETA MOQ/PACK",IF(J42="","FALTA FECHA PAGO",IF(Q42="","COSTO DESCONOCIDO",IF(OR(J42&lt;=CONFIG!$B$5,J42&gt;CONFIG!$B$5+91),"FUERA DE 91 DIAS",IF(AND(P42&lt;&gt;"",I42&gt;P42),"EN MODELO · SUPERA PROPUESTA","EN MODELO")))))))))))</f>
        <v/>
      </c>
    </row>
    <row r="43" spans="1:19" x14ac:dyDescent="0.45">
      <c r="A43" s="8"/>
      <c r="B43" s="4"/>
      <c r="C43" s="5"/>
      <c r="D43" s="5"/>
      <c r="E43" s="5"/>
      <c r="F43" s="4"/>
      <c r="G43" s="8"/>
      <c r="H43" s="5"/>
      <c r="I43" s="5"/>
      <c r="J43" s="4"/>
      <c r="K43" s="12" t="str">
        <f>IFERROR(IF(A43="","",IF(COUNTIF($A$6:$A$105,A43)&gt;1,"DUPLICADO STOCK",IF(COUNTIF(CATALOGO!$A$6:$A$105,A43)&lt;&gt;1,"SKU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INVALIDA",IF(INDEX(CATALOGO!$F$6:$F$105,MATCH(A43,CATALOGO!$A$6:$A$105,0))&lt;&gt;"ACTIVO",INDEX(CATALOGO!$F$6:$F$105,MATCH(A43,CATALOGO!$A$6:$A$105,0)),IF(OR(B43="",B43&lt;&gt;CONFIG!$B$5),"CONTEO NO VIGENTE",IF(OR(C43="",D43="",E43="",H43=""),"FALTA CAMPO",IF(OR(C43&lt;0,C43&gt;1000000,D43&lt;0,D43&gt;1000000,E43&lt;0,E43&gt;1000000,D43&gt;C43),"REVISAR VALOR",IF(H43&gt;CONFIG!$B$6,"EXPOSICION FUERA DE RANGO",IF(H43&lt;&gt;CONFIG!$B$6,"DISPONIBILIDAD INCOMPLETA",IF(CONFIG!$B$14&lt;&gt;"SI","VENTAS INCOMPLETAS",IF(CONFIG!$B$12&lt;&gt;"SI","POLITICA SIN REVISAR",IF(SUMPRODUCT(--(VENTAS!$B$6:$B$1005=A43),--(VENTAS!$A$6:$A$1005&gt;=CONFIG!$B$5-CONFIG!$B$6+1),--(VENTAS!$A$6:$A$1005&lt;=CONFIG!$B$5),--(VENTAS!$I$6:$I$1005&lt;&gt;""),--(VENTAS!$I$6:$I$1005&lt;&gt;"OK"))&gt;0,"VENTAS A REVISAR",IF(AND(E43&gt;0,OR(F43="",G43&lt;&gt;"SI")),"TRANSITO SIN CONFIRMAR",IF(AND(E43&gt;0,G43="SI",OR(F43&lt;=CONFIG!$B$5,F43&gt;CONFIG!$B$5+INDEX(CATALOGO!$M$6:$M$105,MATCH(A43,CATALOGO!$A$6:$A$105,0)))),"TRANSITO FUERA DEL PLAZO",IF(INDEX(CATALOGO!$T$6:$T$105,MATCH(A43,CATALOGO!$A$6:$A$105,0))&lt;&gt;"OK","CATALOGO A REVISAR",IF(1-INDEX(CATALOGO!$K$6:$K$105,MATCH(A43,CATALOGO!$A$6:$A$105,0))-CONFIG!$B$8&lt;=0,"MARGEN OBJETIVO INVIABLE",IF(INDEX(CATALOGO!$R$6:$R$105,MATCH(A43,CATALOGO!$A$6:$A$105,0))&lt;CONFIG!$B$8,"REVISAR PRECIO O COSTO","ELEGIBLE")))))))))))))))))),"CONFIG INVALIDA")</f>
        <v/>
      </c>
      <c r="L43" s="13" t="str">
        <f t="shared" si="1"/>
        <v/>
      </c>
      <c r="M43" s="12" t="str">
        <f>IFERROR(IF(OR(A43="",CONFIG!$B$14&lt;&gt;"SI",CONFIG!$B$6&lt;1,CONFIG!$B$6&gt;365,CONFIG!$B$6&lt;&gt;INT(CONFIG!$B$6),SUMPRODUCT(--(VENTAS!$B$6:$B$1005=A43),--(VENTAS!$A$6:$A$1005&gt;=CONFIG!$B$5-CONFIG!$B$6+1),--(VENTAS!$A$6:$A$1005&lt;=CONFIG!$B$5),--(VENTAS!$I$6:$I$1005&lt;&gt;""),--(VENTAS!$I$6:$I$1005&lt;&gt;"OK"))&gt;0),"",MAX(0,(SUMIFS(VENTAS!$C$6:$C$1005,VENTAS!$B$6:$B$1005,A43,VENTAS!$A$6:$A$1005,"&gt;="&amp;CONFIG!$B$5-CONFIG!$B$6+1,VENTAS!$A$6:$A$1005,"&lt;="&amp;CONFIG!$B$5)-SUMIFS(VENTAS!$E$6:$E$1005,VENTAS!$B$6:$B$1005,A43,VENTAS!$A$6:$A$1005,"&gt;="&amp;CONFIG!$B$5-CONFIG!$B$6+1,VENTAS!$A$6:$A$1005,"&lt;="&amp;CONFIG!$B$5))/CONFIG!$B$6)),"")</f>
        <v/>
      </c>
      <c r="N43" s="14" t="str">
        <f>IF(K43&lt;&gt;"ELEGIBLE","",IF(AND(E43&gt;0,G43="SI",F43&gt;CONFIG!$B$5,F43&lt;=CONFIG!$B$5+INDEX(CATALOGO!$M$6:$M$105,MATCH(A43,CATALOGO!$A$6:$A$105,0))),E43,0))</f>
        <v/>
      </c>
      <c r="O43" s="14" t="str">
        <f>IF(K43&lt;&gt;"ELEGIBLE","",MAX(0,ROUNDUP(ROUND(M43*(INDEX(CATALOGO!$M$6:$M$105,MATCH(A43,CATALOGO!$A$6:$A$105,0))+CONFIG!$B$7)-L43-N43,10),0)))</f>
        <v/>
      </c>
      <c r="P43" s="14" t="str">
        <f>IF(O43="","",IF(O43=0,0,ROUNDUP(MAX(O43,INDEX(CATALOGO!$N$6:$N$105,MATCH(A43,CATALOGO!$A$6:$A$105,0)))/INDEX(CATALOGO!$O$6:$O$105,MATCH(A43,CATALOGO!$A$6:$A$105,0)),0)*INDEX(CATALOGO!$O$6:$O$105,MATCH(A43,CATALOGO!$A$6:$A$105,0))))</f>
        <v/>
      </c>
      <c r="Q43" s="11" t="str">
        <f>IFERROR(IF(OR(A43="",COUNTIF(CATALOGO!$A$6:$A$105,A43)&lt;&gt;1),"",IF(OR(INDEX(CATALOGO!$H$6:$H$105,MATCH(A43,CATALOGO!$A$6:$A$105,0))="",INDEX(CATALOGO!$I$6:$I$105,MATCH(A43,CATALOGO!$A$6:$A$105,0))="",ABS(INDEX(CATALOGO!$H$6:$H$105,MATCH(A43,CATALOGO!$A$6:$A$105,0)))&gt;1000000000,ABS(INDEX(CATALOGO!$I$6:$I$105,MATCH(A43,CATALOGO!$A$6:$A$105,0)))&gt;1000000000),"",INDEX(CATALOGO!$H$6:$H$105,MATCH(A43,CATALOGO!$A$6:$A$105,0))+INDEX(CATALOGO!$I$6:$I$105,MATCH(A43,CATALOGO!$A$6:$A$105,0)))),"")</f>
        <v/>
      </c>
      <c r="R43" s="9" t="str">
        <f>IF(OR(A43="",I43="",COUNTIF(CATALOGO!$A$6:$A$105,A43)&lt;&gt;1),"",IF(I43=0,0,IF(OR(Q43="",INDEX(CATALOGO!$N$6:$N$105,MATCH(A43,CATALOGO!$A$6:$A$105,0))="",INDEX(CATALOGO!$O$6:$O$105,MATCH(A43,CATALOGO!$A$6:$A$105,0))="",INDEX(CATALOGO!$O$6:$O$105,MATCH(A43,CATALOGO!$A$6:$A$105,0))&lt;=0),"",IF(OR(I43&lt;INDEX(CATALOGO!$N$6:$N$105,MATCH(A43,CATALOGO!$A$6:$A$105,0)),MOD(I43,INDEX(CATALOGO!$O$6:$O$105,MATCH(A43,CATALOGO!$A$6:$A$105,0)))&lt;&gt;0,J43="",J43&lt;=CONFIG!$B$5,J43&gt;CONFIG!$B$5+91),"",I43*Q43))))</f>
        <v/>
      </c>
      <c r="S43" s="12" t="str">
        <f>IF(A43="","",IF(COUNTIF(CATALOGO!$A$6:$A$105,A43)&lt;&gt;1,"SKU NO VALIDO",IF(I43="","CANTIDAD DESCONOCIDA",IF(I43=0,"SIN COMPRA ELEGIDA",IF(OR(I43&lt;0,I43&gt;1000000),"CANTIDAD INVALIDA",IF(OR(INDEX(CATALOGO!$N$6:$N$105,MATCH(A43,CATALOGO!$A$6:$A$105,0))="",INDEX(CATALOGO!$O$6:$O$105,MATCH(A43,CATALOGO!$A$6:$A$105,0))="",INDEX(CATALOGO!$O$6:$O$105,MATCH(A43,CATALOGO!$A$6:$A$105,0))&lt;=0),"CATALOGO A REVISAR",IF(OR(I43&lt;INDEX(CATALOGO!$N$6:$N$105,MATCH(A43,CATALOGO!$A$6:$A$105,0)),MOD(I43,INDEX(CATALOGO!$O$6:$O$105,MATCH(A43,CATALOGO!$A$6:$A$105,0)))&lt;&gt;0),"NO RESPETA MOQ/PACK",IF(J43="","FALTA FECHA PAGO",IF(Q43="","COSTO DESCONOCIDO",IF(OR(J43&lt;=CONFIG!$B$5,J43&gt;CONFIG!$B$5+91),"FUERA DE 91 DIAS",IF(AND(P43&lt;&gt;"",I43&gt;P43),"EN MODELO · SUPERA PROPUESTA","EN MODELO")))))))))))</f>
        <v/>
      </c>
    </row>
    <row r="44" spans="1:19" x14ac:dyDescent="0.45">
      <c r="A44" s="8"/>
      <c r="B44" s="4"/>
      <c r="C44" s="5"/>
      <c r="D44" s="5"/>
      <c r="E44" s="5"/>
      <c r="F44" s="4"/>
      <c r="G44" s="8"/>
      <c r="H44" s="5"/>
      <c r="I44" s="5"/>
      <c r="J44" s="4"/>
      <c r="K44" s="12" t="str">
        <f>IFERROR(IF(A44="","",IF(COUNTIF($A$6:$A$105,A44)&gt;1,"DUPLICADO STOCK",IF(COUNTIF(CATALOGO!$A$6:$A$105,A44)&lt;&gt;1,"SKU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INVALIDA",IF(INDEX(CATALOGO!$F$6:$F$105,MATCH(A44,CATALOGO!$A$6:$A$105,0))&lt;&gt;"ACTIVO",INDEX(CATALOGO!$F$6:$F$105,MATCH(A44,CATALOGO!$A$6:$A$105,0)),IF(OR(B44="",B44&lt;&gt;CONFIG!$B$5),"CONTEO NO VIGENTE",IF(OR(C44="",D44="",E44="",H44=""),"FALTA CAMPO",IF(OR(C44&lt;0,C44&gt;1000000,D44&lt;0,D44&gt;1000000,E44&lt;0,E44&gt;1000000,D44&gt;C44),"REVISAR VALOR",IF(H44&gt;CONFIG!$B$6,"EXPOSICION FUERA DE RANGO",IF(H44&lt;&gt;CONFIG!$B$6,"DISPONIBILIDAD INCOMPLETA",IF(CONFIG!$B$14&lt;&gt;"SI","VENTAS INCOMPLETAS",IF(CONFIG!$B$12&lt;&gt;"SI","POLITICA SIN REVISAR",IF(SUMPRODUCT(--(VENTAS!$B$6:$B$1005=A44),--(VENTAS!$A$6:$A$1005&gt;=CONFIG!$B$5-CONFIG!$B$6+1),--(VENTAS!$A$6:$A$1005&lt;=CONFIG!$B$5),--(VENTAS!$I$6:$I$1005&lt;&gt;""),--(VENTAS!$I$6:$I$1005&lt;&gt;"OK"))&gt;0,"VENTAS A REVISAR",IF(AND(E44&gt;0,OR(F44="",G44&lt;&gt;"SI")),"TRANSITO SIN CONFIRMAR",IF(AND(E44&gt;0,G44="SI",OR(F44&lt;=CONFIG!$B$5,F44&gt;CONFIG!$B$5+INDEX(CATALOGO!$M$6:$M$105,MATCH(A44,CATALOGO!$A$6:$A$105,0)))),"TRANSITO FUERA DEL PLAZO",IF(INDEX(CATALOGO!$T$6:$T$105,MATCH(A44,CATALOGO!$A$6:$A$105,0))&lt;&gt;"OK","CATALOGO A REVISAR",IF(1-INDEX(CATALOGO!$K$6:$K$105,MATCH(A44,CATALOGO!$A$6:$A$105,0))-CONFIG!$B$8&lt;=0,"MARGEN OBJETIVO INVIABLE",IF(INDEX(CATALOGO!$R$6:$R$105,MATCH(A44,CATALOGO!$A$6:$A$105,0))&lt;CONFIG!$B$8,"REVISAR PRECIO O COSTO","ELEGIBLE")))))))))))))))))),"CONFIG INVALIDA")</f>
        <v/>
      </c>
      <c r="L44" s="13" t="str">
        <f t="shared" si="1"/>
        <v/>
      </c>
      <c r="M44" s="12" t="str">
        <f>IFERROR(IF(OR(A44="",CONFIG!$B$14&lt;&gt;"SI",CONFIG!$B$6&lt;1,CONFIG!$B$6&gt;365,CONFIG!$B$6&lt;&gt;INT(CONFIG!$B$6),SUMPRODUCT(--(VENTAS!$B$6:$B$1005=A44),--(VENTAS!$A$6:$A$1005&gt;=CONFIG!$B$5-CONFIG!$B$6+1),--(VENTAS!$A$6:$A$1005&lt;=CONFIG!$B$5),--(VENTAS!$I$6:$I$1005&lt;&gt;""),--(VENTAS!$I$6:$I$1005&lt;&gt;"OK"))&gt;0),"",MAX(0,(SUMIFS(VENTAS!$C$6:$C$1005,VENTAS!$B$6:$B$1005,A44,VENTAS!$A$6:$A$1005,"&gt;="&amp;CONFIG!$B$5-CONFIG!$B$6+1,VENTAS!$A$6:$A$1005,"&lt;="&amp;CONFIG!$B$5)-SUMIFS(VENTAS!$E$6:$E$1005,VENTAS!$B$6:$B$1005,A44,VENTAS!$A$6:$A$1005,"&gt;="&amp;CONFIG!$B$5-CONFIG!$B$6+1,VENTAS!$A$6:$A$1005,"&lt;="&amp;CONFIG!$B$5))/CONFIG!$B$6)),"")</f>
        <v/>
      </c>
      <c r="N44" s="14" t="str">
        <f>IF(K44&lt;&gt;"ELEGIBLE","",IF(AND(E44&gt;0,G44="SI",F44&gt;CONFIG!$B$5,F44&lt;=CONFIG!$B$5+INDEX(CATALOGO!$M$6:$M$105,MATCH(A44,CATALOGO!$A$6:$A$105,0))),E44,0))</f>
        <v/>
      </c>
      <c r="O44" s="14" t="str">
        <f>IF(K44&lt;&gt;"ELEGIBLE","",MAX(0,ROUNDUP(ROUND(M44*(INDEX(CATALOGO!$M$6:$M$105,MATCH(A44,CATALOGO!$A$6:$A$105,0))+CONFIG!$B$7)-L44-N44,10),0)))</f>
        <v/>
      </c>
      <c r="P44" s="14" t="str">
        <f>IF(O44="","",IF(O44=0,0,ROUNDUP(MAX(O44,INDEX(CATALOGO!$N$6:$N$105,MATCH(A44,CATALOGO!$A$6:$A$105,0)))/INDEX(CATALOGO!$O$6:$O$105,MATCH(A44,CATALOGO!$A$6:$A$105,0)),0)*INDEX(CATALOGO!$O$6:$O$105,MATCH(A44,CATALOGO!$A$6:$A$105,0))))</f>
        <v/>
      </c>
      <c r="Q44" s="11" t="str">
        <f>IFERROR(IF(OR(A44="",COUNTIF(CATALOGO!$A$6:$A$105,A44)&lt;&gt;1),"",IF(OR(INDEX(CATALOGO!$H$6:$H$105,MATCH(A44,CATALOGO!$A$6:$A$105,0))="",INDEX(CATALOGO!$I$6:$I$105,MATCH(A44,CATALOGO!$A$6:$A$105,0))="",ABS(INDEX(CATALOGO!$H$6:$H$105,MATCH(A44,CATALOGO!$A$6:$A$105,0)))&gt;1000000000,ABS(INDEX(CATALOGO!$I$6:$I$105,MATCH(A44,CATALOGO!$A$6:$A$105,0)))&gt;1000000000),"",INDEX(CATALOGO!$H$6:$H$105,MATCH(A44,CATALOGO!$A$6:$A$105,0))+INDEX(CATALOGO!$I$6:$I$105,MATCH(A44,CATALOGO!$A$6:$A$105,0)))),"")</f>
        <v/>
      </c>
      <c r="R44" s="9" t="str">
        <f>IF(OR(A44="",I44="",COUNTIF(CATALOGO!$A$6:$A$105,A44)&lt;&gt;1),"",IF(I44=0,0,IF(OR(Q44="",INDEX(CATALOGO!$N$6:$N$105,MATCH(A44,CATALOGO!$A$6:$A$105,0))="",INDEX(CATALOGO!$O$6:$O$105,MATCH(A44,CATALOGO!$A$6:$A$105,0))="",INDEX(CATALOGO!$O$6:$O$105,MATCH(A44,CATALOGO!$A$6:$A$105,0))&lt;=0),"",IF(OR(I44&lt;INDEX(CATALOGO!$N$6:$N$105,MATCH(A44,CATALOGO!$A$6:$A$105,0)),MOD(I44,INDEX(CATALOGO!$O$6:$O$105,MATCH(A44,CATALOGO!$A$6:$A$105,0)))&lt;&gt;0,J44="",J44&lt;=CONFIG!$B$5,J44&gt;CONFIG!$B$5+91),"",I44*Q44))))</f>
        <v/>
      </c>
      <c r="S44" s="12" t="str">
        <f>IF(A44="","",IF(COUNTIF(CATALOGO!$A$6:$A$105,A44)&lt;&gt;1,"SKU NO VALIDO",IF(I44="","CANTIDAD DESCONOCIDA",IF(I44=0,"SIN COMPRA ELEGIDA",IF(OR(I44&lt;0,I44&gt;1000000),"CANTIDAD INVALIDA",IF(OR(INDEX(CATALOGO!$N$6:$N$105,MATCH(A44,CATALOGO!$A$6:$A$105,0))="",INDEX(CATALOGO!$O$6:$O$105,MATCH(A44,CATALOGO!$A$6:$A$105,0))="",INDEX(CATALOGO!$O$6:$O$105,MATCH(A44,CATALOGO!$A$6:$A$105,0))&lt;=0),"CATALOGO A REVISAR",IF(OR(I44&lt;INDEX(CATALOGO!$N$6:$N$105,MATCH(A44,CATALOGO!$A$6:$A$105,0)),MOD(I44,INDEX(CATALOGO!$O$6:$O$105,MATCH(A44,CATALOGO!$A$6:$A$105,0)))&lt;&gt;0),"NO RESPETA MOQ/PACK",IF(J44="","FALTA FECHA PAGO",IF(Q44="","COSTO DESCONOCIDO",IF(OR(J44&lt;=CONFIG!$B$5,J44&gt;CONFIG!$B$5+91),"FUERA DE 91 DIAS",IF(AND(P44&lt;&gt;"",I44&gt;P44),"EN MODELO · SUPERA PROPUESTA","EN MODELO")))))))))))</f>
        <v/>
      </c>
    </row>
    <row r="45" spans="1:19" x14ac:dyDescent="0.45">
      <c r="A45" s="8"/>
      <c r="B45" s="4"/>
      <c r="C45" s="5"/>
      <c r="D45" s="5"/>
      <c r="E45" s="5"/>
      <c r="F45" s="4"/>
      <c r="G45" s="8"/>
      <c r="H45" s="5"/>
      <c r="I45" s="5"/>
      <c r="J45" s="4"/>
      <c r="K45" s="12" t="str">
        <f>IFERROR(IF(A45="","",IF(COUNTIF($A$6:$A$105,A45)&gt;1,"DUPLICADO STOCK",IF(COUNTIF(CATALOGO!$A$6:$A$105,A45)&lt;&gt;1,"SKU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INVALIDA",IF(INDEX(CATALOGO!$F$6:$F$105,MATCH(A45,CATALOGO!$A$6:$A$105,0))&lt;&gt;"ACTIVO",INDEX(CATALOGO!$F$6:$F$105,MATCH(A45,CATALOGO!$A$6:$A$105,0)),IF(OR(B45="",B45&lt;&gt;CONFIG!$B$5),"CONTEO NO VIGENTE",IF(OR(C45="",D45="",E45="",H45=""),"FALTA CAMPO",IF(OR(C45&lt;0,C45&gt;1000000,D45&lt;0,D45&gt;1000000,E45&lt;0,E45&gt;1000000,D45&gt;C45),"REVISAR VALOR",IF(H45&gt;CONFIG!$B$6,"EXPOSICION FUERA DE RANGO",IF(H45&lt;&gt;CONFIG!$B$6,"DISPONIBILIDAD INCOMPLETA",IF(CONFIG!$B$14&lt;&gt;"SI","VENTAS INCOMPLETAS",IF(CONFIG!$B$12&lt;&gt;"SI","POLITICA SIN REVISAR",IF(SUMPRODUCT(--(VENTAS!$B$6:$B$1005=A45),--(VENTAS!$A$6:$A$1005&gt;=CONFIG!$B$5-CONFIG!$B$6+1),--(VENTAS!$A$6:$A$1005&lt;=CONFIG!$B$5),--(VENTAS!$I$6:$I$1005&lt;&gt;""),--(VENTAS!$I$6:$I$1005&lt;&gt;"OK"))&gt;0,"VENTAS A REVISAR",IF(AND(E45&gt;0,OR(F45="",G45&lt;&gt;"SI")),"TRANSITO SIN CONFIRMAR",IF(AND(E45&gt;0,G45="SI",OR(F45&lt;=CONFIG!$B$5,F45&gt;CONFIG!$B$5+INDEX(CATALOGO!$M$6:$M$105,MATCH(A45,CATALOGO!$A$6:$A$105,0)))),"TRANSITO FUERA DEL PLAZO",IF(INDEX(CATALOGO!$T$6:$T$105,MATCH(A45,CATALOGO!$A$6:$A$105,0))&lt;&gt;"OK","CATALOGO A REVISAR",IF(1-INDEX(CATALOGO!$K$6:$K$105,MATCH(A45,CATALOGO!$A$6:$A$105,0))-CONFIG!$B$8&lt;=0,"MARGEN OBJETIVO INVIABLE",IF(INDEX(CATALOGO!$R$6:$R$105,MATCH(A45,CATALOGO!$A$6:$A$105,0))&lt;CONFIG!$B$8,"REVISAR PRECIO O COSTO","ELEGIBLE")))))))))))))))))),"CONFIG INVALIDA")</f>
        <v/>
      </c>
      <c r="L45" s="13" t="str">
        <f t="shared" si="1"/>
        <v/>
      </c>
      <c r="M45" s="12" t="str">
        <f>IFERROR(IF(OR(A45="",CONFIG!$B$14&lt;&gt;"SI",CONFIG!$B$6&lt;1,CONFIG!$B$6&gt;365,CONFIG!$B$6&lt;&gt;INT(CONFIG!$B$6),SUMPRODUCT(--(VENTAS!$B$6:$B$1005=A45),--(VENTAS!$A$6:$A$1005&gt;=CONFIG!$B$5-CONFIG!$B$6+1),--(VENTAS!$A$6:$A$1005&lt;=CONFIG!$B$5),--(VENTAS!$I$6:$I$1005&lt;&gt;""),--(VENTAS!$I$6:$I$1005&lt;&gt;"OK"))&gt;0),"",MAX(0,(SUMIFS(VENTAS!$C$6:$C$1005,VENTAS!$B$6:$B$1005,A45,VENTAS!$A$6:$A$1005,"&gt;="&amp;CONFIG!$B$5-CONFIG!$B$6+1,VENTAS!$A$6:$A$1005,"&lt;="&amp;CONFIG!$B$5)-SUMIFS(VENTAS!$E$6:$E$1005,VENTAS!$B$6:$B$1005,A45,VENTAS!$A$6:$A$1005,"&gt;="&amp;CONFIG!$B$5-CONFIG!$B$6+1,VENTAS!$A$6:$A$1005,"&lt;="&amp;CONFIG!$B$5))/CONFIG!$B$6)),"")</f>
        <v/>
      </c>
      <c r="N45" s="14" t="str">
        <f>IF(K45&lt;&gt;"ELEGIBLE","",IF(AND(E45&gt;0,G45="SI",F45&gt;CONFIG!$B$5,F45&lt;=CONFIG!$B$5+INDEX(CATALOGO!$M$6:$M$105,MATCH(A45,CATALOGO!$A$6:$A$105,0))),E45,0))</f>
        <v/>
      </c>
      <c r="O45" s="14" t="str">
        <f>IF(K45&lt;&gt;"ELEGIBLE","",MAX(0,ROUNDUP(ROUND(M45*(INDEX(CATALOGO!$M$6:$M$105,MATCH(A45,CATALOGO!$A$6:$A$105,0))+CONFIG!$B$7)-L45-N45,10),0)))</f>
        <v/>
      </c>
      <c r="P45" s="14" t="str">
        <f>IF(O45="","",IF(O45=0,0,ROUNDUP(MAX(O45,INDEX(CATALOGO!$N$6:$N$105,MATCH(A45,CATALOGO!$A$6:$A$105,0)))/INDEX(CATALOGO!$O$6:$O$105,MATCH(A45,CATALOGO!$A$6:$A$105,0)),0)*INDEX(CATALOGO!$O$6:$O$105,MATCH(A45,CATALOGO!$A$6:$A$105,0))))</f>
        <v/>
      </c>
      <c r="Q45" s="11" t="str">
        <f>IFERROR(IF(OR(A45="",COUNTIF(CATALOGO!$A$6:$A$105,A45)&lt;&gt;1),"",IF(OR(INDEX(CATALOGO!$H$6:$H$105,MATCH(A45,CATALOGO!$A$6:$A$105,0))="",INDEX(CATALOGO!$I$6:$I$105,MATCH(A45,CATALOGO!$A$6:$A$105,0))="",ABS(INDEX(CATALOGO!$H$6:$H$105,MATCH(A45,CATALOGO!$A$6:$A$105,0)))&gt;1000000000,ABS(INDEX(CATALOGO!$I$6:$I$105,MATCH(A45,CATALOGO!$A$6:$A$105,0)))&gt;1000000000),"",INDEX(CATALOGO!$H$6:$H$105,MATCH(A45,CATALOGO!$A$6:$A$105,0))+INDEX(CATALOGO!$I$6:$I$105,MATCH(A45,CATALOGO!$A$6:$A$105,0)))),"")</f>
        <v/>
      </c>
      <c r="R45" s="9" t="str">
        <f>IF(OR(A45="",I45="",COUNTIF(CATALOGO!$A$6:$A$105,A45)&lt;&gt;1),"",IF(I45=0,0,IF(OR(Q45="",INDEX(CATALOGO!$N$6:$N$105,MATCH(A45,CATALOGO!$A$6:$A$105,0))="",INDEX(CATALOGO!$O$6:$O$105,MATCH(A45,CATALOGO!$A$6:$A$105,0))="",INDEX(CATALOGO!$O$6:$O$105,MATCH(A45,CATALOGO!$A$6:$A$105,0))&lt;=0),"",IF(OR(I45&lt;INDEX(CATALOGO!$N$6:$N$105,MATCH(A45,CATALOGO!$A$6:$A$105,0)),MOD(I45,INDEX(CATALOGO!$O$6:$O$105,MATCH(A45,CATALOGO!$A$6:$A$105,0)))&lt;&gt;0,J45="",J45&lt;=CONFIG!$B$5,J45&gt;CONFIG!$B$5+91),"",I45*Q45))))</f>
        <v/>
      </c>
      <c r="S45" s="12" t="str">
        <f>IF(A45="","",IF(COUNTIF(CATALOGO!$A$6:$A$105,A45)&lt;&gt;1,"SKU NO VALIDO",IF(I45="","CANTIDAD DESCONOCIDA",IF(I45=0,"SIN COMPRA ELEGIDA",IF(OR(I45&lt;0,I45&gt;1000000),"CANTIDAD INVALIDA",IF(OR(INDEX(CATALOGO!$N$6:$N$105,MATCH(A45,CATALOGO!$A$6:$A$105,0))="",INDEX(CATALOGO!$O$6:$O$105,MATCH(A45,CATALOGO!$A$6:$A$105,0))="",INDEX(CATALOGO!$O$6:$O$105,MATCH(A45,CATALOGO!$A$6:$A$105,0))&lt;=0),"CATALOGO A REVISAR",IF(OR(I45&lt;INDEX(CATALOGO!$N$6:$N$105,MATCH(A45,CATALOGO!$A$6:$A$105,0)),MOD(I45,INDEX(CATALOGO!$O$6:$O$105,MATCH(A45,CATALOGO!$A$6:$A$105,0)))&lt;&gt;0),"NO RESPETA MOQ/PACK",IF(J45="","FALTA FECHA PAGO",IF(Q45="","COSTO DESCONOCIDO",IF(OR(J45&lt;=CONFIG!$B$5,J45&gt;CONFIG!$B$5+91),"FUERA DE 91 DIAS",IF(AND(P45&lt;&gt;"",I45&gt;P45),"EN MODELO · SUPERA PROPUESTA","EN MODELO")))))))))))</f>
        <v/>
      </c>
    </row>
    <row r="46" spans="1:19" x14ac:dyDescent="0.45">
      <c r="A46" s="8"/>
      <c r="B46" s="4"/>
      <c r="C46" s="5"/>
      <c r="D46" s="5"/>
      <c r="E46" s="5"/>
      <c r="F46" s="4"/>
      <c r="G46" s="8"/>
      <c r="H46" s="5"/>
      <c r="I46" s="5"/>
      <c r="J46" s="4"/>
      <c r="K46" s="12" t="str">
        <f>IFERROR(IF(A46="","",IF(COUNTIF($A$6:$A$105,A46)&gt;1,"DUPLICADO STOCK",IF(COUNTIF(CATALOGO!$A$6:$A$105,A46)&lt;&gt;1,"SKU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INVALIDA",IF(INDEX(CATALOGO!$F$6:$F$105,MATCH(A46,CATALOGO!$A$6:$A$105,0))&lt;&gt;"ACTIVO",INDEX(CATALOGO!$F$6:$F$105,MATCH(A46,CATALOGO!$A$6:$A$105,0)),IF(OR(B46="",B46&lt;&gt;CONFIG!$B$5),"CONTEO NO VIGENTE",IF(OR(C46="",D46="",E46="",H46=""),"FALTA CAMPO",IF(OR(C46&lt;0,C46&gt;1000000,D46&lt;0,D46&gt;1000000,E46&lt;0,E46&gt;1000000,D46&gt;C46),"REVISAR VALOR",IF(H46&gt;CONFIG!$B$6,"EXPOSICION FUERA DE RANGO",IF(H46&lt;&gt;CONFIG!$B$6,"DISPONIBILIDAD INCOMPLETA",IF(CONFIG!$B$14&lt;&gt;"SI","VENTAS INCOMPLETAS",IF(CONFIG!$B$12&lt;&gt;"SI","POLITICA SIN REVISAR",IF(SUMPRODUCT(--(VENTAS!$B$6:$B$1005=A46),--(VENTAS!$A$6:$A$1005&gt;=CONFIG!$B$5-CONFIG!$B$6+1),--(VENTAS!$A$6:$A$1005&lt;=CONFIG!$B$5),--(VENTAS!$I$6:$I$1005&lt;&gt;""),--(VENTAS!$I$6:$I$1005&lt;&gt;"OK"))&gt;0,"VENTAS A REVISAR",IF(AND(E46&gt;0,OR(F46="",G46&lt;&gt;"SI")),"TRANSITO SIN CONFIRMAR",IF(AND(E46&gt;0,G46="SI",OR(F46&lt;=CONFIG!$B$5,F46&gt;CONFIG!$B$5+INDEX(CATALOGO!$M$6:$M$105,MATCH(A46,CATALOGO!$A$6:$A$105,0)))),"TRANSITO FUERA DEL PLAZO",IF(INDEX(CATALOGO!$T$6:$T$105,MATCH(A46,CATALOGO!$A$6:$A$105,0))&lt;&gt;"OK","CATALOGO A REVISAR",IF(1-INDEX(CATALOGO!$K$6:$K$105,MATCH(A46,CATALOGO!$A$6:$A$105,0))-CONFIG!$B$8&lt;=0,"MARGEN OBJETIVO INVIABLE",IF(INDEX(CATALOGO!$R$6:$R$105,MATCH(A46,CATALOGO!$A$6:$A$105,0))&lt;CONFIG!$B$8,"REVISAR PRECIO O COSTO","ELEGIBLE")))))))))))))))))),"CONFIG INVALIDA")</f>
        <v/>
      </c>
      <c r="L46" s="13" t="str">
        <f t="shared" si="1"/>
        <v/>
      </c>
      <c r="M46" s="12" t="str">
        <f>IFERROR(IF(OR(A46="",CONFIG!$B$14&lt;&gt;"SI",CONFIG!$B$6&lt;1,CONFIG!$B$6&gt;365,CONFIG!$B$6&lt;&gt;INT(CONFIG!$B$6),SUMPRODUCT(--(VENTAS!$B$6:$B$1005=A46),--(VENTAS!$A$6:$A$1005&gt;=CONFIG!$B$5-CONFIG!$B$6+1),--(VENTAS!$A$6:$A$1005&lt;=CONFIG!$B$5),--(VENTAS!$I$6:$I$1005&lt;&gt;""),--(VENTAS!$I$6:$I$1005&lt;&gt;"OK"))&gt;0),"",MAX(0,(SUMIFS(VENTAS!$C$6:$C$1005,VENTAS!$B$6:$B$1005,A46,VENTAS!$A$6:$A$1005,"&gt;="&amp;CONFIG!$B$5-CONFIG!$B$6+1,VENTAS!$A$6:$A$1005,"&lt;="&amp;CONFIG!$B$5)-SUMIFS(VENTAS!$E$6:$E$1005,VENTAS!$B$6:$B$1005,A46,VENTAS!$A$6:$A$1005,"&gt;="&amp;CONFIG!$B$5-CONFIG!$B$6+1,VENTAS!$A$6:$A$1005,"&lt;="&amp;CONFIG!$B$5))/CONFIG!$B$6)),"")</f>
        <v/>
      </c>
      <c r="N46" s="14" t="str">
        <f>IF(K46&lt;&gt;"ELEGIBLE","",IF(AND(E46&gt;0,G46="SI",F46&gt;CONFIG!$B$5,F46&lt;=CONFIG!$B$5+INDEX(CATALOGO!$M$6:$M$105,MATCH(A46,CATALOGO!$A$6:$A$105,0))),E46,0))</f>
        <v/>
      </c>
      <c r="O46" s="14" t="str">
        <f>IF(K46&lt;&gt;"ELEGIBLE","",MAX(0,ROUNDUP(ROUND(M46*(INDEX(CATALOGO!$M$6:$M$105,MATCH(A46,CATALOGO!$A$6:$A$105,0))+CONFIG!$B$7)-L46-N46,10),0)))</f>
        <v/>
      </c>
      <c r="P46" s="14" t="str">
        <f>IF(O46="","",IF(O46=0,0,ROUNDUP(MAX(O46,INDEX(CATALOGO!$N$6:$N$105,MATCH(A46,CATALOGO!$A$6:$A$105,0)))/INDEX(CATALOGO!$O$6:$O$105,MATCH(A46,CATALOGO!$A$6:$A$105,0)),0)*INDEX(CATALOGO!$O$6:$O$105,MATCH(A46,CATALOGO!$A$6:$A$105,0))))</f>
        <v/>
      </c>
      <c r="Q46" s="11" t="str">
        <f>IFERROR(IF(OR(A46="",COUNTIF(CATALOGO!$A$6:$A$105,A46)&lt;&gt;1),"",IF(OR(INDEX(CATALOGO!$H$6:$H$105,MATCH(A46,CATALOGO!$A$6:$A$105,0))="",INDEX(CATALOGO!$I$6:$I$105,MATCH(A46,CATALOGO!$A$6:$A$105,0))="",ABS(INDEX(CATALOGO!$H$6:$H$105,MATCH(A46,CATALOGO!$A$6:$A$105,0)))&gt;1000000000,ABS(INDEX(CATALOGO!$I$6:$I$105,MATCH(A46,CATALOGO!$A$6:$A$105,0)))&gt;1000000000),"",INDEX(CATALOGO!$H$6:$H$105,MATCH(A46,CATALOGO!$A$6:$A$105,0))+INDEX(CATALOGO!$I$6:$I$105,MATCH(A46,CATALOGO!$A$6:$A$105,0)))),"")</f>
        <v/>
      </c>
      <c r="R46" s="9" t="str">
        <f>IF(OR(A46="",I46="",COUNTIF(CATALOGO!$A$6:$A$105,A46)&lt;&gt;1),"",IF(I46=0,0,IF(OR(Q46="",INDEX(CATALOGO!$N$6:$N$105,MATCH(A46,CATALOGO!$A$6:$A$105,0))="",INDEX(CATALOGO!$O$6:$O$105,MATCH(A46,CATALOGO!$A$6:$A$105,0))="",INDEX(CATALOGO!$O$6:$O$105,MATCH(A46,CATALOGO!$A$6:$A$105,0))&lt;=0),"",IF(OR(I46&lt;INDEX(CATALOGO!$N$6:$N$105,MATCH(A46,CATALOGO!$A$6:$A$105,0)),MOD(I46,INDEX(CATALOGO!$O$6:$O$105,MATCH(A46,CATALOGO!$A$6:$A$105,0)))&lt;&gt;0,J46="",J46&lt;=CONFIG!$B$5,J46&gt;CONFIG!$B$5+91),"",I46*Q46))))</f>
        <v/>
      </c>
      <c r="S46" s="12" t="str">
        <f>IF(A46="","",IF(COUNTIF(CATALOGO!$A$6:$A$105,A46)&lt;&gt;1,"SKU NO VALIDO",IF(I46="","CANTIDAD DESCONOCIDA",IF(I46=0,"SIN COMPRA ELEGIDA",IF(OR(I46&lt;0,I46&gt;1000000),"CANTIDAD INVALIDA",IF(OR(INDEX(CATALOGO!$N$6:$N$105,MATCH(A46,CATALOGO!$A$6:$A$105,0))="",INDEX(CATALOGO!$O$6:$O$105,MATCH(A46,CATALOGO!$A$6:$A$105,0))="",INDEX(CATALOGO!$O$6:$O$105,MATCH(A46,CATALOGO!$A$6:$A$105,0))&lt;=0),"CATALOGO A REVISAR",IF(OR(I46&lt;INDEX(CATALOGO!$N$6:$N$105,MATCH(A46,CATALOGO!$A$6:$A$105,0)),MOD(I46,INDEX(CATALOGO!$O$6:$O$105,MATCH(A46,CATALOGO!$A$6:$A$105,0)))&lt;&gt;0),"NO RESPETA MOQ/PACK",IF(J46="","FALTA FECHA PAGO",IF(Q46="","COSTO DESCONOCIDO",IF(OR(J46&lt;=CONFIG!$B$5,J46&gt;CONFIG!$B$5+91),"FUERA DE 91 DIAS",IF(AND(P46&lt;&gt;"",I46&gt;P46),"EN MODELO · SUPERA PROPUESTA","EN MODELO")))))))))))</f>
        <v/>
      </c>
    </row>
    <row r="47" spans="1:19" x14ac:dyDescent="0.45">
      <c r="A47" s="8"/>
      <c r="B47" s="4"/>
      <c r="C47" s="5"/>
      <c r="D47" s="5"/>
      <c r="E47" s="5"/>
      <c r="F47" s="4"/>
      <c r="G47" s="8"/>
      <c r="H47" s="5"/>
      <c r="I47" s="5"/>
      <c r="J47" s="4"/>
      <c r="K47" s="12" t="str">
        <f>IFERROR(IF(A47="","",IF(COUNTIF($A$6:$A$105,A47)&gt;1,"DUPLICADO STOCK",IF(COUNTIF(CATALOGO!$A$6:$A$105,A47)&lt;&gt;1,"SKU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INVALIDA",IF(INDEX(CATALOGO!$F$6:$F$105,MATCH(A47,CATALOGO!$A$6:$A$105,0))&lt;&gt;"ACTIVO",INDEX(CATALOGO!$F$6:$F$105,MATCH(A47,CATALOGO!$A$6:$A$105,0)),IF(OR(B47="",B47&lt;&gt;CONFIG!$B$5),"CONTEO NO VIGENTE",IF(OR(C47="",D47="",E47="",H47=""),"FALTA CAMPO",IF(OR(C47&lt;0,C47&gt;1000000,D47&lt;0,D47&gt;1000000,E47&lt;0,E47&gt;1000000,D47&gt;C47),"REVISAR VALOR",IF(H47&gt;CONFIG!$B$6,"EXPOSICION FUERA DE RANGO",IF(H47&lt;&gt;CONFIG!$B$6,"DISPONIBILIDAD INCOMPLETA",IF(CONFIG!$B$14&lt;&gt;"SI","VENTAS INCOMPLETAS",IF(CONFIG!$B$12&lt;&gt;"SI","POLITICA SIN REVISAR",IF(SUMPRODUCT(--(VENTAS!$B$6:$B$1005=A47),--(VENTAS!$A$6:$A$1005&gt;=CONFIG!$B$5-CONFIG!$B$6+1),--(VENTAS!$A$6:$A$1005&lt;=CONFIG!$B$5),--(VENTAS!$I$6:$I$1005&lt;&gt;""),--(VENTAS!$I$6:$I$1005&lt;&gt;"OK"))&gt;0,"VENTAS A REVISAR",IF(AND(E47&gt;0,OR(F47="",G47&lt;&gt;"SI")),"TRANSITO SIN CONFIRMAR",IF(AND(E47&gt;0,G47="SI",OR(F47&lt;=CONFIG!$B$5,F47&gt;CONFIG!$B$5+INDEX(CATALOGO!$M$6:$M$105,MATCH(A47,CATALOGO!$A$6:$A$105,0)))),"TRANSITO FUERA DEL PLAZO",IF(INDEX(CATALOGO!$T$6:$T$105,MATCH(A47,CATALOGO!$A$6:$A$105,0))&lt;&gt;"OK","CATALOGO A REVISAR",IF(1-INDEX(CATALOGO!$K$6:$K$105,MATCH(A47,CATALOGO!$A$6:$A$105,0))-CONFIG!$B$8&lt;=0,"MARGEN OBJETIVO INVIABLE",IF(INDEX(CATALOGO!$R$6:$R$105,MATCH(A47,CATALOGO!$A$6:$A$105,0))&lt;CONFIG!$B$8,"REVISAR PRECIO O COSTO","ELEGIBLE")))))))))))))))))),"CONFIG INVALIDA")</f>
        <v/>
      </c>
      <c r="L47" s="13" t="str">
        <f t="shared" si="1"/>
        <v/>
      </c>
      <c r="M47" s="12" t="str">
        <f>IFERROR(IF(OR(A47="",CONFIG!$B$14&lt;&gt;"SI",CONFIG!$B$6&lt;1,CONFIG!$B$6&gt;365,CONFIG!$B$6&lt;&gt;INT(CONFIG!$B$6),SUMPRODUCT(--(VENTAS!$B$6:$B$1005=A47),--(VENTAS!$A$6:$A$1005&gt;=CONFIG!$B$5-CONFIG!$B$6+1),--(VENTAS!$A$6:$A$1005&lt;=CONFIG!$B$5),--(VENTAS!$I$6:$I$1005&lt;&gt;""),--(VENTAS!$I$6:$I$1005&lt;&gt;"OK"))&gt;0),"",MAX(0,(SUMIFS(VENTAS!$C$6:$C$1005,VENTAS!$B$6:$B$1005,A47,VENTAS!$A$6:$A$1005,"&gt;="&amp;CONFIG!$B$5-CONFIG!$B$6+1,VENTAS!$A$6:$A$1005,"&lt;="&amp;CONFIG!$B$5)-SUMIFS(VENTAS!$E$6:$E$1005,VENTAS!$B$6:$B$1005,A47,VENTAS!$A$6:$A$1005,"&gt;="&amp;CONFIG!$B$5-CONFIG!$B$6+1,VENTAS!$A$6:$A$1005,"&lt;="&amp;CONFIG!$B$5))/CONFIG!$B$6)),"")</f>
        <v/>
      </c>
      <c r="N47" s="14" t="str">
        <f>IF(K47&lt;&gt;"ELEGIBLE","",IF(AND(E47&gt;0,G47="SI",F47&gt;CONFIG!$B$5,F47&lt;=CONFIG!$B$5+INDEX(CATALOGO!$M$6:$M$105,MATCH(A47,CATALOGO!$A$6:$A$105,0))),E47,0))</f>
        <v/>
      </c>
      <c r="O47" s="14" t="str">
        <f>IF(K47&lt;&gt;"ELEGIBLE","",MAX(0,ROUNDUP(ROUND(M47*(INDEX(CATALOGO!$M$6:$M$105,MATCH(A47,CATALOGO!$A$6:$A$105,0))+CONFIG!$B$7)-L47-N47,10),0)))</f>
        <v/>
      </c>
      <c r="P47" s="14" t="str">
        <f>IF(O47="","",IF(O47=0,0,ROUNDUP(MAX(O47,INDEX(CATALOGO!$N$6:$N$105,MATCH(A47,CATALOGO!$A$6:$A$105,0)))/INDEX(CATALOGO!$O$6:$O$105,MATCH(A47,CATALOGO!$A$6:$A$105,0)),0)*INDEX(CATALOGO!$O$6:$O$105,MATCH(A47,CATALOGO!$A$6:$A$105,0))))</f>
        <v/>
      </c>
      <c r="Q47" s="11" t="str">
        <f>IFERROR(IF(OR(A47="",COUNTIF(CATALOGO!$A$6:$A$105,A47)&lt;&gt;1),"",IF(OR(INDEX(CATALOGO!$H$6:$H$105,MATCH(A47,CATALOGO!$A$6:$A$105,0))="",INDEX(CATALOGO!$I$6:$I$105,MATCH(A47,CATALOGO!$A$6:$A$105,0))="",ABS(INDEX(CATALOGO!$H$6:$H$105,MATCH(A47,CATALOGO!$A$6:$A$105,0)))&gt;1000000000,ABS(INDEX(CATALOGO!$I$6:$I$105,MATCH(A47,CATALOGO!$A$6:$A$105,0)))&gt;1000000000),"",INDEX(CATALOGO!$H$6:$H$105,MATCH(A47,CATALOGO!$A$6:$A$105,0))+INDEX(CATALOGO!$I$6:$I$105,MATCH(A47,CATALOGO!$A$6:$A$105,0)))),"")</f>
        <v/>
      </c>
      <c r="R47" s="9" t="str">
        <f>IF(OR(A47="",I47="",COUNTIF(CATALOGO!$A$6:$A$105,A47)&lt;&gt;1),"",IF(I47=0,0,IF(OR(Q47="",INDEX(CATALOGO!$N$6:$N$105,MATCH(A47,CATALOGO!$A$6:$A$105,0))="",INDEX(CATALOGO!$O$6:$O$105,MATCH(A47,CATALOGO!$A$6:$A$105,0))="",INDEX(CATALOGO!$O$6:$O$105,MATCH(A47,CATALOGO!$A$6:$A$105,0))&lt;=0),"",IF(OR(I47&lt;INDEX(CATALOGO!$N$6:$N$105,MATCH(A47,CATALOGO!$A$6:$A$105,0)),MOD(I47,INDEX(CATALOGO!$O$6:$O$105,MATCH(A47,CATALOGO!$A$6:$A$105,0)))&lt;&gt;0,J47="",J47&lt;=CONFIG!$B$5,J47&gt;CONFIG!$B$5+91),"",I47*Q47))))</f>
        <v/>
      </c>
      <c r="S47" s="12" t="str">
        <f>IF(A47="","",IF(COUNTIF(CATALOGO!$A$6:$A$105,A47)&lt;&gt;1,"SKU NO VALIDO",IF(I47="","CANTIDAD DESCONOCIDA",IF(I47=0,"SIN COMPRA ELEGIDA",IF(OR(I47&lt;0,I47&gt;1000000),"CANTIDAD INVALIDA",IF(OR(INDEX(CATALOGO!$N$6:$N$105,MATCH(A47,CATALOGO!$A$6:$A$105,0))="",INDEX(CATALOGO!$O$6:$O$105,MATCH(A47,CATALOGO!$A$6:$A$105,0))="",INDEX(CATALOGO!$O$6:$O$105,MATCH(A47,CATALOGO!$A$6:$A$105,0))&lt;=0),"CATALOGO A REVISAR",IF(OR(I47&lt;INDEX(CATALOGO!$N$6:$N$105,MATCH(A47,CATALOGO!$A$6:$A$105,0)),MOD(I47,INDEX(CATALOGO!$O$6:$O$105,MATCH(A47,CATALOGO!$A$6:$A$105,0)))&lt;&gt;0),"NO RESPETA MOQ/PACK",IF(J47="","FALTA FECHA PAGO",IF(Q47="","COSTO DESCONOCIDO",IF(OR(J47&lt;=CONFIG!$B$5,J47&gt;CONFIG!$B$5+91),"FUERA DE 91 DIAS",IF(AND(P47&lt;&gt;"",I47&gt;P47),"EN MODELO · SUPERA PROPUESTA","EN MODELO")))))))))))</f>
        <v/>
      </c>
    </row>
    <row r="48" spans="1:19" x14ac:dyDescent="0.45">
      <c r="A48" s="8"/>
      <c r="B48" s="4"/>
      <c r="C48" s="5"/>
      <c r="D48" s="5"/>
      <c r="E48" s="5"/>
      <c r="F48" s="4"/>
      <c r="G48" s="8"/>
      <c r="H48" s="5"/>
      <c r="I48" s="5"/>
      <c r="J48" s="4"/>
      <c r="K48" s="12" t="str">
        <f>IFERROR(IF(A48="","",IF(COUNTIF($A$6:$A$105,A48)&gt;1,"DUPLICADO STOCK",IF(COUNTIF(CATALOGO!$A$6:$A$105,A48)&lt;&gt;1,"SKU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INVALIDA",IF(INDEX(CATALOGO!$F$6:$F$105,MATCH(A48,CATALOGO!$A$6:$A$105,0))&lt;&gt;"ACTIVO",INDEX(CATALOGO!$F$6:$F$105,MATCH(A48,CATALOGO!$A$6:$A$105,0)),IF(OR(B48="",B48&lt;&gt;CONFIG!$B$5),"CONTEO NO VIGENTE",IF(OR(C48="",D48="",E48="",H48=""),"FALTA CAMPO",IF(OR(C48&lt;0,C48&gt;1000000,D48&lt;0,D48&gt;1000000,E48&lt;0,E48&gt;1000000,D48&gt;C48),"REVISAR VALOR",IF(H48&gt;CONFIG!$B$6,"EXPOSICION FUERA DE RANGO",IF(H48&lt;&gt;CONFIG!$B$6,"DISPONIBILIDAD INCOMPLETA",IF(CONFIG!$B$14&lt;&gt;"SI","VENTAS INCOMPLETAS",IF(CONFIG!$B$12&lt;&gt;"SI","POLITICA SIN REVISAR",IF(SUMPRODUCT(--(VENTAS!$B$6:$B$1005=A48),--(VENTAS!$A$6:$A$1005&gt;=CONFIG!$B$5-CONFIG!$B$6+1),--(VENTAS!$A$6:$A$1005&lt;=CONFIG!$B$5),--(VENTAS!$I$6:$I$1005&lt;&gt;""),--(VENTAS!$I$6:$I$1005&lt;&gt;"OK"))&gt;0,"VENTAS A REVISAR",IF(AND(E48&gt;0,OR(F48="",G48&lt;&gt;"SI")),"TRANSITO SIN CONFIRMAR",IF(AND(E48&gt;0,G48="SI",OR(F48&lt;=CONFIG!$B$5,F48&gt;CONFIG!$B$5+INDEX(CATALOGO!$M$6:$M$105,MATCH(A48,CATALOGO!$A$6:$A$105,0)))),"TRANSITO FUERA DEL PLAZO",IF(INDEX(CATALOGO!$T$6:$T$105,MATCH(A48,CATALOGO!$A$6:$A$105,0))&lt;&gt;"OK","CATALOGO A REVISAR",IF(1-INDEX(CATALOGO!$K$6:$K$105,MATCH(A48,CATALOGO!$A$6:$A$105,0))-CONFIG!$B$8&lt;=0,"MARGEN OBJETIVO INVIABLE",IF(INDEX(CATALOGO!$R$6:$R$105,MATCH(A48,CATALOGO!$A$6:$A$105,0))&lt;CONFIG!$B$8,"REVISAR PRECIO O COSTO","ELEGIBLE")))))))))))))))))),"CONFIG INVALIDA")</f>
        <v/>
      </c>
      <c r="L48" s="13" t="str">
        <f t="shared" si="1"/>
        <v/>
      </c>
      <c r="M48" s="12" t="str">
        <f>IFERROR(IF(OR(A48="",CONFIG!$B$14&lt;&gt;"SI",CONFIG!$B$6&lt;1,CONFIG!$B$6&gt;365,CONFIG!$B$6&lt;&gt;INT(CONFIG!$B$6),SUMPRODUCT(--(VENTAS!$B$6:$B$1005=A48),--(VENTAS!$A$6:$A$1005&gt;=CONFIG!$B$5-CONFIG!$B$6+1),--(VENTAS!$A$6:$A$1005&lt;=CONFIG!$B$5),--(VENTAS!$I$6:$I$1005&lt;&gt;""),--(VENTAS!$I$6:$I$1005&lt;&gt;"OK"))&gt;0),"",MAX(0,(SUMIFS(VENTAS!$C$6:$C$1005,VENTAS!$B$6:$B$1005,A48,VENTAS!$A$6:$A$1005,"&gt;="&amp;CONFIG!$B$5-CONFIG!$B$6+1,VENTAS!$A$6:$A$1005,"&lt;="&amp;CONFIG!$B$5)-SUMIFS(VENTAS!$E$6:$E$1005,VENTAS!$B$6:$B$1005,A48,VENTAS!$A$6:$A$1005,"&gt;="&amp;CONFIG!$B$5-CONFIG!$B$6+1,VENTAS!$A$6:$A$1005,"&lt;="&amp;CONFIG!$B$5))/CONFIG!$B$6)),"")</f>
        <v/>
      </c>
      <c r="N48" s="14" t="str">
        <f>IF(K48&lt;&gt;"ELEGIBLE","",IF(AND(E48&gt;0,G48="SI",F48&gt;CONFIG!$B$5,F48&lt;=CONFIG!$B$5+INDEX(CATALOGO!$M$6:$M$105,MATCH(A48,CATALOGO!$A$6:$A$105,0))),E48,0))</f>
        <v/>
      </c>
      <c r="O48" s="14" t="str">
        <f>IF(K48&lt;&gt;"ELEGIBLE","",MAX(0,ROUNDUP(ROUND(M48*(INDEX(CATALOGO!$M$6:$M$105,MATCH(A48,CATALOGO!$A$6:$A$105,0))+CONFIG!$B$7)-L48-N48,10),0)))</f>
        <v/>
      </c>
      <c r="P48" s="14" t="str">
        <f>IF(O48="","",IF(O48=0,0,ROUNDUP(MAX(O48,INDEX(CATALOGO!$N$6:$N$105,MATCH(A48,CATALOGO!$A$6:$A$105,0)))/INDEX(CATALOGO!$O$6:$O$105,MATCH(A48,CATALOGO!$A$6:$A$105,0)),0)*INDEX(CATALOGO!$O$6:$O$105,MATCH(A48,CATALOGO!$A$6:$A$105,0))))</f>
        <v/>
      </c>
      <c r="Q48" s="11" t="str">
        <f>IFERROR(IF(OR(A48="",COUNTIF(CATALOGO!$A$6:$A$105,A48)&lt;&gt;1),"",IF(OR(INDEX(CATALOGO!$H$6:$H$105,MATCH(A48,CATALOGO!$A$6:$A$105,0))="",INDEX(CATALOGO!$I$6:$I$105,MATCH(A48,CATALOGO!$A$6:$A$105,0))="",ABS(INDEX(CATALOGO!$H$6:$H$105,MATCH(A48,CATALOGO!$A$6:$A$105,0)))&gt;1000000000,ABS(INDEX(CATALOGO!$I$6:$I$105,MATCH(A48,CATALOGO!$A$6:$A$105,0)))&gt;1000000000),"",INDEX(CATALOGO!$H$6:$H$105,MATCH(A48,CATALOGO!$A$6:$A$105,0))+INDEX(CATALOGO!$I$6:$I$105,MATCH(A48,CATALOGO!$A$6:$A$105,0)))),"")</f>
        <v/>
      </c>
      <c r="R48" s="9" t="str">
        <f>IF(OR(A48="",I48="",COUNTIF(CATALOGO!$A$6:$A$105,A48)&lt;&gt;1),"",IF(I48=0,0,IF(OR(Q48="",INDEX(CATALOGO!$N$6:$N$105,MATCH(A48,CATALOGO!$A$6:$A$105,0))="",INDEX(CATALOGO!$O$6:$O$105,MATCH(A48,CATALOGO!$A$6:$A$105,0))="",INDEX(CATALOGO!$O$6:$O$105,MATCH(A48,CATALOGO!$A$6:$A$105,0))&lt;=0),"",IF(OR(I48&lt;INDEX(CATALOGO!$N$6:$N$105,MATCH(A48,CATALOGO!$A$6:$A$105,0)),MOD(I48,INDEX(CATALOGO!$O$6:$O$105,MATCH(A48,CATALOGO!$A$6:$A$105,0)))&lt;&gt;0,J48="",J48&lt;=CONFIG!$B$5,J48&gt;CONFIG!$B$5+91),"",I48*Q48))))</f>
        <v/>
      </c>
      <c r="S48" s="12" t="str">
        <f>IF(A48="","",IF(COUNTIF(CATALOGO!$A$6:$A$105,A48)&lt;&gt;1,"SKU NO VALIDO",IF(I48="","CANTIDAD DESCONOCIDA",IF(I48=0,"SIN COMPRA ELEGIDA",IF(OR(I48&lt;0,I48&gt;1000000),"CANTIDAD INVALIDA",IF(OR(INDEX(CATALOGO!$N$6:$N$105,MATCH(A48,CATALOGO!$A$6:$A$105,0))="",INDEX(CATALOGO!$O$6:$O$105,MATCH(A48,CATALOGO!$A$6:$A$105,0))="",INDEX(CATALOGO!$O$6:$O$105,MATCH(A48,CATALOGO!$A$6:$A$105,0))&lt;=0),"CATALOGO A REVISAR",IF(OR(I48&lt;INDEX(CATALOGO!$N$6:$N$105,MATCH(A48,CATALOGO!$A$6:$A$105,0)),MOD(I48,INDEX(CATALOGO!$O$6:$O$105,MATCH(A48,CATALOGO!$A$6:$A$105,0)))&lt;&gt;0),"NO RESPETA MOQ/PACK",IF(J48="","FALTA FECHA PAGO",IF(Q48="","COSTO DESCONOCIDO",IF(OR(J48&lt;=CONFIG!$B$5,J48&gt;CONFIG!$B$5+91),"FUERA DE 91 DIAS",IF(AND(P48&lt;&gt;"",I48&gt;P48),"EN MODELO · SUPERA PROPUESTA","EN MODELO")))))))))))</f>
        <v/>
      </c>
    </row>
    <row r="49" spans="1:19" x14ac:dyDescent="0.45">
      <c r="A49" s="8"/>
      <c r="B49" s="4"/>
      <c r="C49" s="5"/>
      <c r="D49" s="5"/>
      <c r="E49" s="5"/>
      <c r="F49" s="4"/>
      <c r="G49" s="8"/>
      <c r="H49" s="5"/>
      <c r="I49" s="5"/>
      <c r="J49" s="4"/>
      <c r="K49" s="12" t="str">
        <f>IFERROR(IF(A49="","",IF(COUNTIF($A$6:$A$105,A49)&gt;1,"DUPLICADO STOCK",IF(COUNTIF(CATALOGO!$A$6:$A$105,A49)&lt;&gt;1,"SKU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INVALIDA",IF(INDEX(CATALOGO!$F$6:$F$105,MATCH(A49,CATALOGO!$A$6:$A$105,0))&lt;&gt;"ACTIVO",INDEX(CATALOGO!$F$6:$F$105,MATCH(A49,CATALOGO!$A$6:$A$105,0)),IF(OR(B49="",B49&lt;&gt;CONFIG!$B$5),"CONTEO NO VIGENTE",IF(OR(C49="",D49="",E49="",H49=""),"FALTA CAMPO",IF(OR(C49&lt;0,C49&gt;1000000,D49&lt;0,D49&gt;1000000,E49&lt;0,E49&gt;1000000,D49&gt;C49),"REVISAR VALOR",IF(H49&gt;CONFIG!$B$6,"EXPOSICION FUERA DE RANGO",IF(H49&lt;&gt;CONFIG!$B$6,"DISPONIBILIDAD INCOMPLETA",IF(CONFIG!$B$14&lt;&gt;"SI","VENTAS INCOMPLETAS",IF(CONFIG!$B$12&lt;&gt;"SI","POLITICA SIN REVISAR",IF(SUMPRODUCT(--(VENTAS!$B$6:$B$1005=A49),--(VENTAS!$A$6:$A$1005&gt;=CONFIG!$B$5-CONFIG!$B$6+1),--(VENTAS!$A$6:$A$1005&lt;=CONFIG!$B$5),--(VENTAS!$I$6:$I$1005&lt;&gt;""),--(VENTAS!$I$6:$I$1005&lt;&gt;"OK"))&gt;0,"VENTAS A REVISAR",IF(AND(E49&gt;0,OR(F49="",G49&lt;&gt;"SI")),"TRANSITO SIN CONFIRMAR",IF(AND(E49&gt;0,G49="SI",OR(F49&lt;=CONFIG!$B$5,F49&gt;CONFIG!$B$5+INDEX(CATALOGO!$M$6:$M$105,MATCH(A49,CATALOGO!$A$6:$A$105,0)))),"TRANSITO FUERA DEL PLAZO",IF(INDEX(CATALOGO!$T$6:$T$105,MATCH(A49,CATALOGO!$A$6:$A$105,0))&lt;&gt;"OK","CATALOGO A REVISAR",IF(1-INDEX(CATALOGO!$K$6:$K$105,MATCH(A49,CATALOGO!$A$6:$A$105,0))-CONFIG!$B$8&lt;=0,"MARGEN OBJETIVO INVIABLE",IF(INDEX(CATALOGO!$R$6:$R$105,MATCH(A49,CATALOGO!$A$6:$A$105,0))&lt;CONFIG!$B$8,"REVISAR PRECIO O COSTO","ELEGIBLE")))))))))))))))))),"CONFIG INVALIDA")</f>
        <v/>
      </c>
      <c r="L49" s="13" t="str">
        <f t="shared" si="1"/>
        <v/>
      </c>
      <c r="M49" s="12" t="str">
        <f>IFERROR(IF(OR(A49="",CONFIG!$B$14&lt;&gt;"SI",CONFIG!$B$6&lt;1,CONFIG!$B$6&gt;365,CONFIG!$B$6&lt;&gt;INT(CONFIG!$B$6),SUMPRODUCT(--(VENTAS!$B$6:$B$1005=A49),--(VENTAS!$A$6:$A$1005&gt;=CONFIG!$B$5-CONFIG!$B$6+1),--(VENTAS!$A$6:$A$1005&lt;=CONFIG!$B$5),--(VENTAS!$I$6:$I$1005&lt;&gt;""),--(VENTAS!$I$6:$I$1005&lt;&gt;"OK"))&gt;0),"",MAX(0,(SUMIFS(VENTAS!$C$6:$C$1005,VENTAS!$B$6:$B$1005,A49,VENTAS!$A$6:$A$1005,"&gt;="&amp;CONFIG!$B$5-CONFIG!$B$6+1,VENTAS!$A$6:$A$1005,"&lt;="&amp;CONFIG!$B$5)-SUMIFS(VENTAS!$E$6:$E$1005,VENTAS!$B$6:$B$1005,A49,VENTAS!$A$6:$A$1005,"&gt;="&amp;CONFIG!$B$5-CONFIG!$B$6+1,VENTAS!$A$6:$A$1005,"&lt;="&amp;CONFIG!$B$5))/CONFIG!$B$6)),"")</f>
        <v/>
      </c>
      <c r="N49" s="14" t="str">
        <f>IF(K49&lt;&gt;"ELEGIBLE","",IF(AND(E49&gt;0,G49="SI",F49&gt;CONFIG!$B$5,F49&lt;=CONFIG!$B$5+INDEX(CATALOGO!$M$6:$M$105,MATCH(A49,CATALOGO!$A$6:$A$105,0))),E49,0))</f>
        <v/>
      </c>
      <c r="O49" s="14" t="str">
        <f>IF(K49&lt;&gt;"ELEGIBLE","",MAX(0,ROUNDUP(ROUND(M49*(INDEX(CATALOGO!$M$6:$M$105,MATCH(A49,CATALOGO!$A$6:$A$105,0))+CONFIG!$B$7)-L49-N49,10),0)))</f>
        <v/>
      </c>
      <c r="P49" s="14" t="str">
        <f>IF(O49="","",IF(O49=0,0,ROUNDUP(MAX(O49,INDEX(CATALOGO!$N$6:$N$105,MATCH(A49,CATALOGO!$A$6:$A$105,0)))/INDEX(CATALOGO!$O$6:$O$105,MATCH(A49,CATALOGO!$A$6:$A$105,0)),0)*INDEX(CATALOGO!$O$6:$O$105,MATCH(A49,CATALOGO!$A$6:$A$105,0))))</f>
        <v/>
      </c>
      <c r="Q49" s="11" t="str">
        <f>IFERROR(IF(OR(A49="",COUNTIF(CATALOGO!$A$6:$A$105,A49)&lt;&gt;1),"",IF(OR(INDEX(CATALOGO!$H$6:$H$105,MATCH(A49,CATALOGO!$A$6:$A$105,0))="",INDEX(CATALOGO!$I$6:$I$105,MATCH(A49,CATALOGO!$A$6:$A$105,0))="",ABS(INDEX(CATALOGO!$H$6:$H$105,MATCH(A49,CATALOGO!$A$6:$A$105,0)))&gt;1000000000,ABS(INDEX(CATALOGO!$I$6:$I$105,MATCH(A49,CATALOGO!$A$6:$A$105,0)))&gt;1000000000),"",INDEX(CATALOGO!$H$6:$H$105,MATCH(A49,CATALOGO!$A$6:$A$105,0))+INDEX(CATALOGO!$I$6:$I$105,MATCH(A49,CATALOGO!$A$6:$A$105,0)))),"")</f>
        <v/>
      </c>
      <c r="R49" s="9" t="str">
        <f>IF(OR(A49="",I49="",COUNTIF(CATALOGO!$A$6:$A$105,A49)&lt;&gt;1),"",IF(I49=0,0,IF(OR(Q49="",INDEX(CATALOGO!$N$6:$N$105,MATCH(A49,CATALOGO!$A$6:$A$105,0))="",INDEX(CATALOGO!$O$6:$O$105,MATCH(A49,CATALOGO!$A$6:$A$105,0))="",INDEX(CATALOGO!$O$6:$O$105,MATCH(A49,CATALOGO!$A$6:$A$105,0))&lt;=0),"",IF(OR(I49&lt;INDEX(CATALOGO!$N$6:$N$105,MATCH(A49,CATALOGO!$A$6:$A$105,0)),MOD(I49,INDEX(CATALOGO!$O$6:$O$105,MATCH(A49,CATALOGO!$A$6:$A$105,0)))&lt;&gt;0,J49="",J49&lt;=CONFIG!$B$5,J49&gt;CONFIG!$B$5+91),"",I49*Q49))))</f>
        <v/>
      </c>
      <c r="S49" s="12" t="str">
        <f>IF(A49="","",IF(COUNTIF(CATALOGO!$A$6:$A$105,A49)&lt;&gt;1,"SKU NO VALIDO",IF(I49="","CANTIDAD DESCONOCIDA",IF(I49=0,"SIN COMPRA ELEGIDA",IF(OR(I49&lt;0,I49&gt;1000000),"CANTIDAD INVALIDA",IF(OR(INDEX(CATALOGO!$N$6:$N$105,MATCH(A49,CATALOGO!$A$6:$A$105,0))="",INDEX(CATALOGO!$O$6:$O$105,MATCH(A49,CATALOGO!$A$6:$A$105,0))="",INDEX(CATALOGO!$O$6:$O$105,MATCH(A49,CATALOGO!$A$6:$A$105,0))&lt;=0),"CATALOGO A REVISAR",IF(OR(I49&lt;INDEX(CATALOGO!$N$6:$N$105,MATCH(A49,CATALOGO!$A$6:$A$105,0)),MOD(I49,INDEX(CATALOGO!$O$6:$O$105,MATCH(A49,CATALOGO!$A$6:$A$105,0)))&lt;&gt;0),"NO RESPETA MOQ/PACK",IF(J49="","FALTA FECHA PAGO",IF(Q49="","COSTO DESCONOCIDO",IF(OR(J49&lt;=CONFIG!$B$5,J49&gt;CONFIG!$B$5+91),"FUERA DE 91 DIAS",IF(AND(P49&lt;&gt;"",I49&gt;P49),"EN MODELO · SUPERA PROPUESTA","EN MODELO")))))))))))</f>
        <v/>
      </c>
    </row>
    <row r="50" spans="1:19" x14ac:dyDescent="0.45">
      <c r="A50" s="8"/>
      <c r="B50" s="4"/>
      <c r="C50" s="5"/>
      <c r="D50" s="5"/>
      <c r="E50" s="5"/>
      <c r="F50" s="4"/>
      <c r="G50" s="8"/>
      <c r="H50" s="5"/>
      <c r="I50" s="5"/>
      <c r="J50" s="4"/>
      <c r="K50" s="12" t="str">
        <f>IFERROR(IF(A50="","",IF(COUNTIF($A$6:$A$105,A50)&gt;1,"DUPLICADO STOCK",IF(COUNTIF(CATALOGO!$A$6:$A$105,A50)&lt;&gt;1,"SKU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INVALIDA",IF(INDEX(CATALOGO!$F$6:$F$105,MATCH(A50,CATALOGO!$A$6:$A$105,0))&lt;&gt;"ACTIVO",INDEX(CATALOGO!$F$6:$F$105,MATCH(A50,CATALOGO!$A$6:$A$105,0)),IF(OR(B50="",B50&lt;&gt;CONFIG!$B$5),"CONTEO NO VIGENTE",IF(OR(C50="",D50="",E50="",H50=""),"FALTA CAMPO",IF(OR(C50&lt;0,C50&gt;1000000,D50&lt;0,D50&gt;1000000,E50&lt;0,E50&gt;1000000,D50&gt;C50),"REVISAR VALOR",IF(H50&gt;CONFIG!$B$6,"EXPOSICION FUERA DE RANGO",IF(H50&lt;&gt;CONFIG!$B$6,"DISPONIBILIDAD INCOMPLETA",IF(CONFIG!$B$14&lt;&gt;"SI","VENTAS INCOMPLETAS",IF(CONFIG!$B$12&lt;&gt;"SI","POLITICA SIN REVISAR",IF(SUMPRODUCT(--(VENTAS!$B$6:$B$1005=A50),--(VENTAS!$A$6:$A$1005&gt;=CONFIG!$B$5-CONFIG!$B$6+1),--(VENTAS!$A$6:$A$1005&lt;=CONFIG!$B$5),--(VENTAS!$I$6:$I$1005&lt;&gt;""),--(VENTAS!$I$6:$I$1005&lt;&gt;"OK"))&gt;0,"VENTAS A REVISAR",IF(AND(E50&gt;0,OR(F50="",G50&lt;&gt;"SI")),"TRANSITO SIN CONFIRMAR",IF(AND(E50&gt;0,G50="SI",OR(F50&lt;=CONFIG!$B$5,F50&gt;CONFIG!$B$5+INDEX(CATALOGO!$M$6:$M$105,MATCH(A50,CATALOGO!$A$6:$A$105,0)))),"TRANSITO FUERA DEL PLAZO",IF(INDEX(CATALOGO!$T$6:$T$105,MATCH(A50,CATALOGO!$A$6:$A$105,0))&lt;&gt;"OK","CATALOGO A REVISAR",IF(1-INDEX(CATALOGO!$K$6:$K$105,MATCH(A50,CATALOGO!$A$6:$A$105,0))-CONFIG!$B$8&lt;=0,"MARGEN OBJETIVO INVIABLE",IF(INDEX(CATALOGO!$R$6:$R$105,MATCH(A50,CATALOGO!$A$6:$A$105,0))&lt;CONFIG!$B$8,"REVISAR PRECIO O COSTO","ELEGIBLE")))))))))))))))))),"CONFIG INVALIDA")</f>
        <v/>
      </c>
      <c r="L50" s="13" t="str">
        <f t="shared" si="1"/>
        <v/>
      </c>
      <c r="M50" s="12" t="str">
        <f>IFERROR(IF(OR(A50="",CONFIG!$B$14&lt;&gt;"SI",CONFIG!$B$6&lt;1,CONFIG!$B$6&gt;365,CONFIG!$B$6&lt;&gt;INT(CONFIG!$B$6),SUMPRODUCT(--(VENTAS!$B$6:$B$1005=A50),--(VENTAS!$A$6:$A$1005&gt;=CONFIG!$B$5-CONFIG!$B$6+1),--(VENTAS!$A$6:$A$1005&lt;=CONFIG!$B$5),--(VENTAS!$I$6:$I$1005&lt;&gt;""),--(VENTAS!$I$6:$I$1005&lt;&gt;"OK"))&gt;0),"",MAX(0,(SUMIFS(VENTAS!$C$6:$C$1005,VENTAS!$B$6:$B$1005,A50,VENTAS!$A$6:$A$1005,"&gt;="&amp;CONFIG!$B$5-CONFIG!$B$6+1,VENTAS!$A$6:$A$1005,"&lt;="&amp;CONFIG!$B$5)-SUMIFS(VENTAS!$E$6:$E$1005,VENTAS!$B$6:$B$1005,A50,VENTAS!$A$6:$A$1005,"&gt;="&amp;CONFIG!$B$5-CONFIG!$B$6+1,VENTAS!$A$6:$A$1005,"&lt;="&amp;CONFIG!$B$5))/CONFIG!$B$6)),"")</f>
        <v/>
      </c>
      <c r="N50" s="14" t="str">
        <f>IF(K50&lt;&gt;"ELEGIBLE","",IF(AND(E50&gt;0,G50="SI",F50&gt;CONFIG!$B$5,F50&lt;=CONFIG!$B$5+INDEX(CATALOGO!$M$6:$M$105,MATCH(A50,CATALOGO!$A$6:$A$105,0))),E50,0))</f>
        <v/>
      </c>
      <c r="O50" s="14" t="str">
        <f>IF(K50&lt;&gt;"ELEGIBLE","",MAX(0,ROUNDUP(ROUND(M50*(INDEX(CATALOGO!$M$6:$M$105,MATCH(A50,CATALOGO!$A$6:$A$105,0))+CONFIG!$B$7)-L50-N50,10),0)))</f>
        <v/>
      </c>
      <c r="P50" s="14" t="str">
        <f>IF(O50="","",IF(O50=0,0,ROUNDUP(MAX(O50,INDEX(CATALOGO!$N$6:$N$105,MATCH(A50,CATALOGO!$A$6:$A$105,0)))/INDEX(CATALOGO!$O$6:$O$105,MATCH(A50,CATALOGO!$A$6:$A$105,0)),0)*INDEX(CATALOGO!$O$6:$O$105,MATCH(A50,CATALOGO!$A$6:$A$105,0))))</f>
        <v/>
      </c>
      <c r="Q50" s="11" t="str">
        <f>IFERROR(IF(OR(A50="",COUNTIF(CATALOGO!$A$6:$A$105,A50)&lt;&gt;1),"",IF(OR(INDEX(CATALOGO!$H$6:$H$105,MATCH(A50,CATALOGO!$A$6:$A$105,0))="",INDEX(CATALOGO!$I$6:$I$105,MATCH(A50,CATALOGO!$A$6:$A$105,0))="",ABS(INDEX(CATALOGO!$H$6:$H$105,MATCH(A50,CATALOGO!$A$6:$A$105,0)))&gt;1000000000,ABS(INDEX(CATALOGO!$I$6:$I$105,MATCH(A50,CATALOGO!$A$6:$A$105,0)))&gt;1000000000),"",INDEX(CATALOGO!$H$6:$H$105,MATCH(A50,CATALOGO!$A$6:$A$105,0))+INDEX(CATALOGO!$I$6:$I$105,MATCH(A50,CATALOGO!$A$6:$A$105,0)))),"")</f>
        <v/>
      </c>
      <c r="R50" s="9" t="str">
        <f>IF(OR(A50="",I50="",COUNTIF(CATALOGO!$A$6:$A$105,A50)&lt;&gt;1),"",IF(I50=0,0,IF(OR(Q50="",INDEX(CATALOGO!$N$6:$N$105,MATCH(A50,CATALOGO!$A$6:$A$105,0))="",INDEX(CATALOGO!$O$6:$O$105,MATCH(A50,CATALOGO!$A$6:$A$105,0))="",INDEX(CATALOGO!$O$6:$O$105,MATCH(A50,CATALOGO!$A$6:$A$105,0))&lt;=0),"",IF(OR(I50&lt;INDEX(CATALOGO!$N$6:$N$105,MATCH(A50,CATALOGO!$A$6:$A$105,0)),MOD(I50,INDEX(CATALOGO!$O$6:$O$105,MATCH(A50,CATALOGO!$A$6:$A$105,0)))&lt;&gt;0,J50="",J50&lt;=CONFIG!$B$5,J50&gt;CONFIG!$B$5+91),"",I50*Q50))))</f>
        <v/>
      </c>
      <c r="S50" s="12" t="str">
        <f>IF(A50="","",IF(COUNTIF(CATALOGO!$A$6:$A$105,A50)&lt;&gt;1,"SKU NO VALIDO",IF(I50="","CANTIDAD DESCONOCIDA",IF(I50=0,"SIN COMPRA ELEGIDA",IF(OR(I50&lt;0,I50&gt;1000000),"CANTIDAD INVALIDA",IF(OR(INDEX(CATALOGO!$N$6:$N$105,MATCH(A50,CATALOGO!$A$6:$A$105,0))="",INDEX(CATALOGO!$O$6:$O$105,MATCH(A50,CATALOGO!$A$6:$A$105,0))="",INDEX(CATALOGO!$O$6:$O$105,MATCH(A50,CATALOGO!$A$6:$A$105,0))&lt;=0),"CATALOGO A REVISAR",IF(OR(I50&lt;INDEX(CATALOGO!$N$6:$N$105,MATCH(A50,CATALOGO!$A$6:$A$105,0)),MOD(I50,INDEX(CATALOGO!$O$6:$O$105,MATCH(A50,CATALOGO!$A$6:$A$105,0)))&lt;&gt;0),"NO RESPETA MOQ/PACK",IF(J50="","FALTA FECHA PAGO",IF(Q50="","COSTO DESCONOCIDO",IF(OR(J50&lt;=CONFIG!$B$5,J50&gt;CONFIG!$B$5+91),"FUERA DE 91 DIAS",IF(AND(P50&lt;&gt;"",I50&gt;P50),"EN MODELO · SUPERA PROPUESTA","EN MODELO")))))))))))</f>
        <v/>
      </c>
    </row>
    <row r="51" spans="1:19" x14ac:dyDescent="0.45">
      <c r="A51" s="8"/>
      <c r="B51" s="4"/>
      <c r="C51" s="5"/>
      <c r="D51" s="5"/>
      <c r="E51" s="5"/>
      <c r="F51" s="4"/>
      <c r="G51" s="8"/>
      <c r="H51" s="5"/>
      <c r="I51" s="5"/>
      <c r="J51" s="4"/>
      <c r="K51" s="12" t="str">
        <f>IFERROR(IF(A51="","",IF(COUNTIF($A$6:$A$105,A51)&gt;1,"DUPLICADO STOCK",IF(COUNTIF(CATALOGO!$A$6:$A$105,A51)&lt;&gt;1,"SKU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INVALIDA",IF(INDEX(CATALOGO!$F$6:$F$105,MATCH(A51,CATALOGO!$A$6:$A$105,0))&lt;&gt;"ACTIVO",INDEX(CATALOGO!$F$6:$F$105,MATCH(A51,CATALOGO!$A$6:$A$105,0)),IF(OR(B51="",B51&lt;&gt;CONFIG!$B$5),"CONTEO NO VIGENTE",IF(OR(C51="",D51="",E51="",H51=""),"FALTA CAMPO",IF(OR(C51&lt;0,C51&gt;1000000,D51&lt;0,D51&gt;1000000,E51&lt;0,E51&gt;1000000,D51&gt;C51),"REVISAR VALOR",IF(H51&gt;CONFIG!$B$6,"EXPOSICION FUERA DE RANGO",IF(H51&lt;&gt;CONFIG!$B$6,"DISPONIBILIDAD INCOMPLETA",IF(CONFIG!$B$14&lt;&gt;"SI","VENTAS INCOMPLETAS",IF(CONFIG!$B$12&lt;&gt;"SI","POLITICA SIN REVISAR",IF(SUMPRODUCT(--(VENTAS!$B$6:$B$1005=A51),--(VENTAS!$A$6:$A$1005&gt;=CONFIG!$B$5-CONFIG!$B$6+1),--(VENTAS!$A$6:$A$1005&lt;=CONFIG!$B$5),--(VENTAS!$I$6:$I$1005&lt;&gt;""),--(VENTAS!$I$6:$I$1005&lt;&gt;"OK"))&gt;0,"VENTAS A REVISAR",IF(AND(E51&gt;0,OR(F51="",G51&lt;&gt;"SI")),"TRANSITO SIN CONFIRMAR",IF(AND(E51&gt;0,G51="SI",OR(F51&lt;=CONFIG!$B$5,F51&gt;CONFIG!$B$5+INDEX(CATALOGO!$M$6:$M$105,MATCH(A51,CATALOGO!$A$6:$A$105,0)))),"TRANSITO FUERA DEL PLAZO",IF(INDEX(CATALOGO!$T$6:$T$105,MATCH(A51,CATALOGO!$A$6:$A$105,0))&lt;&gt;"OK","CATALOGO A REVISAR",IF(1-INDEX(CATALOGO!$K$6:$K$105,MATCH(A51,CATALOGO!$A$6:$A$105,0))-CONFIG!$B$8&lt;=0,"MARGEN OBJETIVO INVIABLE",IF(INDEX(CATALOGO!$R$6:$R$105,MATCH(A51,CATALOGO!$A$6:$A$105,0))&lt;CONFIG!$B$8,"REVISAR PRECIO O COSTO","ELEGIBLE")))))))))))))))))),"CONFIG INVALIDA")</f>
        <v/>
      </c>
      <c r="L51" s="13" t="str">
        <f t="shared" si="1"/>
        <v/>
      </c>
      <c r="M51" s="12" t="str">
        <f>IFERROR(IF(OR(A51="",CONFIG!$B$14&lt;&gt;"SI",CONFIG!$B$6&lt;1,CONFIG!$B$6&gt;365,CONFIG!$B$6&lt;&gt;INT(CONFIG!$B$6),SUMPRODUCT(--(VENTAS!$B$6:$B$1005=A51),--(VENTAS!$A$6:$A$1005&gt;=CONFIG!$B$5-CONFIG!$B$6+1),--(VENTAS!$A$6:$A$1005&lt;=CONFIG!$B$5),--(VENTAS!$I$6:$I$1005&lt;&gt;""),--(VENTAS!$I$6:$I$1005&lt;&gt;"OK"))&gt;0),"",MAX(0,(SUMIFS(VENTAS!$C$6:$C$1005,VENTAS!$B$6:$B$1005,A51,VENTAS!$A$6:$A$1005,"&gt;="&amp;CONFIG!$B$5-CONFIG!$B$6+1,VENTAS!$A$6:$A$1005,"&lt;="&amp;CONFIG!$B$5)-SUMIFS(VENTAS!$E$6:$E$1005,VENTAS!$B$6:$B$1005,A51,VENTAS!$A$6:$A$1005,"&gt;="&amp;CONFIG!$B$5-CONFIG!$B$6+1,VENTAS!$A$6:$A$1005,"&lt;="&amp;CONFIG!$B$5))/CONFIG!$B$6)),"")</f>
        <v/>
      </c>
      <c r="N51" s="14" t="str">
        <f>IF(K51&lt;&gt;"ELEGIBLE","",IF(AND(E51&gt;0,G51="SI",F51&gt;CONFIG!$B$5,F51&lt;=CONFIG!$B$5+INDEX(CATALOGO!$M$6:$M$105,MATCH(A51,CATALOGO!$A$6:$A$105,0))),E51,0))</f>
        <v/>
      </c>
      <c r="O51" s="14" t="str">
        <f>IF(K51&lt;&gt;"ELEGIBLE","",MAX(0,ROUNDUP(ROUND(M51*(INDEX(CATALOGO!$M$6:$M$105,MATCH(A51,CATALOGO!$A$6:$A$105,0))+CONFIG!$B$7)-L51-N51,10),0)))</f>
        <v/>
      </c>
      <c r="P51" s="14" t="str">
        <f>IF(O51="","",IF(O51=0,0,ROUNDUP(MAX(O51,INDEX(CATALOGO!$N$6:$N$105,MATCH(A51,CATALOGO!$A$6:$A$105,0)))/INDEX(CATALOGO!$O$6:$O$105,MATCH(A51,CATALOGO!$A$6:$A$105,0)),0)*INDEX(CATALOGO!$O$6:$O$105,MATCH(A51,CATALOGO!$A$6:$A$105,0))))</f>
        <v/>
      </c>
      <c r="Q51" s="11" t="str">
        <f>IFERROR(IF(OR(A51="",COUNTIF(CATALOGO!$A$6:$A$105,A51)&lt;&gt;1),"",IF(OR(INDEX(CATALOGO!$H$6:$H$105,MATCH(A51,CATALOGO!$A$6:$A$105,0))="",INDEX(CATALOGO!$I$6:$I$105,MATCH(A51,CATALOGO!$A$6:$A$105,0))="",ABS(INDEX(CATALOGO!$H$6:$H$105,MATCH(A51,CATALOGO!$A$6:$A$105,0)))&gt;1000000000,ABS(INDEX(CATALOGO!$I$6:$I$105,MATCH(A51,CATALOGO!$A$6:$A$105,0)))&gt;1000000000),"",INDEX(CATALOGO!$H$6:$H$105,MATCH(A51,CATALOGO!$A$6:$A$105,0))+INDEX(CATALOGO!$I$6:$I$105,MATCH(A51,CATALOGO!$A$6:$A$105,0)))),"")</f>
        <v/>
      </c>
      <c r="R51" s="9" t="str">
        <f>IF(OR(A51="",I51="",COUNTIF(CATALOGO!$A$6:$A$105,A51)&lt;&gt;1),"",IF(I51=0,0,IF(OR(Q51="",INDEX(CATALOGO!$N$6:$N$105,MATCH(A51,CATALOGO!$A$6:$A$105,0))="",INDEX(CATALOGO!$O$6:$O$105,MATCH(A51,CATALOGO!$A$6:$A$105,0))="",INDEX(CATALOGO!$O$6:$O$105,MATCH(A51,CATALOGO!$A$6:$A$105,0))&lt;=0),"",IF(OR(I51&lt;INDEX(CATALOGO!$N$6:$N$105,MATCH(A51,CATALOGO!$A$6:$A$105,0)),MOD(I51,INDEX(CATALOGO!$O$6:$O$105,MATCH(A51,CATALOGO!$A$6:$A$105,0)))&lt;&gt;0,J51="",J51&lt;=CONFIG!$B$5,J51&gt;CONFIG!$B$5+91),"",I51*Q51))))</f>
        <v/>
      </c>
      <c r="S51" s="12" t="str">
        <f>IF(A51="","",IF(COUNTIF(CATALOGO!$A$6:$A$105,A51)&lt;&gt;1,"SKU NO VALIDO",IF(I51="","CANTIDAD DESCONOCIDA",IF(I51=0,"SIN COMPRA ELEGIDA",IF(OR(I51&lt;0,I51&gt;1000000),"CANTIDAD INVALIDA",IF(OR(INDEX(CATALOGO!$N$6:$N$105,MATCH(A51,CATALOGO!$A$6:$A$105,0))="",INDEX(CATALOGO!$O$6:$O$105,MATCH(A51,CATALOGO!$A$6:$A$105,0))="",INDEX(CATALOGO!$O$6:$O$105,MATCH(A51,CATALOGO!$A$6:$A$105,0))&lt;=0),"CATALOGO A REVISAR",IF(OR(I51&lt;INDEX(CATALOGO!$N$6:$N$105,MATCH(A51,CATALOGO!$A$6:$A$105,0)),MOD(I51,INDEX(CATALOGO!$O$6:$O$105,MATCH(A51,CATALOGO!$A$6:$A$105,0)))&lt;&gt;0),"NO RESPETA MOQ/PACK",IF(J51="","FALTA FECHA PAGO",IF(Q51="","COSTO DESCONOCIDO",IF(OR(J51&lt;=CONFIG!$B$5,J51&gt;CONFIG!$B$5+91),"FUERA DE 91 DIAS",IF(AND(P51&lt;&gt;"",I51&gt;P51),"EN MODELO · SUPERA PROPUESTA","EN MODELO")))))))))))</f>
        <v/>
      </c>
    </row>
    <row r="52" spans="1:19" x14ac:dyDescent="0.45">
      <c r="A52" s="8"/>
      <c r="B52" s="4"/>
      <c r="C52" s="5"/>
      <c r="D52" s="5"/>
      <c r="E52" s="5"/>
      <c r="F52" s="4"/>
      <c r="G52" s="8"/>
      <c r="H52" s="5"/>
      <c r="I52" s="5"/>
      <c r="J52" s="4"/>
      <c r="K52" s="12" t="str">
        <f>IFERROR(IF(A52="","",IF(COUNTIF($A$6:$A$105,A52)&gt;1,"DUPLICADO STOCK",IF(COUNTIF(CATALOGO!$A$6:$A$105,A52)&lt;&gt;1,"SKU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INVALIDA",IF(INDEX(CATALOGO!$F$6:$F$105,MATCH(A52,CATALOGO!$A$6:$A$105,0))&lt;&gt;"ACTIVO",INDEX(CATALOGO!$F$6:$F$105,MATCH(A52,CATALOGO!$A$6:$A$105,0)),IF(OR(B52="",B52&lt;&gt;CONFIG!$B$5),"CONTEO NO VIGENTE",IF(OR(C52="",D52="",E52="",H52=""),"FALTA CAMPO",IF(OR(C52&lt;0,C52&gt;1000000,D52&lt;0,D52&gt;1000000,E52&lt;0,E52&gt;1000000,D52&gt;C52),"REVISAR VALOR",IF(H52&gt;CONFIG!$B$6,"EXPOSICION FUERA DE RANGO",IF(H52&lt;&gt;CONFIG!$B$6,"DISPONIBILIDAD INCOMPLETA",IF(CONFIG!$B$14&lt;&gt;"SI","VENTAS INCOMPLETAS",IF(CONFIG!$B$12&lt;&gt;"SI","POLITICA SIN REVISAR",IF(SUMPRODUCT(--(VENTAS!$B$6:$B$1005=A52),--(VENTAS!$A$6:$A$1005&gt;=CONFIG!$B$5-CONFIG!$B$6+1),--(VENTAS!$A$6:$A$1005&lt;=CONFIG!$B$5),--(VENTAS!$I$6:$I$1005&lt;&gt;""),--(VENTAS!$I$6:$I$1005&lt;&gt;"OK"))&gt;0,"VENTAS A REVISAR",IF(AND(E52&gt;0,OR(F52="",G52&lt;&gt;"SI")),"TRANSITO SIN CONFIRMAR",IF(AND(E52&gt;0,G52="SI",OR(F52&lt;=CONFIG!$B$5,F52&gt;CONFIG!$B$5+INDEX(CATALOGO!$M$6:$M$105,MATCH(A52,CATALOGO!$A$6:$A$105,0)))),"TRANSITO FUERA DEL PLAZO",IF(INDEX(CATALOGO!$T$6:$T$105,MATCH(A52,CATALOGO!$A$6:$A$105,0))&lt;&gt;"OK","CATALOGO A REVISAR",IF(1-INDEX(CATALOGO!$K$6:$K$105,MATCH(A52,CATALOGO!$A$6:$A$105,0))-CONFIG!$B$8&lt;=0,"MARGEN OBJETIVO INVIABLE",IF(INDEX(CATALOGO!$R$6:$R$105,MATCH(A52,CATALOGO!$A$6:$A$105,0))&lt;CONFIG!$B$8,"REVISAR PRECIO O COSTO","ELEGIBLE")))))))))))))))))),"CONFIG INVALIDA")</f>
        <v/>
      </c>
      <c r="L52" s="13" t="str">
        <f t="shared" si="1"/>
        <v/>
      </c>
      <c r="M52" s="12" t="str">
        <f>IFERROR(IF(OR(A52="",CONFIG!$B$14&lt;&gt;"SI",CONFIG!$B$6&lt;1,CONFIG!$B$6&gt;365,CONFIG!$B$6&lt;&gt;INT(CONFIG!$B$6),SUMPRODUCT(--(VENTAS!$B$6:$B$1005=A52),--(VENTAS!$A$6:$A$1005&gt;=CONFIG!$B$5-CONFIG!$B$6+1),--(VENTAS!$A$6:$A$1005&lt;=CONFIG!$B$5),--(VENTAS!$I$6:$I$1005&lt;&gt;""),--(VENTAS!$I$6:$I$1005&lt;&gt;"OK"))&gt;0),"",MAX(0,(SUMIFS(VENTAS!$C$6:$C$1005,VENTAS!$B$6:$B$1005,A52,VENTAS!$A$6:$A$1005,"&gt;="&amp;CONFIG!$B$5-CONFIG!$B$6+1,VENTAS!$A$6:$A$1005,"&lt;="&amp;CONFIG!$B$5)-SUMIFS(VENTAS!$E$6:$E$1005,VENTAS!$B$6:$B$1005,A52,VENTAS!$A$6:$A$1005,"&gt;="&amp;CONFIG!$B$5-CONFIG!$B$6+1,VENTAS!$A$6:$A$1005,"&lt;="&amp;CONFIG!$B$5))/CONFIG!$B$6)),"")</f>
        <v/>
      </c>
      <c r="N52" s="14" t="str">
        <f>IF(K52&lt;&gt;"ELEGIBLE","",IF(AND(E52&gt;0,G52="SI",F52&gt;CONFIG!$B$5,F52&lt;=CONFIG!$B$5+INDEX(CATALOGO!$M$6:$M$105,MATCH(A52,CATALOGO!$A$6:$A$105,0))),E52,0))</f>
        <v/>
      </c>
      <c r="O52" s="14" t="str">
        <f>IF(K52&lt;&gt;"ELEGIBLE","",MAX(0,ROUNDUP(ROUND(M52*(INDEX(CATALOGO!$M$6:$M$105,MATCH(A52,CATALOGO!$A$6:$A$105,0))+CONFIG!$B$7)-L52-N52,10),0)))</f>
        <v/>
      </c>
      <c r="P52" s="14" t="str">
        <f>IF(O52="","",IF(O52=0,0,ROUNDUP(MAX(O52,INDEX(CATALOGO!$N$6:$N$105,MATCH(A52,CATALOGO!$A$6:$A$105,0)))/INDEX(CATALOGO!$O$6:$O$105,MATCH(A52,CATALOGO!$A$6:$A$105,0)),0)*INDEX(CATALOGO!$O$6:$O$105,MATCH(A52,CATALOGO!$A$6:$A$105,0))))</f>
        <v/>
      </c>
      <c r="Q52" s="11" t="str">
        <f>IFERROR(IF(OR(A52="",COUNTIF(CATALOGO!$A$6:$A$105,A52)&lt;&gt;1),"",IF(OR(INDEX(CATALOGO!$H$6:$H$105,MATCH(A52,CATALOGO!$A$6:$A$105,0))="",INDEX(CATALOGO!$I$6:$I$105,MATCH(A52,CATALOGO!$A$6:$A$105,0))="",ABS(INDEX(CATALOGO!$H$6:$H$105,MATCH(A52,CATALOGO!$A$6:$A$105,0)))&gt;1000000000,ABS(INDEX(CATALOGO!$I$6:$I$105,MATCH(A52,CATALOGO!$A$6:$A$105,0)))&gt;1000000000),"",INDEX(CATALOGO!$H$6:$H$105,MATCH(A52,CATALOGO!$A$6:$A$105,0))+INDEX(CATALOGO!$I$6:$I$105,MATCH(A52,CATALOGO!$A$6:$A$105,0)))),"")</f>
        <v/>
      </c>
      <c r="R52" s="9" t="str">
        <f>IF(OR(A52="",I52="",COUNTIF(CATALOGO!$A$6:$A$105,A52)&lt;&gt;1),"",IF(I52=0,0,IF(OR(Q52="",INDEX(CATALOGO!$N$6:$N$105,MATCH(A52,CATALOGO!$A$6:$A$105,0))="",INDEX(CATALOGO!$O$6:$O$105,MATCH(A52,CATALOGO!$A$6:$A$105,0))="",INDEX(CATALOGO!$O$6:$O$105,MATCH(A52,CATALOGO!$A$6:$A$105,0))&lt;=0),"",IF(OR(I52&lt;INDEX(CATALOGO!$N$6:$N$105,MATCH(A52,CATALOGO!$A$6:$A$105,0)),MOD(I52,INDEX(CATALOGO!$O$6:$O$105,MATCH(A52,CATALOGO!$A$6:$A$105,0)))&lt;&gt;0,J52="",J52&lt;=CONFIG!$B$5,J52&gt;CONFIG!$B$5+91),"",I52*Q52))))</f>
        <v/>
      </c>
      <c r="S52" s="12" t="str">
        <f>IF(A52="","",IF(COUNTIF(CATALOGO!$A$6:$A$105,A52)&lt;&gt;1,"SKU NO VALIDO",IF(I52="","CANTIDAD DESCONOCIDA",IF(I52=0,"SIN COMPRA ELEGIDA",IF(OR(I52&lt;0,I52&gt;1000000),"CANTIDAD INVALIDA",IF(OR(INDEX(CATALOGO!$N$6:$N$105,MATCH(A52,CATALOGO!$A$6:$A$105,0))="",INDEX(CATALOGO!$O$6:$O$105,MATCH(A52,CATALOGO!$A$6:$A$105,0))="",INDEX(CATALOGO!$O$6:$O$105,MATCH(A52,CATALOGO!$A$6:$A$105,0))&lt;=0),"CATALOGO A REVISAR",IF(OR(I52&lt;INDEX(CATALOGO!$N$6:$N$105,MATCH(A52,CATALOGO!$A$6:$A$105,0)),MOD(I52,INDEX(CATALOGO!$O$6:$O$105,MATCH(A52,CATALOGO!$A$6:$A$105,0)))&lt;&gt;0),"NO RESPETA MOQ/PACK",IF(J52="","FALTA FECHA PAGO",IF(Q52="","COSTO DESCONOCIDO",IF(OR(J52&lt;=CONFIG!$B$5,J52&gt;CONFIG!$B$5+91),"FUERA DE 91 DIAS",IF(AND(P52&lt;&gt;"",I52&gt;P52),"EN MODELO · SUPERA PROPUESTA","EN MODELO")))))))))))</f>
        <v/>
      </c>
    </row>
    <row r="53" spans="1:19" x14ac:dyDescent="0.45">
      <c r="A53" s="8"/>
      <c r="B53" s="4"/>
      <c r="C53" s="5"/>
      <c r="D53" s="5"/>
      <c r="E53" s="5"/>
      <c r="F53" s="4"/>
      <c r="G53" s="8"/>
      <c r="H53" s="5"/>
      <c r="I53" s="5"/>
      <c r="J53" s="4"/>
      <c r="K53" s="12" t="str">
        <f>IFERROR(IF(A53="","",IF(COUNTIF($A$6:$A$105,A53)&gt;1,"DUPLICADO STOCK",IF(COUNTIF(CATALOGO!$A$6:$A$105,A53)&lt;&gt;1,"SKU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INVALIDA",IF(INDEX(CATALOGO!$F$6:$F$105,MATCH(A53,CATALOGO!$A$6:$A$105,0))&lt;&gt;"ACTIVO",INDEX(CATALOGO!$F$6:$F$105,MATCH(A53,CATALOGO!$A$6:$A$105,0)),IF(OR(B53="",B53&lt;&gt;CONFIG!$B$5),"CONTEO NO VIGENTE",IF(OR(C53="",D53="",E53="",H53=""),"FALTA CAMPO",IF(OR(C53&lt;0,C53&gt;1000000,D53&lt;0,D53&gt;1000000,E53&lt;0,E53&gt;1000000,D53&gt;C53),"REVISAR VALOR",IF(H53&gt;CONFIG!$B$6,"EXPOSICION FUERA DE RANGO",IF(H53&lt;&gt;CONFIG!$B$6,"DISPONIBILIDAD INCOMPLETA",IF(CONFIG!$B$14&lt;&gt;"SI","VENTAS INCOMPLETAS",IF(CONFIG!$B$12&lt;&gt;"SI","POLITICA SIN REVISAR",IF(SUMPRODUCT(--(VENTAS!$B$6:$B$1005=A53),--(VENTAS!$A$6:$A$1005&gt;=CONFIG!$B$5-CONFIG!$B$6+1),--(VENTAS!$A$6:$A$1005&lt;=CONFIG!$B$5),--(VENTAS!$I$6:$I$1005&lt;&gt;""),--(VENTAS!$I$6:$I$1005&lt;&gt;"OK"))&gt;0,"VENTAS A REVISAR",IF(AND(E53&gt;0,OR(F53="",G53&lt;&gt;"SI")),"TRANSITO SIN CONFIRMAR",IF(AND(E53&gt;0,G53="SI",OR(F53&lt;=CONFIG!$B$5,F53&gt;CONFIG!$B$5+INDEX(CATALOGO!$M$6:$M$105,MATCH(A53,CATALOGO!$A$6:$A$105,0)))),"TRANSITO FUERA DEL PLAZO",IF(INDEX(CATALOGO!$T$6:$T$105,MATCH(A53,CATALOGO!$A$6:$A$105,0))&lt;&gt;"OK","CATALOGO A REVISAR",IF(1-INDEX(CATALOGO!$K$6:$K$105,MATCH(A53,CATALOGO!$A$6:$A$105,0))-CONFIG!$B$8&lt;=0,"MARGEN OBJETIVO INVIABLE",IF(INDEX(CATALOGO!$R$6:$R$105,MATCH(A53,CATALOGO!$A$6:$A$105,0))&lt;CONFIG!$B$8,"REVISAR PRECIO O COSTO","ELEGIBLE")))))))))))))))))),"CONFIG INVALIDA")</f>
        <v/>
      </c>
      <c r="L53" s="13" t="str">
        <f t="shared" si="1"/>
        <v/>
      </c>
      <c r="M53" s="12" t="str">
        <f>IFERROR(IF(OR(A53="",CONFIG!$B$14&lt;&gt;"SI",CONFIG!$B$6&lt;1,CONFIG!$B$6&gt;365,CONFIG!$B$6&lt;&gt;INT(CONFIG!$B$6),SUMPRODUCT(--(VENTAS!$B$6:$B$1005=A53),--(VENTAS!$A$6:$A$1005&gt;=CONFIG!$B$5-CONFIG!$B$6+1),--(VENTAS!$A$6:$A$1005&lt;=CONFIG!$B$5),--(VENTAS!$I$6:$I$1005&lt;&gt;""),--(VENTAS!$I$6:$I$1005&lt;&gt;"OK"))&gt;0),"",MAX(0,(SUMIFS(VENTAS!$C$6:$C$1005,VENTAS!$B$6:$B$1005,A53,VENTAS!$A$6:$A$1005,"&gt;="&amp;CONFIG!$B$5-CONFIG!$B$6+1,VENTAS!$A$6:$A$1005,"&lt;="&amp;CONFIG!$B$5)-SUMIFS(VENTAS!$E$6:$E$1005,VENTAS!$B$6:$B$1005,A53,VENTAS!$A$6:$A$1005,"&gt;="&amp;CONFIG!$B$5-CONFIG!$B$6+1,VENTAS!$A$6:$A$1005,"&lt;="&amp;CONFIG!$B$5))/CONFIG!$B$6)),"")</f>
        <v/>
      </c>
      <c r="N53" s="14" t="str">
        <f>IF(K53&lt;&gt;"ELEGIBLE","",IF(AND(E53&gt;0,G53="SI",F53&gt;CONFIG!$B$5,F53&lt;=CONFIG!$B$5+INDEX(CATALOGO!$M$6:$M$105,MATCH(A53,CATALOGO!$A$6:$A$105,0))),E53,0))</f>
        <v/>
      </c>
      <c r="O53" s="14" t="str">
        <f>IF(K53&lt;&gt;"ELEGIBLE","",MAX(0,ROUNDUP(ROUND(M53*(INDEX(CATALOGO!$M$6:$M$105,MATCH(A53,CATALOGO!$A$6:$A$105,0))+CONFIG!$B$7)-L53-N53,10),0)))</f>
        <v/>
      </c>
      <c r="P53" s="14" t="str">
        <f>IF(O53="","",IF(O53=0,0,ROUNDUP(MAX(O53,INDEX(CATALOGO!$N$6:$N$105,MATCH(A53,CATALOGO!$A$6:$A$105,0)))/INDEX(CATALOGO!$O$6:$O$105,MATCH(A53,CATALOGO!$A$6:$A$105,0)),0)*INDEX(CATALOGO!$O$6:$O$105,MATCH(A53,CATALOGO!$A$6:$A$105,0))))</f>
        <v/>
      </c>
      <c r="Q53" s="11" t="str">
        <f>IFERROR(IF(OR(A53="",COUNTIF(CATALOGO!$A$6:$A$105,A53)&lt;&gt;1),"",IF(OR(INDEX(CATALOGO!$H$6:$H$105,MATCH(A53,CATALOGO!$A$6:$A$105,0))="",INDEX(CATALOGO!$I$6:$I$105,MATCH(A53,CATALOGO!$A$6:$A$105,0))="",ABS(INDEX(CATALOGO!$H$6:$H$105,MATCH(A53,CATALOGO!$A$6:$A$105,0)))&gt;1000000000,ABS(INDEX(CATALOGO!$I$6:$I$105,MATCH(A53,CATALOGO!$A$6:$A$105,0)))&gt;1000000000),"",INDEX(CATALOGO!$H$6:$H$105,MATCH(A53,CATALOGO!$A$6:$A$105,0))+INDEX(CATALOGO!$I$6:$I$105,MATCH(A53,CATALOGO!$A$6:$A$105,0)))),"")</f>
        <v/>
      </c>
      <c r="R53" s="9" t="str">
        <f>IF(OR(A53="",I53="",COUNTIF(CATALOGO!$A$6:$A$105,A53)&lt;&gt;1),"",IF(I53=0,0,IF(OR(Q53="",INDEX(CATALOGO!$N$6:$N$105,MATCH(A53,CATALOGO!$A$6:$A$105,0))="",INDEX(CATALOGO!$O$6:$O$105,MATCH(A53,CATALOGO!$A$6:$A$105,0))="",INDEX(CATALOGO!$O$6:$O$105,MATCH(A53,CATALOGO!$A$6:$A$105,0))&lt;=0),"",IF(OR(I53&lt;INDEX(CATALOGO!$N$6:$N$105,MATCH(A53,CATALOGO!$A$6:$A$105,0)),MOD(I53,INDEX(CATALOGO!$O$6:$O$105,MATCH(A53,CATALOGO!$A$6:$A$105,0)))&lt;&gt;0,J53="",J53&lt;=CONFIG!$B$5,J53&gt;CONFIG!$B$5+91),"",I53*Q53))))</f>
        <v/>
      </c>
      <c r="S53" s="12" t="str">
        <f>IF(A53="","",IF(COUNTIF(CATALOGO!$A$6:$A$105,A53)&lt;&gt;1,"SKU NO VALIDO",IF(I53="","CANTIDAD DESCONOCIDA",IF(I53=0,"SIN COMPRA ELEGIDA",IF(OR(I53&lt;0,I53&gt;1000000),"CANTIDAD INVALIDA",IF(OR(INDEX(CATALOGO!$N$6:$N$105,MATCH(A53,CATALOGO!$A$6:$A$105,0))="",INDEX(CATALOGO!$O$6:$O$105,MATCH(A53,CATALOGO!$A$6:$A$105,0))="",INDEX(CATALOGO!$O$6:$O$105,MATCH(A53,CATALOGO!$A$6:$A$105,0))&lt;=0),"CATALOGO A REVISAR",IF(OR(I53&lt;INDEX(CATALOGO!$N$6:$N$105,MATCH(A53,CATALOGO!$A$6:$A$105,0)),MOD(I53,INDEX(CATALOGO!$O$6:$O$105,MATCH(A53,CATALOGO!$A$6:$A$105,0)))&lt;&gt;0),"NO RESPETA MOQ/PACK",IF(J53="","FALTA FECHA PAGO",IF(Q53="","COSTO DESCONOCIDO",IF(OR(J53&lt;=CONFIG!$B$5,J53&gt;CONFIG!$B$5+91),"FUERA DE 91 DIAS",IF(AND(P53&lt;&gt;"",I53&gt;P53),"EN MODELO · SUPERA PROPUESTA","EN MODELO")))))))))))</f>
        <v/>
      </c>
    </row>
    <row r="54" spans="1:19" x14ac:dyDescent="0.45">
      <c r="A54" s="8"/>
      <c r="B54" s="4"/>
      <c r="C54" s="5"/>
      <c r="D54" s="5"/>
      <c r="E54" s="5"/>
      <c r="F54" s="4"/>
      <c r="G54" s="8"/>
      <c r="H54" s="5"/>
      <c r="I54" s="5"/>
      <c r="J54" s="4"/>
      <c r="K54" s="12" t="str">
        <f>IFERROR(IF(A54="","",IF(COUNTIF($A$6:$A$105,A54)&gt;1,"DUPLICADO STOCK",IF(COUNTIF(CATALOGO!$A$6:$A$105,A54)&lt;&gt;1,"SKU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INVALIDA",IF(INDEX(CATALOGO!$F$6:$F$105,MATCH(A54,CATALOGO!$A$6:$A$105,0))&lt;&gt;"ACTIVO",INDEX(CATALOGO!$F$6:$F$105,MATCH(A54,CATALOGO!$A$6:$A$105,0)),IF(OR(B54="",B54&lt;&gt;CONFIG!$B$5),"CONTEO NO VIGENTE",IF(OR(C54="",D54="",E54="",H54=""),"FALTA CAMPO",IF(OR(C54&lt;0,C54&gt;1000000,D54&lt;0,D54&gt;1000000,E54&lt;0,E54&gt;1000000,D54&gt;C54),"REVISAR VALOR",IF(H54&gt;CONFIG!$B$6,"EXPOSICION FUERA DE RANGO",IF(H54&lt;&gt;CONFIG!$B$6,"DISPONIBILIDAD INCOMPLETA",IF(CONFIG!$B$14&lt;&gt;"SI","VENTAS INCOMPLETAS",IF(CONFIG!$B$12&lt;&gt;"SI","POLITICA SIN REVISAR",IF(SUMPRODUCT(--(VENTAS!$B$6:$B$1005=A54),--(VENTAS!$A$6:$A$1005&gt;=CONFIG!$B$5-CONFIG!$B$6+1),--(VENTAS!$A$6:$A$1005&lt;=CONFIG!$B$5),--(VENTAS!$I$6:$I$1005&lt;&gt;""),--(VENTAS!$I$6:$I$1005&lt;&gt;"OK"))&gt;0,"VENTAS A REVISAR",IF(AND(E54&gt;0,OR(F54="",G54&lt;&gt;"SI")),"TRANSITO SIN CONFIRMAR",IF(AND(E54&gt;0,G54="SI",OR(F54&lt;=CONFIG!$B$5,F54&gt;CONFIG!$B$5+INDEX(CATALOGO!$M$6:$M$105,MATCH(A54,CATALOGO!$A$6:$A$105,0)))),"TRANSITO FUERA DEL PLAZO",IF(INDEX(CATALOGO!$T$6:$T$105,MATCH(A54,CATALOGO!$A$6:$A$105,0))&lt;&gt;"OK","CATALOGO A REVISAR",IF(1-INDEX(CATALOGO!$K$6:$K$105,MATCH(A54,CATALOGO!$A$6:$A$105,0))-CONFIG!$B$8&lt;=0,"MARGEN OBJETIVO INVIABLE",IF(INDEX(CATALOGO!$R$6:$R$105,MATCH(A54,CATALOGO!$A$6:$A$105,0))&lt;CONFIG!$B$8,"REVISAR PRECIO O COSTO","ELEGIBLE")))))))))))))))))),"CONFIG INVALIDA")</f>
        <v/>
      </c>
      <c r="L54" s="13" t="str">
        <f t="shared" si="1"/>
        <v/>
      </c>
      <c r="M54" s="12" t="str">
        <f>IFERROR(IF(OR(A54="",CONFIG!$B$14&lt;&gt;"SI",CONFIG!$B$6&lt;1,CONFIG!$B$6&gt;365,CONFIG!$B$6&lt;&gt;INT(CONFIG!$B$6),SUMPRODUCT(--(VENTAS!$B$6:$B$1005=A54),--(VENTAS!$A$6:$A$1005&gt;=CONFIG!$B$5-CONFIG!$B$6+1),--(VENTAS!$A$6:$A$1005&lt;=CONFIG!$B$5),--(VENTAS!$I$6:$I$1005&lt;&gt;""),--(VENTAS!$I$6:$I$1005&lt;&gt;"OK"))&gt;0),"",MAX(0,(SUMIFS(VENTAS!$C$6:$C$1005,VENTAS!$B$6:$B$1005,A54,VENTAS!$A$6:$A$1005,"&gt;="&amp;CONFIG!$B$5-CONFIG!$B$6+1,VENTAS!$A$6:$A$1005,"&lt;="&amp;CONFIG!$B$5)-SUMIFS(VENTAS!$E$6:$E$1005,VENTAS!$B$6:$B$1005,A54,VENTAS!$A$6:$A$1005,"&gt;="&amp;CONFIG!$B$5-CONFIG!$B$6+1,VENTAS!$A$6:$A$1005,"&lt;="&amp;CONFIG!$B$5))/CONFIG!$B$6)),"")</f>
        <v/>
      </c>
      <c r="N54" s="14" t="str">
        <f>IF(K54&lt;&gt;"ELEGIBLE","",IF(AND(E54&gt;0,G54="SI",F54&gt;CONFIG!$B$5,F54&lt;=CONFIG!$B$5+INDEX(CATALOGO!$M$6:$M$105,MATCH(A54,CATALOGO!$A$6:$A$105,0))),E54,0))</f>
        <v/>
      </c>
      <c r="O54" s="14" t="str">
        <f>IF(K54&lt;&gt;"ELEGIBLE","",MAX(0,ROUNDUP(ROUND(M54*(INDEX(CATALOGO!$M$6:$M$105,MATCH(A54,CATALOGO!$A$6:$A$105,0))+CONFIG!$B$7)-L54-N54,10),0)))</f>
        <v/>
      </c>
      <c r="P54" s="14" t="str">
        <f>IF(O54="","",IF(O54=0,0,ROUNDUP(MAX(O54,INDEX(CATALOGO!$N$6:$N$105,MATCH(A54,CATALOGO!$A$6:$A$105,0)))/INDEX(CATALOGO!$O$6:$O$105,MATCH(A54,CATALOGO!$A$6:$A$105,0)),0)*INDEX(CATALOGO!$O$6:$O$105,MATCH(A54,CATALOGO!$A$6:$A$105,0))))</f>
        <v/>
      </c>
      <c r="Q54" s="11" t="str">
        <f>IFERROR(IF(OR(A54="",COUNTIF(CATALOGO!$A$6:$A$105,A54)&lt;&gt;1),"",IF(OR(INDEX(CATALOGO!$H$6:$H$105,MATCH(A54,CATALOGO!$A$6:$A$105,0))="",INDEX(CATALOGO!$I$6:$I$105,MATCH(A54,CATALOGO!$A$6:$A$105,0))="",ABS(INDEX(CATALOGO!$H$6:$H$105,MATCH(A54,CATALOGO!$A$6:$A$105,0)))&gt;1000000000,ABS(INDEX(CATALOGO!$I$6:$I$105,MATCH(A54,CATALOGO!$A$6:$A$105,0)))&gt;1000000000),"",INDEX(CATALOGO!$H$6:$H$105,MATCH(A54,CATALOGO!$A$6:$A$105,0))+INDEX(CATALOGO!$I$6:$I$105,MATCH(A54,CATALOGO!$A$6:$A$105,0)))),"")</f>
        <v/>
      </c>
      <c r="R54" s="9" t="str">
        <f>IF(OR(A54="",I54="",COUNTIF(CATALOGO!$A$6:$A$105,A54)&lt;&gt;1),"",IF(I54=0,0,IF(OR(Q54="",INDEX(CATALOGO!$N$6:$N$105,MATCH(A54,CATALOGO!$A$6:$A$105,0))="",INDEX(CATALOGO!$O$6:$O$105,MATCH(A54,CATALOGO!$A$6:$A$105,0))="",INDEX(CATALOGO!$O$6:$O$105,MATCH(A54,CATALOGO!$A$6:$A$105,0))&lt;=0),"",IF(OR(I54&lt;INDEX(CATALOGO!$N$6:$N$105,MATCH(A54,CATALOGO!$A$6:$A$105,0)),MOD(I54,INDEX(CATALOGO!$O$6:$O$105,MATCH(A54,CATALOGO!$A$6:$A$105,0)))&lt;&gt;0,J54="",J54&lt;=CONFIG!$B$5,J54&gt;CONFIG!$B$5+91),"",I54*Q54))))</f>
        <v/>
      </c>
      <c r="S54" s="12" t="str">
        <f>IF(A54="","",IF(COUNTIF(CATALOGO!$A$6:$A$105,A54)&lt;&gt;1,"SKU NO VALIDO",IF(I54="","CANTIDAD DESCONOCIDA",IF(I54=0,"SIN COMPRA ELEGIDA",IF(OR(I54&lt;0,I54&gt;1000000),"CANTIDAD INVALIDA",IF(OR(INDEX(CATALOGO!$N$6:$N$105,MATCH(A54,CATALOGO!$A$6:$A$105,0))="",INDEX(CATALOGO!$O$6:$O$105,MATCH(A54,CATALOGO!$A$6:$A$105,0))="",INDEX(CATALOGO!$O$6:$O$105,MATCH(A54,CATALOGO!$A$6:$A$105,0))&lt;=0),"CATALOGO A REVISAR",IF(OR(I54&lt;INDEX(CATALOGO!$N$6:$N$105,MATCH(A54,CATALOGO!$A$6:$A$105,0)),MOD(I54,INDEX(CATALOGO!$O$6:$O$105,MATCH(A54,CATALOGO!$A$6:$A$105,0)))&lt;&gt;0),"NO RESPETA MOQ/PACK",IF(J54="","FALTA FECHA PAGO",IF(Q54="","COSTO DESCONOCIDO",IF(OR(J54&lt;=CONFIG!$B$5,J54&gt;CONFIG!$B$5+91),"FUERA DE 91 DIAS",IF(AND(P54&lt;&gt;"",I54&gt;P54),"EN MODELO · SUPERA PROPUESTA","EN MODELO")))))))))))</f>
        <v/>
      </c>
    </row>
    <row r="55" spans="1:19" x14ac:dyDescent="0.45">
      <c r="A55" s="8"/>
      <c r="B55" s="4"/>
      <c r="C55" s="5"/>
      <c r="D55" s="5"/>
      <c r="E55" s="5"/>
      <c r="F55" s="4"/>
      <c r="G55" s="8"/>
      <c r="H55" s="5"/>
      <c r="I55" s="5"/>
      <c r="J55" s="4"/>
      <c r="K55" s="12" t="str">
        <f>IFERROR(IF(A55="","",IF(COUNTIF($A$6:$A$105,A55)&gt;1,"DUPLICADO STOCK",IF(COUNTIF(CATALOGO!$A$6:$A$105,A55)&lt;&gt;1,"SKU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INVALIDA",IF(INDEX(CATALOGO!$F$6:$F$105,MATCH(A55,CATALOGO!$A$6:$A$105,0))&lt;&gt;"ACTIVO",INDEX(CATALOGO!$F$6:$F$105,MATCH(A55,CATALOGO!$A$6:$A$105,0)),IF(OR(B55="",B55&lt;&gt;CONFIG!$B$5),"CONTEO NO VIGENTE",IF(OR(C55="",D55="",E55="",H55=""),"FALTA CAMPO",IF(OR(C55&lt;0,C55&gt;1000000,D55&lt;0,D55&gt;1000000,E55&lt;0,E55&gt;1000000,D55&gt;C55),"REVISAR VALOR",IF(H55&gt;CONFIG!$B$6,"EXPOSICION FUERA DE RANGO",IF(H55&lt;&gt;CONFIG!$B$6,"DISPONIBILIDAD INCOMPLETA",IF(CONFIG!$B$14&lt;&gt;"SI","VENTAS INCOMPLETAS",IF(CONFIG!$B$12&lt;&gt;"SI","POLITICA SIN REVISAR",IF(SUMPRODUCT(--(VENTAS!$B$6:$B$1005=A55),--(VENTAS!$A$6:$A$1005&gt;=CONFIG!$B$5-CONFIG!$B$6+1),--(VENTAS!$A$6:$A$1005&lt;=CONFIG!$B$5),--(VENTAS!$I$6:$I$1005&lt;&gt;""),--(VENTAS!$I$6:$I$1005&lt;&gt;"OK"))&gt;0,"VENTAS A REVISAR",IF(AND(E55&gt;0,OR(F55="",G55&lt;&gt;"SI")),"TRANSITO SIN CONFIRMAR",IF(AND(E55&gt;0,G55="SI",OR(F55&lt;=CONFIG!$B$5,F55&gt;CONFIG!$B$5+INDEX(CATALOGO!$M$6:$M$105,MATCH(A55,CATALOGO!$A$6:$A$105,0)))),"TRANSITO FUERA DEL PLAZO",IF(INDEX(CATALOGO!$T$6:$T$105,MATCH(A55,CATALOGO!$A$6:$A$105,0))&lt;&gt;"OK","CATALOGO A REVISAR",IF(1-INDEX(CATALOGO!$K$6:$K$105,MATCH(A55,CATALOGO!$A$6:$A$105,0))-CONFIG!$B$8&lt;=0,"MARGEN OBJETIVO INVIABLE",IF(INDEX(CATALOGO!$R$6:$R$105,MATCH(A55,CATALOGO!$A$6:$A$105,0))&lt;CONFIG!$B$8,"REVISAR PRECIO O COSTO","ELEGIBLE")))))))))))))))))),"CONFIG INVALIDA")</f>
        <v/>
      </c>
      <c r="L55" s="13" t="str">
        <f t="shared" si="1"/>
        <v/>
      </c>
      <c r="M55" s="12" t="str">
        <f>IFERROR(IF(OR(A55="",CONFIG!$B$14&lt;&gt;"SI",CONFIG!$B$6&lt;1,CONFIG!$B$6&gt;365,CONFIG!$B$6&lt;&gt;INT(CONFIG!$B$6),SUMPRODUCT(--(VENTAS!$B$6:$B$1005=A55),--(VENTAS!$A$6:$A$1005&gt;=CONFIG!$B$5-CONFIG!$B$6+1),--(VENTAS!$A$6:$A$1005&lt;=CONFIG!$B$5),--(VENTAS!$I$6:$I$1005&lt;&gt;""),--(VENTAS!$I$6:$I$1005&lt;&gt;"OK"))&gt;0),"",MAX(0,(SUMIFS(VENTAS!$C$6:$C$1005,VENTAS!$B$6:$B$1005,A55,VENTAS!$A$6:$A$1005,"&gt;="&amp;CONFIG!$B$5-CONFIG!$B$6+1,VENTAS!$A$6:$A$1005,"&lt;="&amp;CONFIG!$B$5)-SUMIFS(VENTAS!$E$6:$E$1005,VENTAS!$B$6:$B$1005,A55,VENTAS!$A$6:$A$1005,"&gt;="&amp;CONFIG!$B$5-CONFIG!$B$6+1,VENTAS!$A$6:$A$1005,"&lt;="&amp;CONFIG!$B$5))/CONFIG!$B$6)),"")</f>
        <v/>
      </c>
      <c r="N55" s="14" t="str">
        <f>IF(K55&lt;&gt;"ELEGIBLE","",IF(AND(E55&gt;0,G55="SI",F55&gt;CONFIG!$B$5,F55&lt;=CONFIG!$B$5+INDEX(CATALOGO!$M$6:$M$105,MATCH(A55,CATALOGO!$A$6:$A$105,0))),E55,0))</f>
        <v/>
      </c>
      <c r="O55" s="14" t="str">
        <f>IF(K55&lt;&gt;"ELEGIBLE","",MAX(0,ROUNDUP(ROUND(M55*(INDEX(CATALOGO!$M$6:$M$105,MATCH(A55,CATALOGO!$A$6:$A$105,0))+CONFIG!$B$7)-L55-N55,10),0)))</f>
        <v/>
      </c>
      <c r="P55" s="14" t="str">
        <f>IF(O55="","",IF(O55=0,0,ROUNDUP(MAX(O55,INDEX(CATALOGO!$N$6:$N$105,MATCH(A55,CATALOGO!$A$6:$A$105,0)))/INDEX(CATALOGO!$O$6:$O$105,MATCH(A55,CATALOGO!$A$6:$A$105,0)),0)*INDEX(CATALOGO!$O$6:$O$105,MATCH(A55,CATALOGO!$A$6:$A$105,0))))</f>
        <v/>
      </c>
      <c r="Q55" s="11" t="str">
        <f>IFERROR(IF(OR(A55="",COUNTIF(CATALOGO!$A$6:$A$105,A55)&lt;&gt;1),"",IF(OR(INDEX(CATALOGO!$H$6:$H$105,MATCH(A55,CATALOGO!$A$6:$A$105,0))="",INDEX(CATALOGO!$I$6:$I$105,MATCH(A55,CATALOGO!$A$6:$A$105,0))="",ABS(INDEX(CATALOGO!$H$6:$H$105,MATCH(A55,CATALOGO!$A$6:$A$105,0)))&gt;1000000000,ABS(INDEX(CATALOGO!$I$6:$I$105,MATCH(A55,CATALOGO!$A$6:$A$105,0)))&gt;1000000000),"",INDEX(CATALOGO!$H$6:$H$105,MATCH(A55,CATALOGO!$A$6:$A$105,0))+INDEX(CATALOGO!$I$6:$I$105,MATCH(A55,CATALOGO!$A$6:$A$105,0)))),"")</f>
        <v/>
      </c>
      <c r="R55" s="9" t="str">
        <f>IF(OR(A55="",I55="",COUNTIF(CATALOGO!$A$6:$A$105,A55)&lt;&gt;1),"",IF(I55=0,0,IF(OR(Q55="",INDEX(CATALOGO!$N$6:$N$105,MATCH(A55,CATALOGO!$A$6:$A$105,0))="",INDEX(CATALOGO!$O$6:$O$105,MATCH(A55,CATALOGO!$A$6:$A$105,0))="",INDEX(CATALOGO!$O$6:$O$105,MATCH(A55,CATALOGO!$A$6:$A$105,0))&lt;=0),"",IF(OR(I55&lt;INDEX(CATALOGO!$N$6:$N$105,MATCH(A55,CATALOGO!$A$6:$A$105,0)),MOD(I55,INDEX(CATALOGO!$O$6:$O$105,MATCH(A55,CATALOGO!$A$6:$A$105,0)))&lt;&gt;0,J55="",J55&lt;=CONFIG!$B$5,J55&gt;CONFIG!$B$5+91),"",I55*Q55))))</f>
        <v/>
      </c>
      <c r="S55" s="12" t="str">
        <f>IF(A55="","",IF(COUNTIF(CATALOGO!$A$6:$A$105,A55)&lt;&gt;1,"SKU NO VALIDO",IF(I55="","CANTIDAD DESCONOCIDA",IF(I55=0,"SIN COMPRA ELEGIDA",IF(OR(I55&lt;0,I55&gt;1000000),"CANTIDAD INVALIDA",IF(OR(INDEX(CATALOGO!$N$6:$N$105,MATCH(A55,CATALOGO!$A$6:$A$105,0))="",INDEX(CATALOGO!$O$6:$O$105,MATCH(A55,CATALOGO!$A$6:$A$105,0))="",INDEX(CATALOGO!$O$6:$O$105,MATCH(A55,CATALOGO!$A$6:$A$105,0))&lt;=0),"CATALOGO A REVISAR",IF(OR(I55&lt;INDEX(CATALOGO!$N$6:$N$105,MATCH(A55,CATALOGO!$A$6:$A$105,0)),MOD(I55,INDEX(CATALOGO!$O$6:$O$105,MATCH(A55,CATALOGO!$A$6:$A$105,0)))&lt;&gt;0),"NO RESPETA MOQ/PACK",IF(J55="","FALTA FECHA PAGO",IF(Q55="","COSTO DESCONOCIDO",IF(OR(J55&lt;=CONFIG!$B$5,J55&gt;CONFIG!$B$5+91),"FUERA DE 91 DIAS",IF(AND(P55&lt;&gt;"",I55&gt;P55),"EN MODELO · SUPERA PROPUESTA","EN MODELO")))))))))))</f>
        <v/>
      </c>
    </row>
    <row r="56" spans="1:19" x14ac:dyDescent="0.45">
      <c r="A56" s="8"/>
      <c r="B56" s="4"/>
      <c r="C56" s="5"/>
      <c r="D56" s="5"/>
      <c r="E56" s="5"/>
      <c r="F56" s="4"/>
      <c r="G56" s="8"/>
      <c r="H56" s="5"/>
      <c r="I56" s="5"/>
      <c r="J56" s="4"/>
      <c r="K56" s="12" t="str">
        <f>IFERROR(IF(A56="","",IF(COUNTIF($A$6:$A$105,A56)&gt;1,"DUPLICADO STOCK",IF(COUNTIF(CATALOGO!$A$6:$A$105,A56)&lt;&gt;1,"SKU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INVALIDA",IF(INDEX(CATALOGO!$F$6:$F$105,MATCH(A56,CATALOGO!$A$6:$A$105,0))&lt;&gt;"ACTIVO",INDEX(CATALOGO!$F$6:$F$105,MATCH(A56,CATALOGO!$A$6:$A$105,0)),IF(OR(B56="",B56&lt;&gt;CONFIG!$B$5),"CONTEO NO VIGENTE",IF(OR(C56="",D56="",E56="",H56=""),"FALTA CAMPO",IF(OR(C56&lt;0,C56&gt;1000000,D56&lt;0,D56&gt;1000000,E56&lt;0,E56&gt;1000000,D56&gt;C56),"REVISAR VALOR",IF(H56&gt;CONFIG!$B$6,"EXPOSICION FUERA DE RANGO",IF(H56&lt;&gt;CONFIG!$B$6,"DISPONIBILIDAD INCOMPLETA",IF(CONFIG!$B$14&lt;&gt;"SI","VENTAS INCOMPLETAS",IF(CONFIG!$B$12&lt;&gt;"SI","POLITICA SIN REVISAR",IF(SUMPRODUCT(--(VENTAS!$B$6:$B$1005=A56),--(VENTAS!$A$6:$A$1005&gt;=CONFIG!$B$5-CONFIG!$B$6+1),--(VENTAS!$A$6:$A$1005&lt;=CONFIG!$B$5),--(VENTAS!$I$6:$I$1005&lt;&gt;""),--(VENTAS!$I$6:$I$1005&lt;&gt;"OK"))&gt;0,"VENTAS A REVISAR",IF(AND(E56&gt;0,OR(F56="",G56&lt;&gt;"SI")),"TRANSITO SIN CONFIRMAR",IF(AND(E56&gt;0,G56="SI",OR(F56&lt;=CONFIG!$B$5,F56&gt;CONFIG!$B$5+INDEX(CATALOGO!$M$6:$M$105,MATCH(A56,CATALOGO!$A$6:$A$105,0)))),"TRANSITO FUERA DEL PLAZO",IF(INDEX(CATALOGO!$T$6:$T$105,MATCH(A56,CATALOGO!$A$6:$A$105,0))&lt;&gt;"OK","CATALOGO A REVISAR",IF(1-INDEX(CATALOGO!$K$6:$K$105,MATCH(A56,CATALOGO!$A$6:$A$105,0))-CONFIG!$B$8&lt;=0,"MARGEN OBJETIVO INVIABLE",IF(INDEX(CATALOGO!$R$6:$R$105,MATCH(A56,CATALOGO!$A$6:$A$105,0))&lt;CONFIG!$B$8,"REVISAR PRECIO O COSTO","ELEGIBLE")))))))))))))))))),"CONFIG INVALIDA")</f>
        <v/>
      </c>
      <c r="L56" s="13" t="str">
        <f t="shared" si="1"/>
        <v/>
      </c>
      <c r="M56" s="12" t="str">
        <f>IFERROR(IF(OR(A56="",CONFIG!$B$14&lt;&gt;"SI",CONFIG!$B$6&lt;1,CONFIG!$B$6&gt;365,CONFIG!$B$6&lt;&gt;INT(CONFIG!$B$6),SUMPRODUCT(--(VENTAS!$B$6:$B$1005=A56),--(VENTAS!$A$6:$A$1005&gt;=CONFIG!$B$5-CONFIG!$B$6+1),--(VENTAS!$A$6:$A$1005&lt;=CONFIG!$B$5),--(VENTAS!$I$6:$I$1005&lt;&gt;""),--(VENTAS!$I$6:$I$1005&lt;&gt;"OK"))&gt;0),"",MAX(0,(SUMIFS(VENTAS!$C$6:$C$1005,VENTAS!$B$6:$B$1005,A56,VENTAS!$A$6:$A$1005,"&gt;="&amp;CONFIG!$B$5-CONFIG!$B$6+1,VENTAS!$A$6:$A$1005,"&lt;="&amp;CONFIG!$B$5)-SUMIFS(VENTAS!$E$6:$E$1005,VENTAS!$B$6:$B$1005,A56,VENTAS!$A$6:$A$1005,"&gt;="&amp;CONFIG!$B$5-CONFIG!$B$6+1,VENTAS!$A$6:$A$1005,"&lt;="&amp;CONFIG!$B$5))/CONFIG!$B$6)),"")</f>
        <v/>
      </c>
      <c r="N56" s="14" t="str">
        <f>IF(K56&lt;&gt;"ELEGIBLE","",IF(AND(E56&gt;0,G56="SI",F56&gt;CONFIG!$B$5,F56&lt;=CONFIG!$B$5+INDEX(CATALOGO!$M$6:$M$105,MATCH(A56,CATALOGO!$A$6:$A$105,0))),E56,0))</f>
        <v/>
      </c>
      <c r="O56" s="14" t="str">
        <f>IF(K56&lt;&gt;"ELEGIBLE","",MAX(0,ROUNDUP(ROUND(M56*(INDEX(CATALOGO!$M$6:$M$105,MATCH(A56,CATALOGO!$A$6:$A$105,0))+CONFIG!$B$7)-L56-N56,10),0)))</f>
        <v/>
      </c>
      <c r="P56" s="14" t="str">
        <f>IF(O56="","",IF(O56=0,0,ROUNDUP(MAX(O56,INDEX(CATALOGO!$N$6:$N$105,MATCH(A56,CATALOGO!$A$6:$A$105,0)))/INDEX(CATALOGO!$O$6:$O$105,MATCH(A56,CATALOGO!$A$6:$A$105,0)),0)*INDEX(CATALOGO!$O$6:$O$105,MATCH(A56,CATALOGO!$A$6:$A$105,0))))</f>
        <v/>
      </c>
      <c r="Q56" s="11" t="str">
        <f>IFERROR(IF(OR(A56="",COUNTIF(CATALOGO!$A$6:$A$105,A56)&lt;&gt;1),"",IF(OR(INDEX(CATALOGO!$H$6:$H$105,MATCH(A56,CATALOGO!$A$6:$A$105,0))="",INDEX(CATALOGO!$I$6:$I$105,MATCH(A56,CATALOGO!$A$6:$A$105,0))="",ABS(INDEX(CATALOGO!$H$6:$H$105,MATCH(A56,CATALOGO!$A$6:$A$105,0)))&gt;1000000000,ABS(INDEX(CATALOGO!$I$6:$I$105,MATCH(A56,CATALOGO!$A$6:$A$105,0)))&gt;1000000000),"",INDEX(CATALOGO!$H$6:$H$105,MATCH(A56,CATALOGO!$A$6:$A$105,0))+INDEX(CATALOGO!$I$6:$I$105,MATCH(A56,CATALOGO!$A$6:$A$105,0)))),"")</f>
        <v/>
      </c>
      <c r="R56" s="9" t="str">
        <f>IF(OR(A56="",I56="",COUNTIF(CATALOGO!$A$6:$A$105,A56)&lt;&gt;1),"",IF(I56=0,0,IF(OR(Q56="",INDEX(CATALOGO!$N$6:$N$105,MATCH(A56,CATALOGO!$A$6:$A$105,0))="",INDEX(CATALOGO!$O$6:$O$105,MATCH(A56,CATALOGO!$A$6:$A$105,0))="",INDEX(CATALOGO!$O$6:$O$105,MATCH(A56,CATALOGO!$A$6:$A$105,0))&lt;=0),"",IF(OR(I56&lt;INDEX(CATALOGO!$N$6:$N$105,MATCH(A56,CATALOGO!$A$6:$A$105,0)),MOD(I56,INDEX(CATALOGO!$O$6:$O$105,MATCH(A56,CATALOGO!$A$6:$A$105,0)))&lt;&gt;0,J56="",J56&lt;=CONFIG!$B$5,J56&gt;CONFIG!$B$5+91),"",I56*Q56))))</f>
        <v/>
      </c>
      <c r="S56" s="12" t="str">
        <f>IF(A56="","",IF(COUNTIF(CATALOGO!$A$6:$A$105,A56)&lt;&gt;1,"SKU NO VALIDO",IF(I56="","CANTIDAD DESCONOCIDA",IF(I56=0,"SIN COMPRA ELEGIDA",IF(OR(I56&lt;0,I56&gt;1000000),"CANTIDAD INVALIDA",IF(OR(INDEX(CATALOGO!$N$6:$N$105,MATCH(A56,CATALOGO!$A$6:$A$105,0))="",INDEX(CATALOGO!$O$6:$O$105,MATCH(A56,CATALOGO!$A$6:$A$105,0))="",INDEX(CATALOGO!$O$6:$O$105,MATCH(A56,CATALOGO!$A$6:$A$105,0))&lt;=0),"CATALOGO A REVISAR",IF(OR(I56&lt;INDEX(CATALOGO!$N$6:$N$105,MATCH(A56,CATALOGO!$A$6:$A$105,0)),MOD(I56,INDEX(CATALOGO!$O$6:$O$105,MATCH(A56,CATALOGO!$A$6:$A$105,0)))&lt;&gt;0),"NO RESPETA MOQ/PACK",IF(J56="","FALTA FECHA PAGO",IF(Q56="","COSTO DESCONOCIDO",IF(OR(J56&lt;=CONFIG!$B$5,J56&gt;CONFIG!$B$5+91),"FUERA DE 91 DIAS",IF(AND(P56&lt;&gt;"",I56&gt;P56),"EN MODELO · SUPERA PROPUESTA","EN MODELO")))))))))))</f>
        <v/>
      </c>
    </row>
    <row r="57" spans="1:19" x14ac:dyDescent="0.45">
      <c r="A57" s="8"/>
      <c r="B57" s="4"/>
      <c r="C57" s="5"/>
      <c r="D57" s="5"/>
      <c r="E57" s="5"/>
      <c r="F57" s="4"/>
      <c r="G57" s="8"/>
      <c r="H57" s="5"/>
      <c r="I57" s="5"/>
      <c r="J57" s="4"/>
      <c r="K57" s="12" t="str">
        <f>IFERROR(IF(A57="","",IF(COUNTIF($A$6:$A$105,A57)&gt;1,"DUPLICADO STOCK",IF(COUNTIF(CATALOGO!$A$6:$A$105,A57)&lt;&gt;1,"SKU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INVALIDA",IF(INDEX(CATALOGO!$F$6:$F$105,MATCH(A57,CATALOGO!$A$6:$A$105,0))&lt;&gt;"ACTIVO",INDEX(CATALOGO!$F$6:$F$105,MATCH(A57,CATALOGO!$A$6:$A$105,0)),IF(OR(B57="",B57&lt;&gt;CONFIG!$B$5),"CONTEO NO VIGENTE",IF(OR(C57="",D57="",E57="",H57=""),"FALTA CAMPO",IF(OR(C57&lt;0,C57&gt;1000000,D57&lt;0,D57&gt;1000000,E57&lt;0,E57&gt;1000000,D57&gt;C57),"REVISAR VALOR",IF(H57&gt;CONFIG!$B$6,"EXPOSICION FUERA DE RANGO",IF(H57&lt;&gt;CONFIG!$B$6,"DISPONIBILIDAD INCOMPLETA",IF(CONFIG!$B$14&lt;&gt;"SI","VENTAS INCOMPLETAS",IF(CONFIG!$B$12&lt;&gt;"SI","POLITICA SIN REVISAR",IF(SUMPRODUCT(--(VENTAS!$B$6:$B$1005=A57),--(VENTAS!$A$6:$A$1005&gt;=CONFIG!$B$5-CONFIG!$B$6+1),--(VENTAS!$A$6:$A$1005&lt;=CONFIG!$B$5),--(VENTAS!$I$6:$I$1005&lt;&gt;""),--(VENTAS!$I$6:$I$1005&lt;&gt;"OK"))&gt;0,"VENTAS A REVISAR",IF(AND(E57&gt;0,OR(F57="",G57&lt;&gt;"SI")),"TRANSITO SIN CONFIRMAR",IF(AND(E57&gt;0,G57="SI",OR(F57&lt;=CONFIG!$B$5,F57&gt;CONFIG!$B$5+INDEX(CATALOGO!$M$6:$M$105,MATCH(A57,CATALOGO!$A$6:$A$105,0)))),"TRANSITO FUERA DEL PLAZO",IF(INDEX(CATALOGO!$T$6:$T$105,MATCH(A57,CATALOGO!$A$6:$A$105,0))&lt;&gt;"OK","CATALOGO A REVISAR",IF(1-INDEX(CATALOGO!$K$6:$K$105,MATCH(A57,CATALOGO!$A$6:$A$105,0))-CONFIG!$B$8&lt;=0,"MARGEN OBJETIVO INVIABLE",IF(INDEX(CATALOGO!$R$6:$R$105,MATCH(A57,CATALOGO!$A$6:$A$105,0))&lt;CONFIG!$B$8,"REVISAR PRECIO O COSTO","ELEGIBLE")))))))))))))))))),"CONFIG INVALIDA")</f>
        <v/>
      </c>
      <c r="L57" s="13" t="str">
        <f t="shared" si="1"/>
        <v/>
      </c>
      <c r="M57" s="12" t="str">
        <f>IFERROR(IF(OR(A57="",CONFIG!$B$14&lt;&gt;"SI",CONFIG!$B$6&lt;1,CONFIG!$B$6&gt;365,CONFIG!$B$6&lt;&gt;INT(CONFIG!$B$6),SUMPRODUCT(--(VENTAS!$B$6:$B$1005=A57),--(VENTAS!$A$6:$A$1005&gt;=CONFIG!$B$5-CONFIG!$B$6+1),--(VENTAS!$A$6:$A$1005&lt;=CONFIG!$B$5),--(VENTAS!$I$6:$I$1005&lt;&gt;""),--(VENTAS!$I$6:$I$1005&lt;&gt;"OK"))&gt;0),"",MAX(0,(SUMIFS(VENTAS!$C$6:$C$1005,VENTAS!$B$6:$B$1005,A57,VENTAS!$A$6:$A$1005,"&gt;="&amp;CONFIG!$B$5-CONFIG!$B$6+1,VENTAS!$A$6:$A$1005,"&lt;="&amp;CONFIG!$B$5)-SUMIFS(VENTAS!$E$6:$E$1005,VENTAS!$B$6:$B$1005,A57,VENTAS!$A$6:$A$1005,"&gt;="&amp;CONFIG!$B$5-CONFIG!$B$6+1,VENTAS!$A$6:$A$1005,"&lt;="&amp;CONFIG!$B$5))/CONFIG!$B$6)),"")</f>
        <v/>
      </c>
      <c r="N57" s="14" t="str">
        <f>IF(K57&lt;&gt;"ELEGIBLE","",IF(AND(E57&gt;0,G57="SI",F57&gt;CONFIG!$B$5,F57&lt;=CONFIG!$B$5+INDEX(CATALOGO!$M$6:$M$105,MATCH(A57,CATALOGO!$A$6:$A$105,0))),E57,0))</f>
        <v/>
      </c>
      <c r="O57" s="14" t="str">
        <f>IF(K57&lt;&gt;"ELEGIBLE","",MAX(0,ROUNDUP(ROUND(M57*(INDEX(CATALOGO!$M$6:$M$105,MATCH(A57,CATALOGO!$A$6:$A$105,0))+CONFIG!$B$7)-L57-N57,10),0)))</f>
        <v/>
      </c>
      <c r="P57" s="14" t="str">
        <f>IF(O57="","",IF(O57=0,0,ROUNDUP(MAX(O57,INDEX(CATALOGO!$N$6:$N$105,MATCH(A57,CATALOGO!$A$6:$A$105,0)))/INDEX(CATALOGO!$O$6:$O$105,MATCH(A57,CATALOGO!$A$6:$A$105,0)),0)*INDEX(CATALOGO!$O$6:$O$105,MATCH(A57,CATALOGO!$A$6:$A$105,0))))</f>
        <v/>
      </c>
      <c r="Q57" s="11" t="str">
        <f>IFERROR(IF(OR(A57="",COUNTIF(CATALOGO!$A$6:$A$105,A57)&lt;&gt;1),"",IF(OR(INDEX(CATALOGO!$H$6:$H$105,MATCH(A57,CATALOGO!$A$6:$A$105,0))="",INDEX(CATALOGO!$I$6:$I$105,MATCH(A57,CATALOGO!$A$6:$A$105,0))="",ABS(INDEX(CATALOGO!$H$6:$H$105,MATCH(A57,CATALOGO!$A$6:$A$105,0)))&gt;1000000000,ABS(INDEX(CATALOGO!$I$6:$I$105,MATCH(A57,CATALOGO!$A$6:$A$105,0)))&gt;1000000000),"",INDEX(CATALOGO!$H$6:$H$105,MATCH(A57,CATALOGO!$A$6:$A$105,0))+INDEX(CATALOGO!$I$6:$I$105,MATCH(A57,CATALOGO!$A$6:$A$105,0)))),"")</f>
        <v/>
      </c>
      <c r="R57" s="9" t="str">
        <f>IF(OR(A57="",I57="",COUNTIF(CATALOGO!$A$6:$A$105,A57)&lt;&gt;1),"",IF(I57=0,0,IF(OR(Q57="",INDEX(CATALOGO!$N$6:$N$105,MATCH(A57,CATALOGO!$A$6:$A$105,0))="",INDEX(CATALOGO!$O$6:$O$105,MATCH(A57,CATALOGO!$A$6:$A$105,0))="",INDEX(CATALOGO!$O$6:$O$105,MATCH(A57,CATALOGO!$A$6:$A$105,0))&lt;=0),"",IF(OR(I57&lt;INDEX(CATALOGO!$N$6:$N$105,MATCH(A57,CATALOGO!$A$6:$A$105,0)),MOD(I57,INDEX(CATALOGO!$O$6:$O$105,MATCH(A57,CATALOGO!$A$6:$A$105,0)))&lt;&gt;0,J57="",J57&lt;=CONFIG!$B$5,J57&gt;CONFIG!$B$5+91),"",I57*Q57))))</f>
        <v/>
      </c>
      <c r="S57" s="12" t="str">
        <f>IF(A57="","",IF(COUNTIF(CATALOGO!$A$6:$A$105,A57)&lt;&gt;1,"SKU NO VALIDO",IF(I57="","CANTIDAD DESCONOCIDA",IF(I57=0,"SIN COMPRA ELEGIDA",IF(OR(I57&lt;0,I57&gt;1000000),"CANTIDAD INVALIDA",IF(OR(INDEX(CATALOGO!$N$6:$N$105,MATCH(A57,CATALOGO!$A$6:$A$105,0))="",INDEX(CATALOGO!$O$6:$O$105,MATCH(A57,CATALOGO!$A$6:$A$105,0))="",INDEX(CATALOGO!$O$6:$O$105,MATCH(A57,CATALOGO!$A$6:$A$105,0))&lt;=0),"CATALOGO A REVISAR",IF(OR(I57&lt;INDEX(CATALOGO!$N$6:$N$105,MATCH(A57,CATALOGO!$A$6:$A$105,0)),MOD(I57,INDEX(CATALOGO!$O$6:$O$105,MATCH(A57,CATALOGO!$A$6:$A$105,0)))&lt;&gt;0),"NO RESPETA MOQ/PACK",IF(J57="","FALTA FECHA PAGO",IF(Q57="","COSTO DESCONOCIDO",IF(OR(J57&lt;=CONFIG!$B$5,J57&gt;CONFIG!$B$5+91),"FUERA DE 91 DIAS",IF(AND(P57&lt;&gt;"",I57&gt;P57),"EN MODELO · SUPERA PROPUESTA","EN MODELO")))))))))))</f>
        <v/>
      </c>
    </row>
    <row r="58" spans="1:19" x14ac:dyDescent="0.45">
      <c r="A58" s="8"/>
      <c r="B58" s="4"/>
      <c r="C58" s="5"/>
      <c r="D58" s="5"/>
      <c r="E58" s="5"/>
      <c r="F58" s="4"/>
      <c r="G58" s="8"/>
      <c r="H58" s="5"/>
      <c r="I58" s="5"/>
      <c r="J58" s="4"/>
      <c r="K58" s="12" t="str">
        <f>IFERROR(IF(A58="","",IF(COUNTIF($A$6:$A$105,A58)&gt;1,"DUPLICADO STOCK",IF(COUNTIF(CATALOGO!$A$6:$A$105,A58)&lt;&gt;1,"SKU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INVALIDA",IF(INDEX(CATALOGO!$F$6:$F$105,MATCH(A58,CATALOGO!$A$6:$A$105,0))&lt;&gt;"ACTIVO",INDEX(CATALOGO!$F$6:$F$105,MATCH(A58,CATALOGO!$A$6:$A$105,0)),IF(OR(B58="",B58&lt;&gt;CONFIG!$B$5),"CONTEO NO VIGENTE",IF(OR(C58="",D58="",E58="",H58=""),"FALTA CAMPO",IF(OR(C58&lt;0,C58&gt;1000000,D58&lt;0,D58&gt;1000000,E58&lt;0,E58&gt;1000000,D58&gt;C58),"REVISAR VALOR",IF(H58&gt;CONFIG!$B$6,"EXPOSICION FUERA DE RANGO",IF(H58&lt;&gt;CONFIG!$B$6,"DISPONIBILIDAD INCOMPLETA",IF(CONFIG!$B$14&lt;&gt;"SI","VENTAS INCOMPLETAS",IF(CONFIG!$B$12&lt;&gt;"SI","POLITICA SIN REVISAR",IF(SUMPRODUCT(--(VENTAS!$B$6:$B$1005=A58),--(VENTAS!$A$6:$A$1005&gt;=CONFIG!$B$5-CONFIG!$B$6+1),--(VENTAS!$A$6:$A$1005&lt;=CONFIG!$B$5),--(VENTAS!$I$6:$I$1005&lt;&gt;""),--(VENTAS!$I$6:$I$1005&lt;&gt;"OK"))&gt;0,"VENTAS A REVISAR",IF(AND(E58&gt;0,OR(F58="",G58&lt;&gt;"SI")),"TRANSITO SIN CONFIRMAR",IF(AND(E58&gt;0,G58="SI",OR(F58&lt;=CONFIG!$B$5,F58&gt;CONFIG!$B$5+INDEX(CATALOGO!$M$6:$M$105,MATCH(A58,CATALOGO!$A$6:$A$105,0)))),"TRANSITO FUERA DEL PLAZO",IF(INDEX(CATALOGO!$T$6:$T$105,MATCH(A58,CATALOGO!$A$6:$A$105,0))&lt;&gt;"OK","CATALOGO A REVISAR",IF(1-INDEX(CATALOGO!$K$6:$K$105,MATCH(A58,CATALOGO!$A$6:$A$105,0))-CONFIG!$B$8&lt;=0,"MARGEN OBJETIVO INVIABLE",IF(INDEX(CATALOGO!$R$6:$R$105,MATCH(A58,CATALOGO!$A$6:$A$105,0))&lt;CONFIG!$B$8,"REVISAR PRECIO O COSTO","ELEGIBLE")))))))))))))))))),"CONFIG INVALIDA")</f>
        <v/>
      </c>
      <c r="L58" s="13" t="str">
        <f t="shared" si="1"/>
        <v/>
      </c>
      <c r="M58" s="12" t="str">
        <f>IFERROR(IF(OR(A58="",CONFIG!$B$14&lt;&gt;"SI",CONFIG!$B$6&lt;1,CONFIG!$B$6&gt;365,CONFIG!$B$6&lt;&gt;INT(CONFIG!$B$6),SUMPRODUCT(--(VENTAS!$B$6:$B$1005=A58),--(VENTAS!$A$6:$A$1005&gt;=CONFIG!$B$5-CONFIG!$B$6+1),--(VENTAS!$A$6:$A$1005&lt;=CONFIG!$B$5),--(VENTAS!$I$6:$I$1005&lt;&gt;""),--(VENTAS!$I$6:$I$1005&lt;&gt;"OK"))&gt;0),"",MAX(0,(SUMIFS(VENTAS!$C$6:$C$1005,VENTAS!$B$6:$B$1005,A58,VENTAS!$A$6:$A$1005,"&gt;="&amp;CONFIG!$B$5-CONFIG!$B$6+1,VENTAS!$A$6:$A$1005,"&lt;="&amp;CONFIG!$B$5)-SUMIFS(VENTAS!$E$6:$E$1005,VENTAS!$B$6:$B$1005,A58,VENTAS!$A$6:$A$1005,"&gt;="&amp;CONFIG!$B$5-CONFIG!$B$6+1,VENTAS!$A$6:$A$1005,"&lt;="&amp;CONFIG!$B$5))/CONFIG!$B$6)),"")</f>
        <v/>
      </c>
      <c r="N58" s="14" t="str">
        <f>IF(K58&lt;&gt;"ELEGIBLE","",IF(AND(E58&gt;0,G58="SI",F58&gt;CONFIG!$B$5,F58&lt;=CONFIG!$B$5+INDEX(CATALOGO!$M$6:$M$105,MATCH(A58,CATALOGO!$A$6:$A$105,0))),E58,0))</f>
        <v/>
      </c>
      <c r="O58" s="14" t="str">
        <f>IF(K58&lt;&gt;"ELEGIBLE","",MAX(0,ROUNDUP(ROUND(M58*(INDEX(CATALOGO!$M$6:$M$105,MATCH(A58,CATALOGO!$A$6:$A$105,0))+CONFIG!$B$7)-L58-N58,10),0)))</f>
        <v/>
      </c>
      <c r="P58" s="14" t="str">
        <f>IF(O58="","",IF(O58=0,0,ROUNDUP(MAX(O58,INDEX(CATALOGO!$N$6:$N$105,MATCH(A58,CATALOGO!$A$6:$A$105,0)))/INDEX(CATALOGO!$O$6:$O$105,MATCH(A58,CATALOGO!$A$6:$A$105,0)),0)*INDEX(CATALOGO!$O$6:$O$105,MATCH(A58,CATALOGO!$A$6:$A$105,0))))</f>
        <v/>
      </c>
      <c r="Q58" s="11" t="str">
        <f>IFERROR(IF(OR(A58="",COUNTIF(CATALOGO!$A$6:$A$105,A58)&lt;&gt;1),"",IF(OR(INDEX(CATALOGO!$H$6:$H$105,MATCH(A58,CATALOGO!$A$6:$A$105,0))="",INDEX(CATALOGO!$I$6:$I$105,MATCH(A58,CATALOGO!$A$6:$A$105,0))="",ABS(INDEX(CATALOGO!$H$6:$H$105,MATCH(A58,CATALOGO!$A$6:$A$105,0)))&gt;1000000000,ABS(INDEX(CATALOGO!$I$6:$I$105,MATCH(A58,CATALOGO!$A$6:$A$105,0)))&gt;1000000000),"",INDEX(CATALOGO!$H$6:$H$105,MATCH(A58,CATALOGO!$A$6:$A$105,0))+INDEX(CATALOGO!$I$6:$I$105,MATCH(A58,CATALOGO!$A$6:$A$105,0)))),"")</f>
        <v/>
      </c>
      <c r="R58" s="9" t="str">
        <f>IF(OR(A58="",I58="",COUNTIF(CATALOGO!$A$6:$A$105,A58)&lt;&gt;1),"",IF(I58=0,0,IF(OR(Q58="",INDEX(CATALOGO!$N$6:$N$105,MATCH(A58,CATALOGO!$A$6:$A$105,0))="",INDEX(CATALOGO!$O$6:$O$105,MATCH(A58,CATALOGO!$A$6:$A$105,0))="",INDEX(CATALOGO!$O$6:$O$105,MATCH(A58,CATALOGO!$A$6:$A$105,0))&lt;=0),"",IF(OR(I58&lt;INDEX(CATALOGO!$N$6:$N$105,MATCH(A58,CATALOGO!$A$6:$A$105,0)),MOD(I58,INDEX(CATALOGO!$O$6:$O$105,MATCH(A58,CATALOGO!$A$6:$A$105,0)))&lt;&gt;0,J58="",J58&lt;=CONFIG!$B$5,J58&gt;CONFIG!$B$5+91),"",I58*Q58))))</f>
        <v/>
      </c>
      <c r="S58" s="12" t="str">
        <f>IF(A58="","",IF(COUNTIF(CATALOGO!$A$6:$A$105,A58)&lt;&gt;1,"SKU NO VALIDO",IF(I58="","CANTIDAD DESCONOCIDA",IF(I58=0,"SIN COMPRA ELEGIDA",IF(OR(I58&lt;0,I58&gt;1000000),"CANTIDAD INVALIDA",IF(OR(INDEX(CATALOGO!$N$6:$N$105,MATCH(A58,CATALOGO!$A$6:$A$105,0))="",INDEX(CATALOGO!$O$6:$O$105,MATCH(A58,CATALOGO!$A$6:$A$105,0))="",INDEX(CATALOGO!$O$6:$O$105,MATCH(A58,CATALOGO!$A$6:$A$105,0))&lt;=0),"CATALOGO A REVISAR",IF(OR(I58&lt;INDEX(CATALOGO!$N$6:$N$105,MATCH(A58,CATALOGO!$A$6:$A$105,0)),MOD(I58,INDEX(CATALOGO!$O$6:$O$105,MATCH(A58,CATALOGO!$A$6:$A$105,0)))&lt;&gt;0),"NO RESPETA MOQ/PACK",IF(J58="","FALTA FECHA PAGO",IF(Q58="","COSTO DESCONOCIDO",IF(OR(J58&lt;=CONFIG!$B$5,J58&gt;CONFIG!$B$5+91),"FUERA DE 91 DIAS",IF(AND(P58&lt;&gt;"",I58&gt;P58),"EN MODELO · SUPERA PROPUESTA","EN MODELO")))))))))))</f>
        <v/>
      </c>
    </row>
    <row r="59" spans="1:19" x14ac:dyDescent="0.45">
      <c r="A59" s="8"/>
      <c r="B59" s="4"/>
      <c r="C59" s="5"/>
      <c r="D59" s="5"/>
      <c r="E59" s="5"/>
      <c r="F59" s="4"/>
      <c r="G59" s="8"/>
      <c r="H59" s="5"/>
      <c r="I59" s="5"/>
      <c r="J59" s="4"/>
      <c r="K59" s="12" t="str">
        <f>IFERROR(IF(A59="","",IF(COUNTIF($A$6:$A$105,A59)&gt;1,"DUPLICADO STOCK",IF(COUNTIF(CATALOGO!$A$6:$A$105,A59)&lt;&gt;1,"SKU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INVALIDA",IF(INDEX(CATALOGO!$F$6:$F$105,MATCH(A59,CATALOGO!$A$6:$A$105,0))&lt;&gt;"ACTIVO",INDEX(CATALOGO!$F$6:$F$105,MATCH(A59,CATALOGO!$A$6:$A$105,0)),IF(OR(B59="",B59&lt;&gt;CONFIG!$B$5),"CONTEO NO VIGENTE",IF(OR(C59="",D59="",E59="",H59=""),"FALTA CAMPO",IF(OR(C59&lt;0,C59&gt;1000000,D59&lt;0,D59&gt;1000000,E59&lt;0,E59&gt;1000000,D59&gt;C59),"REVISAR VALOR",IF(H59&gt;CONFIG!$B$6,"EXPOSICION FUERA DE RANGO",IF(H59&lt;&gt;CONFIG!$B$6,"DISPONIBILIDAD INCOMPLETA",IF(CONFIG!$B$14&lt;&gt;"SI","VENTAS INCOMPLETAS",IF(CONFIG!$B$12&lt;&gt;"SI","POLITICA SIN REVISAR",IF(SUMPRODUCT(--(VENTAS!$B$6:$B$1005=A59),--(VENTAS!$A$6:$A$1005&gt;=CONFIG!$B$5-CONFIG!$B$6+1),--(VENTAS!$A$6:$A$1005&lt;=CONFIG!$B$5),--(VENTAS!$I$6:$I$1005&lt;&gt;""),--(VENTAS!$I$6:$I$1005&lt;&gt;"OK"))&gt;0,"VENTAS A REVISAR",IF(AND(E59&gt;0,OR(F59="",G59&lt;&gt;"SI")),"TRANSITO SIN CONFIRMAR",IF(AND(E59&gt;0,G59="SI",OR(F59&lt;=CONFIG!$B$5,F59&gt;CONFIG!$B$5+INDEX(CATALOGO!$M$6:$M$105,MATCH(A59,CATALOGO!$A$6:$A$105,0)))),"TRANSITO FUERA DEL PLAZO",IF(INDEX(CATALOGO!$T$6:$T$105,MATCH(A59,CATALOGO!$A$6:$A$105,0))&lt;&gt;"OK","CATALOGO A REVISAR",IF(1-INDEX(CATALOGO!$K$6:$K$105,MATCH(A59,CATALOGO!$A$6:$A$105,0))-CONFIG!$B$8&lt;=0,"MARGEN OBJETIVO INVIABLE",IF(INDEX(CATALOGO!$R$6:$R$105,MATCH(A59,CATALOGO!$A$6:$A$105,0))&lt;CONFIG!$B$8,"REVISAR PRECIO O COSTO","ELEGIBLE")))))))))))))))))),"CONFIG INVALIDA")</f>
        <v/>
      </c>
      <c r="L59" s="13" t="str">
        <f t="shared" si="1"/>
        <v/>
      </c>
      <c r="M59" s="12" t="str">
        <f>IFERROR(IF(OR(A59="",CONFIG!$B$14&lt;&gt;"SI",CONFIG!$B$6&lt;1,CONFIG!$B$6&gt;365,CONFIG!$B$6&lt;&gt;INT(CONFIG!$B$6),SUMPRODUCT(--(VENTAS!$B$6:$B$1005=A59),--(VENTAS!$A$6:$A$1005&gt;=CONFIG!$B$5-CONFIG!$B$6+1),--(VENTAS!$A$6:$A$1005&lt;=CONFIG!$B$5),--(VENTAS!$I$6:$I$1005&lt;&gt;""),--(VENTAS!$I$6:$I$1005&lt;&gt;"OK"))&gt;0),"",MAX(0,(SUMIFS(VENTAS!$C$6:$C$1005,VENTAS!$B$6:$B$1005,A59,VENTAS!$A$6:$A$1005,"&gt;="&amp;CONFIG!$B$5-CONFIG!$B$6+1,VENTAS!$A$6:$A$1005,"&lt;="&amp;CONFIG!$B$5)-SUMIFS(VENTAS!$E$6:$E$1005,VENTAS!$B$6:$B$1005,A59,VENTAS!$A$6:$A$1005,"&gt;="&amp;CONFIG!$B$5-CONFIG!$B$6+1,VENTAS!$A$6:$A$1005,"&lt;="&amp;CONFIG!$B$5))/CONFIG!$B$6)),"")</f>
        <v/>
      </c>
      <c r="N59" s="14" t="str">
        <f>IF(K59&lt;&gt;"ELEGIBLE","",IF(AND(E59&gt;0,G59="SI",F59&gt;CONFIG!$B$5,F59&lt;=CONFIG!$B$5+INDEX(CATALOGO!$M$6:$M$105,MATCH(A59,CATALOGO!$A$6:$A$105,0))),E59,0))</f>
        <v/>
      </c>
      <c r="O59" s="14" t="str">
        <f>IF(K59&lt;&gt;"ELEGIBLE","",MAX(0,ROUNDUP(ROUND(M59*(INDEX(CATALOGO!$M$6:$M$105,MATCH(A59,CATALOGO!$A$6:$A$105,0))+CONFIG!$B$7)-L59-N59,10),0)))</f>
        <v/>
      </c>
      <c r="P59" s="14" t="str">
        <f>IF(O59="","",IF(O59=0,0,ROUNDUP(MAX(O59,INDEX(CATALOGO!$N$6:$N$105,MATCH(A59,CATALOGO!$A$6:$A$105,0)))/INDEX(CATALOGO!$O$6:$O$105,MATCH(A59,CATALOGO!$A$6:$A$105,0)),0)*INDEX(CATALOGO!$O$6:$O$105,MATCH(A59,CATALOGO!$A$6:$A$105,0))))</f>
        <v/>
      </c>
      <c r="Q59" s="11" t="str">
        <f>IFERROR(IF(OR(A59="",COUNTIF(CATALOGO!$A$6:$A$105,A59)&lt;&gt;1),"",IF(OR(INDEX(CATALOGO!$H$6:$H$105,MATCH(A59,CATALOGO!$A$6:$A$105,0))="",INDEX(CATALOGO!$I$6:$I$105,MATCH(A59,CATALOGO!$A$6:$A$105,0))="",ABS(INDEX(CATALOGO!$H$6:$H$105,MATCH(A59,CATALOGO!$A$6:$A$105,0)))&gt;1000000000,ABS(INDEX(CATALOGO!$I$6:$I$105,MATCH(A59,CATALOGO!$A$6:$A$105,0)))&gt;1000000000),"",INDEX(CATALOGO!$H$6:$H$105,MATCH(A59,CATALOGO!$A$6:$A$105,0))+INDEX(CATALOGO!$I$6:$I$105,MATCH(A59,CATALOGO!$A$6:$A$105,0)))),"")</f>
        <v/>
      </c>
      <c r="R59" s="9" t="str">
        <f>IF(OR(A59="",I59="",COUNTIF(CATALOGO!$A$6:$A$105,A59)&lt;&gt;1),"",IF(I59=0,0,IF(OR(Q59="",INDEX(CATALOGO!$N$6:$N$105,MATCH(A59,CATALOGO!$A$6:$A$105,0))="",INDEX(CATALOGO!$O$6:$O$105,MATCH(A59,CATALOGO!$A$6:$A$105,0))="",INDEX(CATALOGO!$O$6:$O$105,MATCH(A59,CATALOGO!$A$6:$A$105,0))&lt;=0),"",IF(OR(I59&lt;INDEX(CATALOGO!$N$6:$N$105,MATCH(A59,CATALOGO!$A$6:$A$105,0)),MOD(I59,INDEX(CATALOGO!$O$6:$O$105,MATCH(A59,CATALOGO!$A$6:$A$105,0)))&lt;&gt;0,J59="",J59&lt;=CONFIG!$B$5,J59&gt;CONFIG!$B$5+91),"",I59*Q59))))</f>
        <v/>
      </c>
      <c r="S59" s="12" t="str">
        <f>IF(A59="","",IF(COUNTIF(CATALOGO!$A$6:$A$105,A59)&lt;&gt;1,"SKU NO VALIDO",IF(I59="","CANTIDAD DESCONOCIDA",IF(I59=0,"SIN COMPRA ELEGIDA",IF(OR(I59&lt;0,I59&gt;1000000),"CANTIDAD INVALIDA",IF(OR(INDEX(CATALOGO!$N$6:$N$105,MATCH(A59,CATALOGO!$A$6:$A$105,0))="",INDEX(CATALOGO!$O$6:$O$105,MATCH(A59,CATALOGO!$A$6:$A$105,0))="",INDEX(CATALOGO!$O$6:$O$105,MATCH(A59,CATALOGO!$A$6:$A$105,0))&lt;=0),"CATALOGO A REVISAR",IF(OR(I59&lt;INDEX(CATALOGO!$N$6:$N$105,MATCH(A59,CATALOGO!$A$6:$A$105,0)),MOD(I59,INDEX(CATALOGO!$O$6:$O$105,MATCH(A59,CATALOGO!$A$6:$A$105,0)))&lt;&gt;0),"NO RESPETA MOQ/PACK",IF(J59="","FALTA FECHA PAGO",IF(Q59="","COSTO DESCONOCIDO",IF(OR(J59&lt;=CONFIG!$B$5,J59&gt;CONFIG!$B$5+91),"FUERA DE 91 DIAS",IF(AND(P59&lt;&gt;"",I59&gt;P59),"EN MODELO · SUPERA PROPUESTA","EN MODELO")))))))))))</f>
        <v/>
      </c>
    </row>
    <row r="60" spans="1:19" x14ac:dyDescent="0.45">
      <c r="A60" s="8"/>
      <c r="B60" s="4"/>
      <c r="C60" s="5"/>
      <c r="D60" s="5"/>
      <c r="E60" s="5"/>
      <c r="F60" s="4"/>
      <c r="G60" s="8"/>
      <c r="H60" s="5"/>
      <c r="I60" s="5"/>
      <c r="J60" s="4"/>
      <c r="K60" s="12" t="str">
        <f>IFERROR(IF(A60="","",IF(COUNTIF($A$6:$A$105,A60)&gt;1,"DUPLICADO STOCK",IF(COUNTIF(CATALOGO!$A$6:$A$105,A60)&lt;&gt;1,"SKU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INVALIDA",IF(INDEX(CATALOGO!$F$6:$F$105,MATCH(A60,CATALOGO!$A$6:$A$105,0))&lt;&gt;"ACTIVO",INDEX(CATALOGO!$F$6:$F$105,MATCH(A60,CATALOGO!$A$6:$A$105,0)),IF(OR(B60="",B60&lt;&gt;CONFIG!$B$5),"CONTEO NO VIGENTE",IF(OR(C60="",D60="",E60="",H60=""),"FALTA CAMPO",IF(OR(C60&lt;0,C60&gt;1000000,D60&lt;0,D60&gt;1000000,E60&lt;0,E60&gt;1000000,D60&gt;C60),"REVISAR VALOR",IF(H60&gt;CONFIG!$B$6,"EXPOSICION FUERA DE RANGO",IF(H60&lt;&gt;CONFIG!$B$6,"DISPONIBILIDAD INCOMPLETA",IF(CONFIG!$B$14&lt;&gt;"SI","VENTAS INCOMPLETAS",IF(CONFIG!$B$12&lt;&gt;"SI","POLITICA SIN REVISAR",IF(SUMPRODUCT(--(VENTAS!$B$6:$B$1005=A60),--(VENTAS!$A$6:$A$1005&gt;=CONFIG!$B$5-CONFIG!$B$6+1),--(VENTAS!$A$6:$A$1005&lt;=CONFIG!$B$5),--(VENTAS!$I$6:$I$1005&lt;&gt;""),--(VENTAS!$I$6:$I$1005&lt;&gt;"OK"))&gt;0,"VENTAS A REVISAR",IF(AND(E60&gt;0,OR(F60="",G60&lt;&gt;"SI")),"TRANSITO SIN CONFIRMAR",IF(AND(E60&gt;0,G60="SI",OR(F60&lt;=CONFIG!$B$5,F60&gt;CONFIG!$B$5+INDEX(CATALOGO!$M$6:$M$105,MATCH(A60,CATALOGO!$A$6:$A$105,0)))),"TRANSITO FUERA DEL PLAZO",IF(INDEX(CATALOGO!$T$6:$T$105,MATCH(A60,CATALOGO!$A$6:$A$105,0))&lt;&gt;"OK","CATALOGO A REVISAR",IF(1-INDEX(CATALOGO!$K$6:$K$105,MATCH(A60,CATALOGO!$A$6:$A$105,0))-CONFIG!$B$8&lt;=0,"MARGEN OBJETIVO INVIABLE",IF(INDEX(CATALOGO!$R$6:$R$105,MATCH(A60,CATALOGO!$A$6:$A$105,0))&lt;CONFIG!$B$8,"REVISAR PRECIO O COSTO","ELEGIBLE")))))))))))))))))),"CONFIG INVALIDA")</f>
        <v/>
      </c>
      <c r="L60" s="13" t="str">
        <f t="shared" si="1"/>
        <v/>
      </c>
      <c r="M60" s="12" t="str">
        <f>IFERROR(IF(OR(A60="",CONFIG!$B$14&lt;&gt;"SI",CONFIG!$B$6&lt;1,CONFIG!$B$6&gt;365,CONFIG!$B$6&lt;&gt;INT(CONFIG!$B$6),SUMPRODUCT(--(VENTAS!$B$6:$B$1005=A60),--(VENTAS!$A$6:$A$1005&gt;=CONFIG!$B$5-CONFIG!$B$6+1),--(VENTAS!$A$6:$A$1005&lt;=CONFIG!$B$5),--(VENTAS!$I$6:$I$1005&lt;&gt;""),--(VENTAS!$I$6:$I$1005&lt;&gt;"OK"))&gt;0),"",MAX(0,(SUMIFS(VENTAS!$C$6:$C$1005,VENTAS!$B$6:$B$1005,A60,VENTAS!$A$6:$A$1005,"&gt;="&amp;CONFIG!$B$5-CONFIG!$B$6+1,VENTAS!$A$6:$A$1005,"&lt;="&amp;CONFIG!$B$5)-SUMIFS(VENTAS!$E$6:$E$1005,VENTAS!$B$6:$B$1005,A60,VENTAS!$A$6:$A$1005,"&gt;="&amp;CONFIG!$B$5-CONFIG!$B$6+1,VENTAS!$A$6:$A$1005,"&lt;="&amp;CONFIG!$B$5))/CONFIG!$B$6)),"")</f>
        <v/>
      </c>
      <c r="N60" s="14" t="str">
        <f>IF(K60&lt;&gt;"ELEGIBLE","",IF(AND(E60&gt;0,G60="SI",F60&gt;CONFIG!$B$5,F60&lt;=CONFIG!$B$5+INDEX(CATALOGO!$M$6:$M$105,MATCH(A60,CATALOGO!$A$6:$A$105,0))),E60,0))</f>
        <v/>
      </c>
      <c r="O60" s="14" t="str">
        <f>IF(K60&lt;&gt;"ELEGIBLE","",MAX(0,ROUNDUP(ROUND(M60*(INDEX(CATALOGO!$M$6:$M$105,MATCH(A60,CATALOGO!$A$6:$A$105,0))+CONFIG!$B$7)-L60-N60,10),0)))</f>
        <v/>
      </c>
      <c r="P60" s="14" t="str">
        <f>IF(O60="","",IF(O60=0,0,ROUNDUP(MAX(O60,INDEX(CATALOGO!$N$6:$N$105,MATCH(A60,CATALOGO!$A$6:$A$105,0)))/INDEX(CATALOGO!$O$6:$O$105,MATCH(A60,CATALOGO!$A$6:$A$105,0)),0)*INDEX(CATALOGO!$O$6:$O$105,MATCH(A60,CATALOGO!$A$6:$A$105,0))))</f>
        <v/>
      </c>
      <c r="Q60" s="11" t="str">
        <f>IFERROR(IF(OR(A60="",COUNTIF(CATALOGO!$A$6:$A$105,A60)&lt;&gt;1),"",IF(OR(INDEX(CATALOGO!$H$6:$H$105,MATCH(A60,CATALOGO!$A$6:$A$105,0))="",INDEX(CATALOGO!$I$6:$I$105,MATCH(A60,CATALOGO!$A$6:$A$105,0))="",ABS(INDEX(CATALOGO!$H$6:$H$105,MATCH(A60,CATALOGO!$A$6:$A$105,0)))&gt;1000000000,ABS(INDEX(CATALOGO!$I$6:$I$105,MATCH(A60,CATALOGO!$A$6:$A$105,0)))&gt;1000000000),"",INDEX(CATALOGO!$H$6:$H$105,MATCH(A60,CATALOGO!$A$6:$A$105,0))+INDEX(CATALOGO!$I$6:$I$105,MATCH(A60,CATALOGO!$A$6:$A$105,0)))),"")</f>
        <v/>
      </c>
      <c r="R60" s="9" t="str">
        <f>IF(OR(A60="",I60="",COUNTIF(CATALOGO!$A$6:$A$105,A60)&lt;&gt;1),"",IF(I60=0,0,IF(OR(Q60="",INDEX(CATALOGO!$N$6:$N$105,MATCH(A60,CATALOGO!$A$6:$A$105,0))="",INDEX(CATALOGO!$O$6:$O$105,MATCH(A60,CATALOGO!$A$6:$A$105,0))="",INDEX(CATALOGO!$O$6:$O$105,MATCH(A60,CATALOGO!$A$6:$A$105,0))&lt;=0),"",IF(OR(I60&lt;INDEX(CATALOGO!$N$6:$N$105,MATCH(A60,CATALOGO!$A$6:$A$105,0)),MOD(I60,INDEX(CATALOGO!$O$6:$O$105,MATCH(A60,CATALOGO!$A$6:$A$105,0)))&lt;&gt;0,J60="",J60&lt;=CONFIG!$B$5,J60&gt;CONFIG!$B$5+91),"",I60*Q60))))</f>
        <v/>
      </c>
      <c r="S60" s="12" t="str">
        <f>IF(A60="","",IF(COUNTIF(CATALOGO!$A$6:$A$105,A60)&lt;&gt;1,"SKU NO VALIDO",IF(I60="","CANTIDAD DESCONOCIDA",IF(I60=0,"SIN COMPRA ELEGIDA",IF(OR(I60&lt;0,I60&gt;1000000),"CANTIDAD INVALIDA",IF(OR(INDEX(CATALOGO!$N$6:$N$105,MATCH(A60,CATALOGO!$A$6:$A$105,0))="",INDEX(CATALOGO!$O$6:$O$105,MATCH(A60,CATALOGO!$A$6:$A$105,0))="",INDEX(CATALOGO!$O$6:$O$105,MATCH(A60,CATALOGO!$A$6:$A$105,0))&lt;=0),"CATALOGO A REVISAR",IF(OR(I60&lt;INDEX(CATALOGO!$N$6:$N$105,MATCH(A60,CATALOGO!$A$6:$A$105,0)),MOD(I60,INDEX(CATALOGO!$O$6:$O$105,MATCH(A60,CATALOGO!$A$6:$A$105,0)))&lt;&gt;0),"NO RESPETA MOQ/PACK",IF(J60="","FALTA FECHA PAGO",IF(Q60="","COSTO DESCONOCIDO",IF(OR(J60&lt;=CONFIG!$B$5,J60&gt;CONFIG!$B$5+91),"FUERA DE 91 DIAS",IF(AND(P60&lt;&gt;"",I60&gt;P60),"EN MODELO · SUPERA PROPUESTA","EN MODELO")))))))))))</f>
        <v/>
      </c>
    </row>
    <row r="61" spans="1:19" x14ac:dyDescent="0.45">
      <c r="A61" s="8"/>
      <c r="B61" s="4"/>
      <c r="C61" s="5"/>
      <c r="D61" s="5"/>
      <c r="E61" s="5"/>
      <c r="F61" s="4"/>
      <c r="G61" s="8"/>
      <c r="H61" s="5"/>
      <c r="I61" s="5"/>
      <c r="J61" s="4"/>
      <c r="K61" s="12" t="str">
        <f>IFERROR(IF(A61="","",IF(COUNTIF($A$6:$A$105,A61)&gt;1,"DUPLICADO STOCK",IF(COUNTIF(CATALOGO!$A$6:$A$105,A61)&lt;&gt;1,"SKU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INVALIDA",IF(INDEX(CATALOGO!$F$6:$F$105,MATCH(A61,CATALOGO!$A$6:$A$105,0))&lt;&gt;"ACTIVO",INDEX(CATALOGO!$F$6:$F$105,MATCH(A61,CATALOGO!$A$6:$A$105,0)),IF(OR(B61="",B61&lt;&gt;CONFIG!$B$5),"CONTEO NO VIGENTE",IF(OR(C61="",D61="",E61="",H61=""),"FALTA CAMPO",IF(OR(C61&lt;0,C61&gt;1000000,D61&lt;0,D61&gt;1000000,E61&lt;0,E61&gt;1000000,D61&gt;C61),"REVISAR VALOR",IF(H61&gt;CONFIG!$B$6,"EXPOSICION FUERA DE RANGO",IF(H61&lt;&gt;CONFIG!$B$6,"DISPONIBILIDAD INCOMPLETA",IF(CONFIG!$B$14&lt;&gt;"SI","VENTAS INCOMPLETAS",IF(CONFIG!$B$12&lt;&gt;"SI","POLITICA SIN REVISAR",IF(SUMPRODUCT(--(VENTAS!$B$6:$B$1005=A61),--(VENTAS!$A$6:$A$1005&gt;=CONFIG!$B$5-CONFIG!$B$6+1),--(VENTAS!$A$6:$A$1005&lt;=CONFIG!$B$5),--(VENTAS!$I$6:$I$1005&lt;&gt;""),--(VENTAS!$I$6:$I$1005&lt;&gt;"OK"))&gt;0,"VENTAS A REVISAR",IF(AND(E61&gt;0,OR(F61="",G61&lt;&gt;"SI")),"TRANSITO SIN CONFIRMAR",IF(AND(E61&gt;0,G61="SI",OR(F61&lt;=CONFIG!$B$5,F61&gt;CONFIG!$B$5+INDEX(CATALOGO!$M$6:$M$105,MATCH(A61,CATALOGO!$A$6:$A$105,0)))),"TRANSITO FUERA DEL PLAZO",IF(INDEX(CATALOGO!$T$6:$T$105,MATCH(A61,CATALOGO!$A$6:$A$105,0))&lt;&gt;"OK","CATALOGO A REVISAR",IF(1-INDEX(CATALOGO!$K$6:$K$105,MATCH(A61,CATALOGO!$A$6:$A$105,0))-CONFIG!$B$8&lt;=0,"MARGEN OBJETIVO INVIABLE",IF(INDEX(CATALOGO!$R$6:$R$105,MATCH(A61,CATALOGO!$A$6:$A$105,0))&lt;CONFIG!$B$8,"REVISAR PRECIO O COSTO","ELEGIBLE")))))))))))))))))),"CONFIG INVALIDA")</f>
        <v/>
      </c>
      <c r="L61" s="13" t="str">
        <f t="shared" si="1"/>
        <v/>
      </c>
      <c r="M61" s="12" t="str">
        <f>IFERROR(IF(OR(A61="",CONFIG!$B$14&lt;&gt;"SI",CONFIG!$B$6&lt;1,CONFIG!$B$6&gt;365,CONFIG!$B$6&lt;&gt;INT(CONFIG!$B$6),SUMPRODUCT(--(VENTAS!$B$6:$B$1005=A61),--(VENTAS!$A$6:$A$1005&gt;=CONFIG!$B$5-CONFIG!$B$6+1),--(VENTAS!$A$6:$A$1005&lt;=CONFIG!$B$5),--(VENTAS!$I$6:$I$1005&lt;&gt;""),--(VENTAS!$I$6:$I$1005&lt;&gt;"OK"))&gt;0),"",MAX(0,(SUMIFS(VENTAS!$C$6:$C$1005,VENTAS!$B$6:$B$1005,A61,VENTAS!$A$6:$A$1005,"&gt;="&amp;CONFIG!$B$5-CONFIG!$B$6+1,VENTAS!$A$6:$A$1005,"&lt;="&amp;CONFIG!$B$5)-SUMIFS(VENTAS!$E$6:$E$1005,VENTAS!$B$6:$B$1005,A61,VENTAS!$A$6:$A$1005,"&gt;="&amp;CONFIG!$B$5-CONFIG!$B$6+1,VENTAS!$A$6:$A$1005,"&lt;="&amp;CONFIG!$B$5))/CONFIG!$B$6)),"")</f>
        <v/>
      </c>
      <c r="N61" s="14" t="str">
        <f>IF(K61&lt;&gt;"ELEGIBLE","",IF(AND(E61&gt;0,G61="SI",F61&gt;CONFIG!$B$5,F61&lt;=CONFIG!$B$5+INDEX(CATALOGO!$M$6:$M$105,MATCH(A61,CATALOGO!$A$6:$A$105,0))),E61,0))</f>
        <v/>
      </c>
      <c r="O61" s="14" t="str">
        <f>IF(K61&lt;&gt;"ELEGIBLE","",MAX(0,ROUNDUP(ROUND(M61*(INDEX(CATALOGO!$M$6:$M$105,MATCH(A61,CATALOGO!$A$6:$A$105,0))+CONFIG!$B$7)-L61-N61,10),0)))</f>
        <v/>
      </c>
      <c r="P61" s="14" t="str">
        <f>IF(O61="","",IF(O61=0,0,ROUNDUP(MAX(O61,INDEX(CATALOGO!$N$6:$N$105,MATCH(A61,CATALOGO!$A$6:$A$105,0)))/INDEX(CATALOGO!$O$6:$O$105,MATCH(A61,CATALOGO!$A$6:$A$105,0)),0)*INDEX(CATALOGO!$O$6:$O$105,MATCH(A61,CATALOGO!$A$6:$A$105,0))))</f>
        <v/>
      </c>
      <c r="Q61" s="11" t="str">
        <f>IFERROR(IF(OR(A61="",COUNTIF(CATALOGO!$A$6:$A$105,A61)&lt;&gt;1),"",IF(OR(INDEX(CATALOGO!$H$6:$H$105,MATCH(A61,CATALOGO!$A$6:$A$105,0))="",INDEX(CATALOGO!$I$6:$I$105,MATCH(A61,CATALOGO!$A$6:$A$105,0))="",ABS(INDEX(CATALOGO!$H$6:$H$105,MATCH(A61,CATALOGO!$A$6:$A$105,0)))&gt;1000000000,ABS(INDEX(CATALOGO!$I$6:$I$105,MATCH(A61,CATALOGO!$A$6:$A$105,0)))&gt;1000000000),"",INDEX(CATALOGO!$H$6:$H$105,MATCH(A61,CATALOGO!$A$6:$A$105,0))+INDEX(CATALOGO!$I$6:$I$105,MATCH(A61,CATALOGO!$A$6:$A$105,0)))),"")</f>
        <v/>
      </c>
      <c r="R61" s="9" t="str">
        <f>IF(OR(A61="",I61="",COUNTIF(CATALOGO!$A$6:$A$105,A61)&lt;&gt;1),"",IF(I61=0,0,IF(OR(Q61="",INDEX(CATALOGO!$N$6:$N$105,MATCH(A61,CATALOGO!$A$6:$A$105,0))="",INDEX(CATALOGO!$O$6:$O$105,MATCH(A61,CATALOGO!$A$6:$A$105,0))="",INDEX(CATALOGO!$O$6:$O$105,MATCH(A61,CATALOGO!$A$6:$A$105,0))&lt;=0),"",IF(OR(I61&lt;INDEX(CATALOGO!$N$6:$N$105,MATCH(A61,CATALOGO!$A$6:$A$105,0)),MOD(I61,INDEX(CATALOGO!$O$6:$O$105,MATCH(A61,CATALOGO!$A$6:$A$105,0)))&lt;&gt;0,J61="",J61&lt;=CONFIG!$B$5,J61&gt;CONFIG!$B$5+91),"",I61*Q61))))</f>
        <v/>
      </c>
      <c r="S61" s="12" t="str">
        <f>IF(A61="","",IF(COUNTIF(CATALOGO!$A$6:$A$105,A61)&lt;&gt;1,"SKU NO VALIDO",IF(I61="","CANTIDAD DESCONOCIDA",IF(I61=0,"SIN COMPRA ELEGIDA",IF(OR(I61&lt;0,I61&gt;1000000),"CANTIDAD INVALIDA",IF(OR(INDEX(CATALOGO!$N$6:$N$105,MATCH(A61,CATALOGO!$A$6:$A$105,0))="",INDEX(CATALOGO!$O$6:$O$105,MATCH(A61,CATALOGO!$A$6:$A$105,0))="",INDEX(CATALOGO!$O$6:$O$105,MATCH(A61,CATALOGO!$A$6:$A$105,0))&lt;=0),"CATALOGO A REVISAR",IF(OR(I61&lt;INDEX(CATALOGO!$N$6:$N$105,MATCH(A61,CATALOGO!$A$6:$A$105,0)),MOD(I61,INDEX(CATALOGO!$O$6:$O$105,MATCH(A61,CATALOGO!$A$6:$A$105,0)))&lt;&gt;0),"NO RESPETA MOQ/PACK",IF(J61="","FALTA FECHA PAGO",IF(Q61="","COSTO DESCONOCIDO",IF(OR(J61&lt;=CONFIG!$B$5,J61&gt;CONFIG!$B$5+91),"FUERA DE 91 DIAS",IF(AND(P61&lt;&gt;"",I61&gt;P61),"EN MODELO · SUPERA PROPUESTA","EN MODELO")))))))))))</f>
        <v/>
      </c>
    </row>
    <row r="62" spans="1:19" x14ac:dyDescent="0.45">
      <c r="A62" s="8"/>
      <c r="B62" s="4"/>
      <c r="C62" s="5"/>
      <c r="D62" s="5"/>
      <c r="E62" s="5"/>
      <c r="F62" s="4"/>
      <c r="G62" s="8"/>
      <c r="H62" s="5"/>
      <c r="I62" s="5"/>
      <c r="J62" s="4"/>
      <c r="K62" s="12" t="str">
        <f>IFERROR(IF(A62="","",IF(COUNTIF($A$6:$A$105,A62)&gt;1,"DUPLICADO STOCK",IF(COUNTIF(CATALOGO!$A$6:$A$105,A62)&lt;&gt;1,"SKU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INVALIDA",IF(INDEX(CATALOGO!$F$6:$F$105,MATCH(A62,CATALOGO!$A$6:$A$105,0))&lt;&gt;"ACTIVO",INDEX(CATALOGO!$F$6:$F$105,MATCH(A62,CATALOGO!$A$6:$A$105,0)),IF(OR(B62="",B62&lt;&gt;CONFIG!$B$5),"CONTEO NO VIGENTE",IF(OR(C62="",D62="",E62="",H62=""),"FALTA CAMPO",IF(OR(C62&lt;0,C62&gt;1000000,D62&lt;0,D62&gt;1000000,E62&lt;0,E62&gt;1000000,D62&gt;C62),"REVISAR VALOR",IF(H62&gt;CONFIG!$B$6,"EXPOSICION FUERA DE RANGO",IF(H62&lt;&gt;CONFIG!$B$6,"DISPONIBILIDAD INCOMPLETA",IF(CONFIG!$B$14&lt;&gt;"SI","VENTAS INCOMPLETAS",IF(CONFIG!$B$12&lt;&gt;"SI","POLITICA SIN REVISAR",IF(SUMPRODUCT(--(VENTAS!$B$6:$B$1005=A62),--(VENTAS!$A$6:$A$1005&gt;=CONFIG!$B$5-CONFIG!$B$6+1),--(VENTAS!$A$6:$A$1005&lt;=CONFIG!$B$5),--(VENTAS!$I$6:$I$1005&lt;&gt;""),--(VENTAS!$I$6:$I$1005&lt;&gt;"OK"))&gt;0,"VENTAS A REVISAR",IF(AND(E62&gt;0,OR(F62="",G62&lt;&gt;"SI")),"TRANSITO SIN CONFIRMAR",IF(AND(E62&gt;0,G62="SI",OR(F62&lt;=CONFIG!$B$5,F62&gt;CONFIG!$B$5+INDEX(CATALOGO!$M$6:$M$105,MATCH(A62,CATALOGO!$A$6:$A$105,0)))),"TRANSITO FUERA DEL PLAZO",IF(INDEX(CATALOGO!$T$6:$T$105,MATCH(A62,CATALOGO!$A$6:$A$105,0))&lt;&gt;"OK","CATALOGO A REVISAR",IF(1-INDEX(CATALOGO!$K$6:$K$105,MATCH(A62,CATALOGO!$A$6:$A$105,0))-CONFIG!$B$8&lt;=0,"MARGEN OBJETIVO INVIABLE",IF(INDEX(CATALOGO!$R$6:$R$105,MATCH(A62,CATALOGO!$A$6:$A$105,0))&lt;CONFIG!$B$8,"REVISAR PRECIO O COSTO","ELEGIBLE")))))))))))))))))),"CONFIG INVALIDA")</f>
        <v/>
      </c>
      <c r="L62" s="13" t="str">
        <f t="shared" si="1"/>
        <v/>
      </c>
      <c r="M62" s="12" t="str">
        <f>IFERROR(IF(OR(A62="",CONFIG!$B$14&lt;&gt;"SI",CONFIG!$B$6&lt;1,CONFIG!$B$6&gt;365,CONFIG!$B$6&lt;&gt;INT(CONFIG!$B$6),SUMPRODUCT(--(VENTAS!$B$6:$B$1005=A62),--(VENTAS!$A$6:$A$1005&gt;=CONFIG!$B$5-CONFIG!$B$6+1),--(VENTAS!$A$6:$A$1005&lt;=CONFIG!$B$5),--(VENTAS!$I$6:$I$1005&lt;&gt;""),--(VENTAS!$I$6:$I$1005&lt;&gt;"OK"))&gt;0),"",MAX(0,(SUMIFS(VENTAS!$C$6:$C$1005,VENTAS!$B$6:$B$1005,A62,VENTAS!$A$6:$A$1005,"&gt;="&amp;CONFIG!$B$5-CONFIG!$B$6+1,VENTAS!$A$6:$A$1005,"&lt;="&amp;CONFIG!$B$5)-SUMIFS(VENTAS!$E$6:$E$1005,VENTAS!$B$6:$B$1005,A62,VENTAS!$A$6:$A$1005,"&gt;="&amp;CONFIG!$B$5-CONFIG!$B$6+1,VENTAS!$A$6:$A$1005,"&lt;="&amp;CONFIG!$B$5))/CONFIG!$B$6)),"")</f>
        <v/>
      </c>
      <c r="N62" s="14" t="str">
        <f>IF(K62&lt;&gt;"ELEGIBLE","",IF(AND(E62&gt;0,G62="SI",F62&gt;CONFIG!$B$5,F62&lt;=CONFIG!$B$5+INDEX(CATALOGO!$M$6:$M$105,MATCH(A62,CATALOGO!$A$6:$A$105,0))),E62,0))</f>
        <v/>
      </c>
      <c r="O62" s="14" t="str">
        <f>IF(K62&lt;&gt;"ELEGIBLE","",MAX(0,ROUNDUP(ROUND(M62*(INDEX(CATALOGO!$M$6:$M$105,MATCH(A62,CATALOGO!$A$6:$A$105,0))+CONFIG!$B$7)-L62-N62,10),0)))</f>
        <v/>
      </c>
      <c r="P62" s="14" t="str">
        <f>IF(O62="","",IF(O62=0,0,ROUNDUP(MAX(O62,INDEX(CATALOGO!$N$6:$N$105,MATCH(A62,CATALOGO!$A$6:$A$105,0)))/INDEX(CATALOGO!$O$6:$O$105,MATCH(A62,CATALOGO!$A$6:$A$105,0)),0)*INDEX(CATALOGO!$O$6:$O$105,MATCH(A62,CATALOGO!$A$6:$A$105,0))))</f>
        <v/>
      </c>
      <c r="Q62" s="11" t="str">
        <f>IFERROR(IF(OR(A62="",COUNTIF(CATALOGO!$A$6:$A$105,A62)&lt;&gt;1),"",IF(OR(INDEX(CATALOGO!$H$6:$H$105,MATCH(A62,CATALOGO!$A$6:$A$105,0))="",INDEX(CATALOGO!$I$6:$I$105,MATCH(A62,CATALOGO!$A$6:$A$105,0))="",ABS(INDEX(CATALOGO!$H$6:$H$105,MATCH(A62,CATALOGO!$A$6:$A$105,0)))&gt;1000000000,ABS(INDEX(CATALOGO!$I$6:$I$105,MATCH(A62,CATALOGO!$A$6:$A$105,0)))&gt;1000000000),"",INDEX(CATALOGO!$H$6:$H$105,MATCH(A62,CATALOGO!$A$6:$A$105,0))+INDEX(CATALOGO!$I$6:$I$105,MATCH(A62,CATALOGO!$A$6:$A$105,0)))),"")</f>
        <v/>
      </c>
      <c r="R62" s="9" t="str">
        <f>IF(OR(A62="",I62="",COUNTIF(CATALOGO!$A$6:$A$105,A62)&lt;&gt;1),"",IF(I62=0,0,IF(OR(Q62="",INDEX(CATALOGO!$N$6:$N$105,MATCH(A62,CATALOGO!$A$6:$A$105,0))="",INDEX(CATALOGO!$O$6:$O$105,MATCH(A62,CATALOGO!$A$6:$A$105,0))="",INDEX(CATALOGO!$O$6:$O$105,MATCH(A62,CATALOGO!$A$6:$A$105,0))&lt;=0),"",IF(OR(I62&lt;INDEX(CATALOGO!$N$6:$N$105,MATCH(A62,CATALOGO!$A$6:$A$105,0)),MOD(I62,INDEX(CATALOGO!$O$6:$O$105,MATCH(A62,CATALOGO!$A$6:$A$105,0)))&lt;&gt;0,J62="",J62&lt;=CONFIG!$B$5,J62&gt;CONFIG!$B$5+91),"",I62*Q62))))</f>
        <v/>
      </c>
      <c r="S62" s="12" t="str">
        <f>IF(A62="","",IF(COUNTIF(CATALOGO!$A$6:$A$105,A62)&lt;&gt;1,"SKU NO VALIDO",IF(I62="","CANTIDAD DESCONOCIDA",IF(I62=0,"SIN COMPRA ELEGIDA",IF(OR(I62&lt;0,I62&gt;1000000),"CANTIDAD INVALIDA",IF(OR(INDEX(CATALOGO!$N$6:$N$105,MATCH(A62,CATALOGO!$A$6:$A$105,0))="",INDEX(CATALOGO!$O$6:$O$105,MATCH(A62,CATALOGO!$A$6:$A$105,0))="",INDEX(CATALOGO!$O$6:$O$105,MATCH(A62,CATALOGO!$A$6:$A$105,0))&lt;=0),"CATALOGO A REVISAR",IF(OR(I62&lt;INDEX(CATALOGO!$N$6:$N$105,MATCH(A62,CATALOGO!$A$6:$A$105,0)),MOD(I62,INDEX(CATALOGO!$O$6:$O$105,MATCH(A62,CATALOGO!$A$6:$A$105,0)))&lt;&gt;0),"NO RESPETA MOQ/PACK",IF(J62="","FALTA FECHA PAGO",IF(Q62="","COSTO DESCONOCIDO",IF(OR(J62&lt;=CONFIG!$B$5,J62&gt;CONFIG!$B$5+91),"FUERA DE 91 DIAS",IF(AND(P62&lt;&gt;"",I62&gt;P62),"EN MODELO · SUPERA PROPUESTA","EN MODELO")))))))))))</f>
        <v/>
      </c>
    </row>
    <row r="63" spans="1:19" x14ac:dyDescent="0.45">
      <c r="A63" s="8"/>
      <c r="B63" s="4"/>
      <c r="C63" s="5"/>
      <c r="D63" s="5"/>
      <c r="E63" s="5"/>
      <c r="F63" s="4"/>
      <c r="G63" s="8"/>
      <c r="H63" s="5"/>
      <c r="I63" s="5"/>
      <c r="J63" s="4"/>
      <c r="K63" s="12" t="str">
        <f>IFERROR(IF(A63="","",IF(COUNTIF($A$6:$A$105,A63)&gt;1,"DUPLICADO STOCK",IF(COUNTIF(CATALOGO!$A$6:$A$105,A63)&lt;&gt;1,"SKU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INVALIDA",IF(INDEX(CATALOGO!$F$6:$F$105,MATCH(A63,CATALOGO!$A$6:$A$105,0))&lt;&gt;"ACTIVO",INDEX(CATALOGO!$F$6:$F$105,MATCH(A63,CATALOGO!$A$6:$A$105,0)),IF(OR(B63="",B63&lt;&gt;CONFIG!$B$5),"CONTEO NO VIGENTE",IF(OR(C63="",D63="",E63="",H63=""),"FALTA CAMPO",IF(OR(C63&lt;0,C63&gt;1000000,D63&lt;0,D63&gt;1000000,E63&lt;0,E63&gt;1000000,D63&gt;C63),"REVISAR VALOR",IF(H63&gt;CONFIG!$B$6,"EXPOSICION FUERA DE RANGO",IF(H63&lt;&gt;CONFIG!$B$6,"DISPONIBILIDAD INCOMPLETA",IF(CONFIG!$B$14&lt;&gt;"SI","VENTAS INCOMPLETAS",IF(CONFIG!$B$12&lt;&gt;"SI","POLITICA SIN REVISAR",IF(SUMPRODUCT(--(VENTAS!$B$6:$B$1005=A63),--(VENTAS!$A$6:$A$1005&gt;=CONFIG!$B$5-CONFIG!$B$6+1),--(VENTAS!$A$6:$A$1005&lt;=CONFIG!$B$5),--(VENTAS!$I$6:$I$1005&lt;&gt;""),--(VENTAS!$I$6:$I$1005&lt;&gt;"OK"))&gt;0,"VENTAS A REVISAR",IF(AND(E63&gt;0,OR(F63="",G63&lt;&gt;"SI")),"TRANSITO SIN CONFIRMAR",IF(AND(E63&gt;0,G63="SI",OR(F63&lt;=CONFIG!$B$5,F63&gt;CONFIG!$B$5+INDEX(CATALOGO!$M$6:$M$105,MATCH(A63,CATALOGO!$A$6:$A$105,0)))),"TRANSITO FUERA DEL PLAZO",IF(INDEX(CATALOGO!$T$6:$T$105,MATCH(A63,CATALOGO!$A$6:$A$105,0))&lt;&gt;"OK","CATALOGO A REVISAR",IF(1-INDEX(CATALOGO!$K$6:$K$105,MATCH(A63,CATALOGO!$A$6:$A$105,0))-CONFIG!$B$8&lt;=0,"MARGEN OBJETIVO INVIABLE",IF(INDEX(CATALOGO!$R$6:$R$105,MATCH(A63,CATALOGO!$A$6:$A$105,0))&lt;CONFIG!$B$8,"REVISAR PRECIO O COSTO","ELEGIBLE")))))))))))))))))),"CONFIG INVALIDA")</f>
        <v/>
      </c>
      <c r="L63" s="13" t="str">
        <f t="shared" si="1"/>
        <v/>
      </c>
      <c r="M63" s="12" t="str">
        <f>IFERROR(IF(OR(A63="",CONFIG!$B$14&lt;&gt;"SI",CONFIG!$B$6&lt;1,CONFIG!$B$6&gt;365,CONFIG!$B$6&lt;&gt;INT(CONFIG!$B$6),SUMPRODUCT(--(VENTAS!$B$6:$B$1005=A63),--(VENTAS!$A$6:$A$1005&gt;=CONFIG!$B$5-CONFIG!$B$6+1),--(VENTAS!$A$6:$A$1005&lt;=CONFIG!$B$5),--(VENTAS!$I$6:$I$1005&lt;&gt;""),--(VENTAS!$I$6:$I$1005&lt;&gt;"OK"))&gt;0),"",MAX(0,(SUMIFS(VENTAS!$C$6:$C$1005,VENTAS!$B$6:$B$1005,A63,VENTAS!$A$6:$A$1005,"&gt;="&amp;CONFIG!$B$5-CONFIG!$B$6+1,VENTAS!$A$6:$A$1005,"&lt;="&amp;CONFIG!$B$5)-SUMIFS(VENTAS!$E$6:$E$1005,VENTAS!$B$6:$B$1005,A63,VENTAS!$A$6:$A$1005,"&gt;="&amp;CONFIG!$B$5-CONFIG!$B$6+1,VENTAS!$A$6:$A$1005,"&lt;="&amp;CONFIG!$B$5))/CONFIG!$B$6)),"")</f>
        <v/>
      </c>
      <c r="N63" s="14" t="str">
        <f>IF(K63&lt;&gt;"ELEGIBLE","",IF(AND(E63&gt;0,G63="SI",F63&gt;CONFIG!$B$5,F63&lt;=CONFIG!$B$5+INDEX(CATALOGO!$M$6:$M$105,MATCH(A63,CATALOGO!$A$6:$A$105,0))),E63,0))</f>
        <v/>
      </c>
      <c r="O63" s="14" t="str">
        <f>IF(K63&lt;&gt;"ELEGIBLE","",MAX(0,ROUNDUP(ROUND(M63*(INDEX(CATALOGO!$M$6:$M$105,MATCH(A63,CATALOGO!$A$6:$A$105,0))+CONFIG!$B$7)-L63-N63,10),0)))</f>
        <v/>
      </c>
      <c r="P63" s="14" t="str">
        <f>IF(O63="","",IF(O63=0,0,ROUNDUP(MAX(O63,INDEX(CATALOGO!$N$6:$N$105,MATCH(A63,CATALOGO!$A$6:$A$105,0)))/INDEX(CATALOGO!$O$6:$O$105,MATCH(A63,CATALOGO!$A$6:$A$105,0)),0)*INDEX(CATALOGO!$O$6:$O$105,MATCH(A63,CATALOGO!$A$6:$A$105,0))))</f>
        <v/>
      </c>
      <c r="Q63" s="11" t="str">
        <f>IFERROR(IF(OR(A63="",COUNTIF(CATALOGO!$A$6:$A$105,A63)&lt;&gt;1),"",IF(OR(INDEX(CATALOGO!$H$6:$H$105,MATCH(A63,CATALOGO!$A$6:$A$105,0))="",INDEX(CATALOGO!$I$6:$I$105,MATCH(A63,CATALOGO!$A$6:$A$105,0))="",ABS(INDEX(CATALOGO!$H$6:$H$105,MATCH(A63,CATALOGO!$A$6:$A$105,0)))&gt;1000000000,ABS(INDEX(CATALOGO!$I$6:$I$105,MATCH(A63,CATALOGO!$A$6:$A$105,0)))&gt;1000000000),"",INDEX(CATALOGO!$H$6:$H$105,MATCH(A63,CATALOGO!$A$6:$A$105,0))+INDEX(CATALOGO!$I$6:$I$105,MATCH(A63,CATALOGO!$A$6:$A$105,0)))),"")</f>
        <v/>
      </c>
      <c r="R63" s="9" t="str">
        <f>IF(OR(A63="",I63="",COUNTIF(CATALOGO!$A$6:$A$105,A63)&lt;&gt;1),"",IF(I63=0,0,IF(OR(Q63="",INDEX(CATALOGO!$N$6:$N$105,MATCH(A63,CATALOGO!$A$6:$A$105,0))="",INDEX(CATALOGO!$O$6:$O$105,MATCH(A63,CATALOGO!$A$6:$A$105,0))="",INDEX(CATALOGO!$O$6:$O$105,MATCH(A63,CATALOGO!$A$6:$A$105,0))&lt;=0),"",IF(OR(I63&lt;INDEX(CATALOGO!$N$6:$N$105,MATCH(A63,CATALOGO!$A$6:$A$105,0)),MOD(I63,INDEX(CATALOGO!$O$6:$O$105,MATCH(A63,CATALOGO!$A$6:$A$105,0)))&lt;&gt;0,J63="",J63&lt;=CONFIG!$B$5,J63&gt;CONFIG!$B$5+91),"",I63*Q63))))</f>
        <v/>
      </c>
      <c r="S63" s="12" t="str">
        <f>IF(A63="","",IF(COUNTIF(CATALOGO!$A$6:$A$105,A63)&lt;&gt;1,"SKU NO VALIDO",IF(I63="","CANTIDAD DESCONOCIDA",IF(I63=0,"SIN COMPRA ELEGIDA",IF(OR(I63&lt;0,I63&gt;1000000),"CANTIDAD INVALIDA",IF(OR(INDEX(CATALOGO!$N$6:$N$105,MATCH(A63,CATALOGO!$A$6:$A$105,0))="",INDEX(CATALOGO!$O$6:$O$105,MATCH(A63,CATALOGO!$A$6:$A$105,0))="",INDEX(CATALOGO!$O$6:$O$105,MATCH(A63,CATALOGO!$A$6:$A$105,0))&lt;=0),"CATALOGO A REVISAR",IF(OR(I63&lt;INDEX(CATALOGO!$N$6:$N$105,MATCH(A63,CATALOGO!$A$6:$A$105,0)),MOD(I63,INDEX(CATALOGO!$O$6:$O$105,MATCH(A63,CATALOGO!$A$6:$A$105,0)))&lt;&gt;0),"NO RESPETA MOQ/PACK",IF(J63="","FALTA FECHA PAGO",IF(Q63="","COSTO DESCONOCIDO",IF(OR(J63&lt;=CONFIG!$B$5,J63&gt;CONFIG!$B$5+91),"FUERA DE 91 DIAS",IF(AND(P63&lt;&gt;"",I63&gt;P63),"EN MODELO · SUPERA PROPUESTA","EN MODELO")))))))))))</f>
        <v/>
      </c>
    </row>
    <row r="64" spans="1:19" x14ac:dyDescent="0.45">
      <c r="A64" s="8"/>
      <c r="B64" s="4"/>
      <c r="C64" s="5"/>
      <c r="D64" s="5"/>
      <c r="E64" s="5"/>
      <c r="F64" s="4"/>
      <c r="G64" s="8"/>
      <c r="H64" s="5"/>
      <c r="I64" s="5"/>
      <c r="J64" s="4"/>
      <c r="K64" s="12" t="str">
        <f>IFERROR(IF(A64="","",IF(COUNTIF($A$6:$A$105,A64)&gt;1,"DUPLICADO STOCK",IF(COUNTIF(CATALOGO!$A$6:$A$105,A64)&lt;&gt;1,"SKU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INVALIDA",IF(INDEX(CATALOGO!$F$6:$F$105,MATCH(A64,CATALOGO!$A$6:$A$105,0))&lt;&gt;"ACTIVO",INDEX(CATALOGO!$F$6:$F$105,MATCH(A64,CATALOGO!$A$6:$A$105,0)),IF(OR(B64="",B64&lt;&gt;CONFIG!$B$5),"CONTEO NO VIGENTE",IF(OR(C64="",D64="",E64="",H64=""),"FALTA CAMPO",IF(OR(C64&lt;0,C64&gt;1000000,D64&lt;0,D64&gt;1000000,E64&lt;0,E64&gt;1000000,D64&gt;C64),"REVISAR VALOR",IF(H64&gt;CONFIG!$B$6,"EXPOSICION FUERA DE RANGO",IF(H64&lt;&gt;CONFIG!$B$6,"DISPONIBILIDAD INCOMPLETA",IF(CONFIG!$B$14&lt;&gt;"SI","VENTAS INCOMPLETAS",IF(CONFIG!$B$12&lt;&gt;"SI","POLITICA SIN REVISAR",IF(SUMPRODUCT(--(VENTAS!$B$6:$B$1005=A64),--(VENTAS!$A$6:$A$1005&gt;=CONFIG!$B$5-CONFIG!$B$6+1),--(VENTAS!$A$6:$A$1005&lt;=CONFIG!$B$5),--(VENTAS!$I$6:$I$1005&lt;&gt;""),--(VENTAS!$I$6:$I$1005&lt;&gt;"OK"))&gt;0,"VENTAS A REVISAR",IF(AND(E64&gt;0,OR(F64="",G64&lt;&gt;"SI")),"TRANSITO SIN CONFIRMAR",IF(AND(E64&gt;0,G64="SI",OR(F64&lt;=CONFIG!$B$5,F64&gt;CONFIG!$B$5+INDEX(CATALOGO!$M$6:$M$105,MATCH(A64,CATALOGO!$A$6:$A$105,0)))),"TRANSITO FUERA DEL PLAZO",IF(INDEX(CATALOGO!$T$6:$T$105,MATCH(A64,CATALOGO!$A$6:$A$105,0))&lt;&gt;"OK","CATALOGO A REVISAR",IF(1-INDEX(CATALOGO!$K$6:$K$105,MATCH(A64,CATALOGO!$A$6:$A$105,0))-CONFIG!$B$8&lt;=0,"MARGEN OBJETIVO INVIABLE",IF(INDEX(CATALOGO!$R$6:$R$105,MATCH(A64,CATALOGO!$A$6:$A$105,0))&lt;CONFIG!$B$8,"REVISAR PRECIO O COSTO","ELEGIBLE")))))))))))))))))),"CONFIG INVALIDA")</f>
        <v/>
      </c>
      <c r="L64" s="13" t="str">
        <f t="shared" si="1"/>
        <v/>
      </c>
      <c r="M64" s="12" t="str">
        <f>IFERROR(IF(OR(A64="",CONFIG!$B$14&lt;&gt;"SI",CONFIG!$B$6&lt;1,CONFIG!$B$6&gt;365,CONFIG!$B$6&lt;&gt;INT(CONFIG!$B$6),SUMPRODUCT(--(VENTAS!$B$6:$B$1005=A64),--(VENTAS!$A$6:$A$1005&gt;=CONFIG!$B$5-CONFIG!$B$6+1),--(VENTAS!$A$6:$A$1005&lt;=CONFIG!$B$5),--(VENTAS!$I$6:$I$1005&lt;&gt;""),--(VENTAS!$I$6:$I$1005&lt;&gt;"OK"))&gt;0),"",MAX(0,(SUMIFS(VENTAS!$C$6:$C$1005,VENTAS!$B$6:$B$1005,A64,VENTAS!$A$6:$A$1005,"&gt;="&amp;CONFIG!$B$5-CONFIG!$B$6+1,VENTAS!$A$6:$A$1005,"&lt;="&amp;CONFIG!$B$5)-SUMIFS(VENTAS!$E$6:$E$1005,VENTAS!$B$6:$B$1005,A64,VENTAS!$A$6:$A$1005,"&gt;="&amp;CONFIG!$B$5-CONFIG!$B$6+1,VENTAS!$A$6:$A$1005,"&lt;="&amp;CONFIG!$B$5))/CONFIG!$B$6)),"")</f>
        <v/>
      </c>
      <c r="N64" s="14" t="str">
        <f>IF(K64&lt;&gt;"ELEGIBLE","",IF(AND(E64&gt;0,G64="SI",F64&gt;CONFIG!$B$5,F64&lt;=CONFIG!$B$5+INDEX(CATALOGO!$M$6:$M$105,MATCH(A64,CATALOGO!$A$6:$A$105,0))),E64,0))</f>
        <v/>
      </c>
      <c r="O64" s="14" t="str">
        <f>IF(K64&lt;&gt;"ELEGIBLE","",MAX(0,ROUNDUP(ROUND(M64*(INDEX(CATALOGO!$M$6:$M$105,MATCH(A64,CATALOGO!$A$6:$A$105,0))+CONFIG!$B$7)-L64-N64,10),0)))</f>
        <v/>
      </c>
      <c r="P64" s="14" t="str">
        <f>IF(O64="","",IF(O64=0,0,ROUNDUP(MAX(O64,INDEX(CATALOGO!$N$6:$N$105,MATCH(A64,CATALOGO!$A$6:$A$105,0)))/INDEX(CATALOGO!$O$6:$O$105,MATCH(A64,CATALOGO!$A$6:$A$105,0)),0)*INDEX(CATALOGO!$O$6:$O$105,MATCH(A64,CATALOGO!$A$6:$A$105,0))))</f>
        <v/>
      </c>
      <c r="Q64" s="11" t="str">
        <f>IFERROR(IF(OR(A64="",COUNTIF(CATALOGO!$A$6:$A$105,A64)&lt;&gt;1),"",IF(OR(INDEX(CATALOGO!$H$6:$H$105,MATCH(A64,CATALOGO!$A$6:$A$105,0))="",INDEX(CATALOGO!$I$6:$I$105,MATCH(A64,CATALOGO!$A$6:$A$105,0))="",ABS(INDEX(CATALOGO!$H$6:$H$105,MATCH(A64,CATALOGO!$A$6:$A$105,0)))&gt;1000000000,ABS(INDEX(CATALOGO!$I$6:$I$105,MATCH(A64,CATALOGO!$A$6:$A$105,0)))&gt;1000000000),"",INDEX(CATALOGO!$H$6:$H$105,MATCH(A64,CATALOGO!$A$6:$A$105,0))+INDEX(CATALOGO!$I$6:$I$105,MATCH(A64,CATALOGO!$A$6:$A$105,0)))),"")</f>
        <v/>
      </c>
      <c r="R64" s="9" t="str">
        <f>IF(OR(A64="",I64="",COUNTIF(CATALOGO!$A$6:$A$105,A64)&lt;&gt;1),"",IF(I64=0,0,IF(OR(Q64="",INDEX(CATALOGO!$N$6:$N$105,MATCH(A64,CATALOGO!$A$6:$A$105,0))="",INDEX(CATALOGO!$O$6:$O$105,MATCH(A64,CATALOGO!$A$6:$A$105,0))="",INDEX(CATALOGO!$O$6:$O$105,MATCH(A64,CATALOGO!$A$6:$A$105,0))&lt;=0),"",IF(OR(I64&lt;INDEX(CATALOGO!$N$6:$N$105,MATCH(A64,CATALOGO!$A$6:$A$105,0)),MOD(I64,INDEX(CATALOGO!$O$6:$O$105,MATCH(A64,CATALOGO!$A$6:$A$105,0)))&lt;&gt;0,J64="",J64&lt;=CONFIG!$B$5,J64&gt;CONFIG!$B$5+91),"",I64*Q64))))</f>
        <v/>
      </c>
      <c r="S64" s="12" t="str">
        <f>IF(A64="","",IF(COUNTIF(CATALOGO!$A$6:$A$105,A64)&lt;&gt;1,"SKU NO VALIDO",IF(I64="","CANTIDAD DESCONOCIDA",IF(I64=0,"SIN COMPRA ELEGIDA",IF(OR(I64&lt;0,I64&gt;1000000),"CANTIDAD INVALIDA",IF(OR(INDEX(CATALOGO!$N$6:$N$105,MATCH(A64,CATALOGO!$A$6:$A$105,0))="",INDEX(CATALOGO!$O$6:$O$105,MATCH(A64,CATALOGO!$A$6:$A$105,0))="",INDEX(CATALOGO!$O$6:$O$105,MATCH(A64,CATALOGO!$A$6:$A$105,0))&lt;=0),"CATALOGO A REVISAR",IF(OR(I64&lt;INDEX(CATALOGO!$N$6:$N$105,MATCH(A64,CATALOGO!$A$6:$A$105,0)),MOD(I64,INDEX(CATALOGO!$O$6:$O$105,MATCH(A64,CATALOGO!$A$6:$A$105,0)))&lt;&gt;0),"NO RESPETA MOQ/PACK",IF(J64="","FALTA FECHA PAGO",IF(Q64="","COSTO DESCONOCIDO",IF(OR(J64&lt;=CONFIG!$B$5,J64&gt;CONFIG!$B$5+91),"FUERA DE 91 DIAS",IF(AND(P64&lt;&gt;"",I64&gt;P64),"EN MODELO · SUPERA PROPUESTA","EN MODELO")))))))))))</f>
        <v/>
      </c>
    </row>
    <row r="65" spans="1:19" x14ac:dyDescent="0.45">
      <c r="A65" s="8"/>
      <c r="B65" s="4"/>
      <c r="C65" s="5"/>
      <c r="D65" s="5"/>
      <c r="E65" s="5"/>
      <c r="F65" s="4"/>
      <c r="G65" s="8"/>
      <c r="H65" s="5"/>
      <c r="I65" s="5"/>
      <c r="J65" s="4"/>
      <c r="K65" s="12" t="str">
        <f>IFERROR(IF(A65="","",IF(COUNTIF($A$6:$A$105,A65)&gt;1,"DUPLICADO STOCK",IF(COUNTIF(CATALOGO!$A$6:$A$105,A65)&lt;&gt;1,"SKU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INVALIDA",IF(INDEX(CATALOGO!$F$6:$F$105,MATCH(A65,CATALOGO!$A$6:$A$105,0))&lt;&gt;"ACTIVO",INDEX(CATALOGO!$F$6:$F$105,MATCH(A65,CATALOGO!$A$6:$A$105,0)),IF(OR(B65="",B65&lt;&gt;CONFIG!$B$5),"CONTEO NO VIGENTE",IF(OR(C65="",D65="",E65="",H65=""),"FALTA CAMPO",IF(OR(C65&lt;0,C65&gt;1000000,D65&lt;0,D65&gt;1000000,E65&lt;0,E65&gt;1000000,D65&gt;C65),"REVISAR VALOR",IF(H65&gt;CONFIG!$B$6,"EXPOSICION FUERA DE RANGO",IF(H65&lt;&gt;CONFIG!$B$6,"DISPONIBILIDAD INCOMPLETA",IF(CONFIG!$B$14&lt;&gt;"SI","VENTAS INCOMPLETAS",IF(CONFIG!$B$12&lt;&gt;"SI","POLITICA SIN REVISAR",IF(SUMPRODUCT(--(VENTAS!$B$6:$B$1005=A65),--(VENTAS!$A$6:$A$1005&gt;=CONFIG!$B$5-CONFIG!$B$6+1),--(VENTAS!$A$6:$A$1005&lt;=CONFIG!$B$5),--(VENTAS!$I$6:$I$1005&lt;&gt;""),--(VENTAS!$I$6:$I$1005&lt;&gt;"OK"))&gt;0,"VENTAS A REVISAR",IF(AND(E65&gt;0,OR(F65="",G65&lt;&gt;"SI")),"TRANSITO SIN CONFIRMAR",IF(AND(E65&gt;0,G65="SI",OR(F65&lt;=CONFIG!$B$5,F65&gt;CONFIG!$B$5+INDEX(CATALOGO!$M$6:$M$105,MATCH(A65,CATALOGO!$A$6:$A$105,0)))),"TRANSITO FUERA DEL PLAZO",IF(INDEX(CATALOGO!$T$6:$T$105,MATCH(A65,CATALOGO!$A$6:$A$105,0))&lt;&gt;"OK","CATALOGO A REVISAR",IF(1-INDEX(CATALOGO!$K$6:$K$105,MATCH(A65,CATALOGO!$A$6:$A$105,0))-CONFIG!$B$8&lt;=0,"MARGEN OBJETIVO INVIABLE",IF(INDEX(CATALOGO!$R$6:$R$105,MATCH(A65,CATALOGO!$A$6:$A$105,0))&lt;CONFIG!$B$8,"REVISAR PRECIO O COSTO","ELEGIBLE")))))))))))))))))),"CONFIG INVALIDA")</f>
        <v/>
      </c>
      <c r="L65" s="13" t="str">
        <f t="shared" si="1"/>
        <v/>
      </c>
      <c r="M65" s="12" t="str">
        <f>IFERROR(IF(OR(A65="",CONFIG!$B$14&lt;&gt;"SI",CONFIG!$B$6&lt;1,CONFIG!$B$6&gt;365,CONFIG!$B$6&lt;&gt;INT(CONFIG!$B$6),SUMPRODUCT(--(VENTAS!$B$6:$B$1005=A65),--(VENTAS!$A$6:$A$1005&gt;=CONFIG!$B$5-CONFIG!$B$6+1),--(VENTAS!$A$6:$A$1005&lt;=CONFIG!$B$5),--(VENTAS!$I$6:$I$1005&lt;&gt;""),--(VENTAS!$I$6:$I$1005&lt;&gt;"OK"))&gt;0),"",MAX(0,(SUMIFS(VENTAS!$C$6:$C$1005,VENTAS!$B$6:$B$1005,A65,VENTAS!$A$6:$A$1005,"&gt;="&amp;CONFIG!$B$5-CONFIG!$B$6+1,VENTAS!$A$6:$A$1005,"&lt;="&amp;CONFIG!$B$5)-SUMIFS(VENTAS!$E$6:$E$1005,VENTAS!$B$6:$B$1005,A65,VENTAS!$A$6:$A$1005,"&gt;="&amp;CONFIG!$B$5-CONFIG!$B$6+1,VENTAS!$A$6:$A$1005,"&lt;="&amp;CONFIG!$B$5))/CONFIG!$B$6)),"")</f>
        <v/>
      </c>
      <c r="N65" s="14" t="str">
        <f>IF(K65&lt;&gt;"ELEGIBLE","",IF(AND(E65&gt;0,G65="SI",F65&gt;CONFIG!$B$5,F65&lt;=CONFIG!$B$5+INDEX(CATALOGO!$M$6:$M$105,MATCH(A65,CATALOGO!$A$6:$A$105,0))),E65,0))</f>
        <v/>
      </c>
      <c r="O65" s="14" t="str">
        <f>IF(K65&lt;&gt;"ELEGIBLE","",MAX(0,ROUNDUP(ROUND(M65*(INDEX(CATALOGO!$M$6:$M$105,MATCH(A65,CATALOGO!$A$6:$A$105,0))+CONFIG!$B$7)-L65-N65,10),0)))</f>
        <v/>
      </c>
      <c r="P65" s="14" t="str">
        <f>IF(O65="","",IF(O65=0,0,ROUNDUP(MAX(O65,INDEX(CATALOGO!$N$6:$N$105,MATCH(A65,CATALOGO!$A$6:$A$105,0)))/INDEX(CATALOGO!$O$6:$O$105,MATCH(A65,CATALOGO!$A$6:$A$105,0)),0)*INDEX(CATALOGO!$O$6:$O$105,MATCH(A65,CATALOGO!$A$6:$A$105,0))))</f>
        <v/>
      </c>
      <c r="Q65" s="11" t="str">
        <f>IFERROR(IF(OR(A65="",COUNTIF(CATALOGO!$A$6:$A$105,A65)&lt;&gt;1),"",IF(OR(INDEX(CATALOGO!$H$6:$H$105,MATCH(A65,CATALOGO!$A$6:$A$105,0))="",INDEX(CATALOGO!$I$6:$I$105,MATCH(A65,CATALOGO!$A$6:$A$105,0))="",ABS(INDEX(CATALOGO!$H$6:$H$105,MATCH(A65,CATALOGO!$A$6:$A$105,0)))&gt;1000000000,ABS(INDEX(CATALOGO!$I$6:$I$105,MATCH(A65,CATALOGO!$A$6:$A$105,0)))&gt;1000000000),"",INDEX(CATALOGO!$H$6:$H$105,MATCH(A65,CATALOGO!$A$6:$A$105,0))+INDEX(CATALOGO!$I$6:$I$105,MATCH(A65,CATALOGO!$A$6:$A$105,0)))),"")</f>
        <v/>
      </c>
      <c r="R65" s="9" t="str">
        <f>IF(OR(A65="",I65="",COUNTIF(CATALOGO!$A$6:$A$105,A65)&lt;&gt;1),"",IF(I65=0,0,IF(OR(Q65="",INDEX(CATALOGO!$N$6:$N$105,MATCH(A65,CATALOGO!$A$6:$A$105,0))="",INDEX(CATALOGO!$O$6:$O$105,MATCH(A65,CATALOGO!$A$6:$A$105,0))="",INDEX(CATALOGO!$O$6:$O$105,MATCH(A65,CATALOGO!$A$6:$A$105,0))&lt;=0),"",IF(OR(I65&lt;INDEX(CATALOGO!$N$6:$N$105,MATCH(A65,CATALOGO!$A$6:$A$105,0)),MOD(I65,INDEX(CATALOGO!$O$6:$O$105,MATCH(A65,CATALOGO!$A$6:$A$105,0)))&lt;&gt;0,J65="",J65&lt;=CONFIG!$B$5,J65&gt;CONFIG!$B$5+91),"",I65*Q65))))</f>
        <v/>
      </c>
      <c r="S65" s="12" t="str">
        <f>IF(A65="","",IF(COUNTIF(CATALOGO!$A$6:$A$105,A65)&lt;&gt;1,"SKU NO VALIDO",IF(I65="","CANTIDAD DESCONOCIDA",IF(I65=0,"SIN COMPRA ELEGIDA",IF(OR(I65&lt;0,I65&gt;1000000),"CANTIDAD INVALIDA",IF(OR(INDEX(CATALOGO!$N$6:$N$105,MATCH(A65,CATALOGO!$A$6:$A$105,0))="",INDEX(CATALOGO!$O$6:$O$105,MATCH(A65,CATALOGO!$A$6:$A$105,0))="",INDEX(CATALOGO!$O$6:$O$105,MATCH(A65,CATALOGO!$A$6:$A$105,0))&lt;=0),"CATALOGO A REVISAR",IF(OR(I65&lt;INDEX(CATALOGO!$N$6:$N$105,MATCH(A65,CATALOGO!$A$6:$A$105,0)),MOD(I65,INDEX(CATALOGO!$O$6:$O$105,MATCH(A65,CATALOGO!$A$6:$A$105,0)))&lt;&gt;0),"NO RESPETA MOQ/PACK",IF(J65="","FALTA FECHA PAGO",IF(Q65="","COSTO DESCONOCIDO",IF(OR(J65&lt;=CONFIG!$B$5,J65&gt;CONFIG!$B$5+91),"FUERA DE 91 DIAS",IF(AND(P65&lt;&gt;"",I65&gt;P65),"EN MODELO · SUPERA PROPUESTA","EN MODELO")))))))))))</f>
        <v/>
      </c>
    </row>
    <row r="66" spans="1:19" x14ac:dyDescent="0.45">
      <c r="A66" s="8"/>
      <c r="B66" s="4"/>
      <c r="C66" s="5"/>
      <c r="D66" s="5"/>
      <c r="E66" s="5"/>
      <c r="F66" s="4"/>
      <c r="G66" s="8"/>
      <c r="H66" s="5"/>
      <c r="I66" s="5"/>
      <c r="J66" s="4"/>
      <c r="K66" s="12" t="str">
        <f>IFERROR(IF(A66="","",IF(COUNTIF($A$6:$A$105,A66)&gt;1,"DUPLICADO STOCK",IF(COUNTIF(CATALOGO!$A$6:$A$105,A66)&lt;&gt;1,"SKU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INVALIDA",IF(INDEX(CATALOGO!$F$6:$F$105,MATCH(A66,CATALOGO!$A$6:$A$105,0))&lt;&gt;"ACTIVO",INDEX(CATALOGO!$F$6:$F$105,MATCH(A66,CATALOGO!$A$6:$A$105,0)),IF(OR(B66="",B66&lt;&gt;CONFIG!$B$5),"CONTEO NO VIGENTE",IF(OR(C66="",D66="",E66="",H66=""),"FALTA CAMPO",IF(OR(C66&lt;0,C66&gt;1000000,D66&lt;0,D66&gt;1000000,E66&lt;0,E66&gt;1000000,D66&gt;C66),"REVISAR VALOR",IF(H66&gt;CONFIG!$B$6,"EXPOSICION FUERA DE RANGO",IF(H66&lt;&gt;CONFIG!$B$6,"DISPONIBILIDAD INCOMPLETA",IF(CONFIG!$B$14&lt;&gt;"SI","VENTAS INCOMPLETAS",IF(CONFIG!$B$12&lt;&gt;"SI","POLITICA SIN REVISAR",IF(SUMPRODUCT(--(VENTAS!$B$6:$B$1005=A66),--(VENTAS!$A$6:$A$1005&gt;=CONFIG!$B$5-CONFIG!$B$6+1),--(VENTAS!$A$6:$A$1005&lt;=CONFIG!$B$5),--(VENTAS!$I$6:$I$1005&lt;&gt;""),--(VENTAS!$I$6:$I$1005&lt;&gt;"OK"))&gt;0,"VENTAS A REVISAR",IF(AND(E66&gt;0,OR(F66="",G66&lt;&gt;"SI")),"TRANSITO SIN CONFIRMAR",IF(AND(E66&gt;0,G66="SI",OR(F66&lt;=CONFIG!$B$5,F66&gt;CONFIG!$B$5+INDEX(CATALOGO!$M$6:$M$105,MATCH(A66,CATALOGO!$A$6:$A$105,0)))),"TRANSITO FUERA DEL PLAZO",IF(INDEX(CATALOGO!$T$6:$T$105,MATCH(A66,CATALOGO!$A$6:$A$105,0))&lt;&gt;"OK","CATALOGO A REVISAR",IF(1-INDEX(CATALOGO!$K$6:$K$105,MATCH(A66,CATALOGO!$A$6:$A$105,0))-CONFIG!$B$8&lt;=0,"MARGEN OBJETIVO INVIABLE",IF(INDEX(CATALOGO!$R$6:$R$105,MATCH(A66,CATALOGO!$A$6:$A$105,0))&lt;CONFIG!$B$8,"REVISAR PRECIO O COSTO","ELEGIBLE")))))))))))))))))),"CONFIG INVALIDA")</f>
        <v/>
      </c>
      <c r="L66" s="13" t="str">
        <f t="shared" si="1"/>
        <v/>
      </c>
      <c r="M66" s="12" t="str">
        <f>IFERROR(IF(OR(A66="",CONFIG!$B$14&lt;&gt;"SI",CONFIG!$B$6&lt;1,CONFIG!$B$6&gt;365,CONFIG!$B$6&lt;&gt;INT(CONFIG!$B$6),SUMPRODUCT(--(VENTAS!$B$6:$B$1005=A66),--(VENTAS!$A$6:$A$1005&gt;=CONFIG!$B$5-CONFIG!$B$6+1),--(VENTAS!$A$6:$A$1005&lt;=CONFIG!$B$5),--(VENTAS!$I$6:$I$1005&lt;&gt;""),--(VENTAS!$I$6:$I$1005&lt;&gt;"OK"))&gt;0),"",MAX(0,(SUMIFS(VENTAS!$C$6:$C$1005,VENTAS!$B$6:$B$1005,A66,VENTAS!$A$6:$A$1005,"&gt;="&amp;CONFIG!$B$5-CONFIG!$B$6+1,VENTAS!$A$6:$A$1005,"&lt;="&amp;CONFIG!$B$5)-SUMIFS(VENTAS!$E$6:$E$1005,VENTAS!$B$6:$B$1005,A66,VENTAS!$A$6:$A$1005,"&gt;="&amp;CONFIG!$B$5-CONFIG!$B$6+1,VENTAS!$A$6:$A$1005,"&lt;="&amp;CONFIG!$B$5))/CONFIG!$B$6)),"")</f>
        <v/>
      </c>
      <c r="N66" s="14" t="str">
        <f>IF(K66&lt;&gt;"ELEGIBLE","",IF(AND(E66&gt;0,G66="SI",F66&gt;CONFIG!$B$5,F66&lt;=CONFIG!$B$5+INDEX(CATALOGO!$M$6:$M$105,MATCH(A66,CATALOGO!$A$6:$A$105,0))),E66,0))</f>
        <v/>
      </c>
      <c r="O66" s="14" t="str">
        <f>IF(K66&lt;&gt;"ELEGIBLE","",MAX(0,ROUNDUP(ROUND(M66*(INDEX(CATALOGO!$M$6:$M$105,MATCH(A66,CATALOGO!$A$6:$A$105,0))+CONFIG!$B$7)-L66-N66,10),0)))</f>
        <v/>
      </c>
      <c r="P66" s="14" t="str">
        <f>IF(O66="","",IF(O66=0,0,ROUNDUP(MAX(O66,INDEX(CATALOGO!$N$6:$N$105,MATCH(A66,CATALOGO!$A$6:$A$105,0)))/INDEX(CATALOGO!$O$6:$O$105,MATCH(A66,CATALOGO!$A$6:$A$105,0)),0)*INDEX(CATALOGO!$O$6:$O$105,MATCH(A66,CATALOGO!$A$6:$A$105,0))))</f>
        <v/>
      </c>
      <c r="Q66" s="11" t="str">
        <f>IFERROR(IF(OR(A66="",COUNTIF(CATALOGO!$A$6:$A$105,A66)&lt;&gt;1),"",IF(OR(INDEX(CATALOGO!$H$6:$H$105,MATCH(A66,CATALOGO!$A$6:$A$105,0))="",INDEX(CATALOGO!$I$6:$I$105,MATCH(A66,CATALOGO!$A$6:$A$105,0))="",ABS(INDEX(CATALOGO!$H$6:$H$105,MATCH(A66,CATALOGO!$A$6:$A$105,0)))&gt;1000000000,ABS(INDEX(CATALOGO!$I$6:$I$105,MATCH(A66,CATALOGO!$A$6:$A$105,0)))&gt;1000000000),"",INDEX(CATALOGO!$H$6:$H$105,MATCH(A66,CATALOGO!$A$6:$A$105,0))+INDEX(CATALOGO!$I$6:$I$105,MATCH(A66,CATALOGO!$A$6:$A$105,0)))),"")</f>
        <v/>
      </c>
      <c r="R66" s="9" t="str">
        <f>IF(OR(A66="",I66="",COUNTIF(CATALOGO!$A$6:$A$105,A66)&lt;&gt;1),"",IF(I66=0,0,IF(OR(Q66="",INDEX(CATALOGO!$N$6:$N$105,MATCH(A66,CATALOGO!$A$6:$A$105,0))="",INDEX(CATALOGO!$O$6:$O$105,MATCH(A66,CATALOGO!$A$6:$A$105,0))="",INDEX(CATALOGO!$O$6:$O$105,MATCH(A66,CATALOGO!$A$6:$A$105,0))&lt;=0),"",IF(OR(I66&lt;INDEX(CATALOGO!$N$6:$N$105,MATCH(A66,CATALOGO!$A$6:$A$105,0)),MOD(I66,INDEX(CATALOGO!$O$6:$O$105,MATCH(A66,CATALOGO!$A$6:$A$105,0)))&lt;&gt;0,J66="",J66&lt;=CONFIG!$B$5,J66&gt;CONFIG!$B$5+91),"",I66*Q66))))</f>
        <v/>
      </c>
      <c r="S66" s="12" t="str">
        <f>IF(A66="","",IF(COUNTIF(CATALOGO!$A$6:$A$105,A66)&lt;&gt;1,"SKU NO VALIDO",IF(I66="","CANTIDAD DESCONOCIDA",IF(I66=0,"SIN COMPRA ELEGIDA",IF(OR(I66&lt;0,I66&gt;1000000),"CANTIDAD INVALIDA",IF(OR(INDEX(CATALOGO!$N$6:$N$105,MATCH(A66,CATALOGO!$A$6:$A$105,0))="",INDEX(CATALOGO!$O$6:$O$105,MATCH(A66,CATALOGO!$A$6:$A$105,0))="",INDEX(CATALOGO!$O$6:$O$105,MATCH(A66,CATALOGO!$A$6:$A$105,0))&lt;=0),"CATALOGO A REVISAR",IF(OR(I66&lt;INDEX(CATALOGO!$N$6:$N$105,MATCH(A66,CATALOGO!$A$6:$A$105,0)),MOD(I66,INDEX(CATALOGO!$O$6:$O$105,MATCH(A66,CATALOGO!$A$6:$A$105,0)))&lt;&gt;0),"NO RESPETA MOQ/PACK",IF(J66="","FALTA FECHA PAGO",IF(Q66="","COSTO DESCONOCIDO",IF(OR(J66&lt;=CONFIG!$B$5,J66&gt;CONFIG!$B$5+91),"FUERA DE 91 DIAS",IF(AND(P66&lt;&gt;"",I66&gt;P66),"EN MODELO · SUPERA PROPUESTA","EN MODELO")))))))))))</f>
        <v/>
      </c>
    </row>
    <row r="67" spans="1:19" x14ac:dyDescent="0.45">
      <c r="A67" s="8"/>
      <c r="B67" s="4"/>
      <c r="C67" s="5"/>
      <c r="D67" s="5"/>
      <c r="E67" s="5"/>
      <c r="F67" s="4"/>
      <c r="G67" s="8"/>
      <c r="H67" s="5"/>
      <c r="I67" s="5"/>
      <c r="J67" s="4"/>
      <c r="K67" s="12" t="str">
        <f>IFERROR(IF(A67="","",IF(COUNTIF($A$6:$A$105,A67)&gt;1,"DUPLICADO STOCK",IF(COUNTIF(CATALOGO!$A$6:$A$105,A67)&lt;&gt;1,"SKU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INVALIDA",IF(INDEX(CATALOGO!$F$6:$F$105,MATCH(A67,CATALOGO!$A$6:$A$105,0))&lt;&gt;"ACTIVO",INDEX(CATALOGO!$F$6:$F$105,MATCH(A67,CATALOGO!$A$6:$A$105,0)),IF(OR(B67="",B67&lt;&gt;CONFIG!$B$5),"CONTEO NO VIGENTE",IF(OR(C67="",D67="",E67="",H67=""),"FALTA CAMPO",IF(OR(C67&lt;0,C67&gt;1000000,D67&lt;0,D67&gt;1000000,E67&lt;0,E67&gt;1000000,D67&gt;C67),"REVISAR VALOR",IF(H67&gt;CONFIG!$B$6,"EXPOSICION FUERA DE RANGO",IF(H67&lt;&gt;CONFIG!$B$6,"DISPONIBILIDAD INCOMPLETA",IF(CONFIG!$B$14&lt;&gt;"SI","VENTAS INCOMPLETAS",IF(CONFIG!$B$12&lt;&gt;"SI","POLITICA SIN REVISAR",IF(SUMPRODUCT(--(VENTAS!$B$6:$B$1005=A67),--(VENTAS!$A$6:$A$1005&gt;=CONFIG!$B$5-CONFIG!$B$6+1),--(VENTAS!$A$6:$A$1005&lt;=CONFIG!$B$5),--(VENTAS!$I$6:$I$1005&lt;&gt;""),--(VENTAS!$I$6:$I$1005&lt;&gt;"OK"))&gt;0,"VENTAS A REVISAR",IF(AND(E67&gt;0,OR(F67="",G67&lt;&gt;"SI")),"TRANSITO SIN CONFIRMAR",IF(AND(E67&gt;0,G67="SI",OR(F67&lt;=CONFIG!$B$5,F67&gt;CONFIG!$B$5+INDEX(CATALOGO!$M$6:$M$105,MATCH(A67,CATALOGO!$A$6:$A$105,0)))),"TRANSITO FUERA DEL PLAZO",IF(INDEX(CATALOGO!$T$6:$T$105,MATCH(A67,CATALOGO!$A$6:$A$105,0))&lt;&gt;"OK","CATALOGO A REVISAR",IF(1-INDEX(CATALOGO!$K$6:$K$105,MATCH(A67,CATALOGO!$A$6:$A$105,0))-CONFIG!$B$8&lt;=0,"MARGEN OBJETIVO INVIABLE",IF(INDEX(CATALOGO!$R$6:$R$105,MATCH(A67,CATALOGO!$A$6:$A$105,0))&lt;CONFIG!$B$8,"REVISAR PRECIO O COSTO","ELEGIBLE")))))))))))))))))),"CONFIG INVALIDA")</f>
        <v/>
      </c>
      <c r="L67" s="13" t="str">
        <f t="shared" si="1"/>
        <v/>
      </c>
      <c r="M67" s="12" t="str">
        <f>IFERROR(IF(OR(A67="",CONFIG!$B$14&lt;&gt;"SI",CONFIG!$B$6&lt;1,CONFIG!$B$6&gt;365,CONFIG!$B$6&lt;&gt;INT(CONFIG!$B$6),SUMPRODUCT(--(VENTAS!$B$6:$B$1005=A67),--(VENTAS!$A$6:$A$1005&gt;=CONFIG!$B$5-CONFIG!$B$6+1),--(VENTAS!$A$6:$A$1005&lt;=CONFIG!$B$5),--(VENTAS!$I$6:$I$1005&lt;&gt;""),--(VENTAS!$I$6:$I$1005&lt;&gt;"OK"))&gt;0),"",MAX(0,(SUMIFS(VENTAS!$C$6:$C$1005,VENTAS!$B$6:$B$1005,A67,VENTAS!$A$6:$A$1005,"&gt;="&amp;CONFIG!$B$5-CONFIG!$B$6+1,VENTAS!$A$6:$A$1005,"&lt;="&amp;CONFIG!$B$5)-SUMIFS(VENTAS!$E$6:$E$1005,VENTAS!$B$6:$B$1005,A67,VENTAS!$A$6:$A$1005,"&gt;="&amp;CONFIG!$B$5-CONFIG!$B$6+1,VENTAS!$A$6:$A$1005,"&lt;="&amp;CONFIG!$B$5))/CONFIG!$B$6)),"")</f>
        <v/>
      </c>
      <c r="N67" s="14" t="str">
        <f>IF(K67&lt;&gt;"ELEGIBLE","",IF(AND(E67&gt;0,G67="SI",F67&gt;CONFIG!$B$5,F67&lt;=CONFIG!$B$5+INDEX(CATALOGO!$M$6:$M$105,MATCH(A67,CATALOGO!$A$6:$A$105,0))),E67,0))</f>
        <v/>
      </c>
      <c r="O67" s="14" t="str">
        <f>IF(K67&lt;&gt;"ELEGIBLE","",MAX(0,ROUNDUP(ROUND(M67*(INDEX(CATALOGO!$M$6:$M$105,MATCH(A67,CATALOGO!$A$6:$A$105,0))+CONFIG!$B$7)-L67-N67,10),0)))</f>
        <v/>
      </c>
      <c r="P67" s="14" t="str">
        <f>IF(O67="","",IF(O67=0,0,ROUNDUP(MAX(O67,INDEX(CATALOGO!$N$6:$N$105,MATCH(A67,CATALOGO!$A$6:$A$105,0)))/INDEX(CATALOGO!$O$6:$O$105,MATCH(A67,CATALOGO!$A$6:$A$105,0)),0)*INDEX(CATALOGO!$O$6:$O$105,MATCH(A67,CATALOGO!$A$6:$A$105,0))))</f>
        <v/>
      </c>
      <c r="Q67" s="11" t="str">
        <f>IFERROR(IF(OR(A67="",COUNTIF(CATALOGO!$A$6:$A$105,A67)&lt;&gt;1),"",IF(OR(INDEX(CATALOGO!$H$6:$H$105,MATCH(A67,CATALOGO!$A$6:$A$105,0))="",INDEX(CATALOGO!$I$6:$I$105,MATCH(A67,CATALOGO!$A$6:$A$105,0))="",ABS(INDEX(CATALOGO!$H$6:$H$105,MATCH(A67,CATALOGO!$A$6:$A$105,0)))&gt;1000000000,ABS(INDEX(CATALOGO!$I$6:$I$105,MATCH(A67,CATALOGO!$A$6:$A$105,0)))&gt;1000000000),"",INDEX(CATALOGO!$H$6:$H$105,MATCH(A67,CATALOGO!$A$6:$A$105,0))+INDEX(CATALOGO!$I$6:$I$105,MATCH(A67,CATALOGO!$A$6:$A$105,0)))),"")</f>
        <v/>
      </c>
      <c r="R67" s="9" t="str">
        <f>IF(OR(A67="",I67="",COUNTIF(CATALOGO!$A$6:$A$105,A67)&lt;&gt;1),"",IF(I67=0,0,IF(OR(Q67="",INDEX(CATALOGO!$N$6:$N$105,MATCH(A67,CATALOGO!$A$6:$A$105,0))="",INDEX(CATALOGO!$O$6:$O$105,MATCH(A67,CATALOGO!$A$6:$A$105,0))="",INDEX(CATALOGO!$O$6:$O$105,MATCH(A67,CATALOGO!$A$6:$A$105,0))&lt;=0),"",IF(OR(I67&lt;INDEX(CATALOGO!$N$6:$N$105,MATCH(A67,CATALOGO!$A$6:$A$105,0)),MOD(I67,INDEX(CATALOGO!$O$6:$O$105,MATCH(A67,CATALOGO!$A$6:$A$105,0)))&lt;&gt;0,J67="",J67&lt;=CONFIG!$B$5,J67&gt;CONFIG!$B$5+91),"",I67*Q67))))</f>
        <v/>
      </c>
      <c r="S67" s="12" t="str">
        <f>IF(A67="","",IF(COUNTIF(CATALOGO!$A$6:$A$105,A67)&lt;&gt;1,"SKU NO VALIDO",IF(I67="","CANTIDAD DESCONOCIDA",IF(I67=0,"SIN COMPRA ELEGIDA",IF(OR(I67&lt;0,I67&gt;1000000),"CANTIDAD INVALIDA",IF(OR(INDEX(CATALOGO!$N$6:$N$105,MATCH(A67,CATALOGO!$A$6:$A$105,0))="",INDEX(CATALOGO!$O$6:$O$105,MATCH(A67,CATALOGO!$A$6:$A$105,0))="",INDEX(CATALOGO!$O$6:$O$105,MATCH(A67,CATALOGO!$A$6:$A$105,0))&lt;=0),"CATALOGO A REVISAR",IF(OR(I67&lt;INDEX(CATALOGO!$N$6:$N$105,MATCH(A67,CATALOGO!$A$6:$A$105,0)),MOD(I67,INDEX(CATALOGO!$O$6:$O$105,MATCH(A67,CATALOGO!$A$6:$A$105,0)))&lt;&gt;0),"NO RESPETA MOQ/PACK",IF(J67="","FALTA FECHA PAGO",IF(Q67="","COSTO DESCONOCIDO",IF(OR(J67&lt;=CONFIG!$B$5,J67&gt;CONFIG!$B$5+91),"FUERA DE 91 DIAS",IF(AND(P67&lt;&gt;"",I67&gt;P67),"EN MODELO · SUPERA PROPUESTA","EN MODELO")))))))))))</f>
        <v/>
      </c>
    </row>
    <row r="68" spans="1:19" x14ac:dyDescent="0.45">
      <c r="A68" s="8"/>
      <c r="B68" s="4"/>
      <c r="C68" s="5"/>
      <c r="D68" s="5"/>
      <c r="E68" s="5"/>
      <c r="F68" s="4"/>
      <c r="G68" s="8"/>
      <c r="H68" s="5"/>
      <c r="I68" s="5"/>
      <c r="J68" s="4"/>
      <c r="K68" s="12" t="str">
        <f>IFERROR(IF(A68="","",IF(COUNTIF($A$6:$A$105,A68)&gt;1,"DUPLICADO STOCK",IF(COUNTIF(CATALOGO!$A$6:$A$105,A68)&lt;&gt;1,"SKU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INVALIDA",IF(INDEX(CATALOGO!$F$6:$F$105,MATCH(A68,CATALOGO!$A$6:$A$105,0))&lt;&gt;"ACTIVO",INDEX(CATALOGO!$F$6:$F$105,MATCH(A68,CATALOGO!$A$6:$A$105,0)),IF(OR(B68="",B68&lt;&gt;CONFIG!$B$5),"CONTEO NO VIGENTE",IF(OR(C68="",D68="",E68="",H68=""),"FALTA CAMPO",IF(OR(C68&lt;0,C68&gt;1000000,D68&lt;0,D68&gt;1000000,E68&lt;0,E68&gt;1000000,D68&gt;C68),"REVISAR VALOR",IF(H68&gt;CONFIG!$B$6,"EXPOSICION FUERA DE RANGO",IF(H68&lt;&gt;CONFIG!$B$6,"DISPONIBILIDAD INCOMPLETA",IF(CONFIG!$B$14&lt;&gt;"SI","VENTAS INCOMPLETAS",IF(CONFIG!$B$12&lt;&gt;"SI","POLITICA SIN REVISAR",IF(SUMPRODUCT(--(VENTAS!$B$6:$B$1005=A68),--(VENTAS!$A$6:$A$1005&gt;=CONFIG!$B$5-CONFIG!$B$6+1),--(VENTAS!$A$6:$A$1005&lt;=CONFIG!$B$5),--(VENTAS!$I$6:$I$1005&lt;&gt;""),--(VENTAS!$I$6:$I$1005&lt;&gt;"OK"))&gt;0,"VENTAS A REVISAR",IF(AND(E68&gt;0,OR(F68="",G68&lt;&gt;"SI")),"TRANSITO SIN CONFIRMAR",IF(AND(E68&gt;0,G68="SI",OR(F68&lt;=CONFIG!$B$5,F68&gt;CONFIG!$B$5+INDEX(CATALOGO!$M$6:$M$105,MATCH(A68,CATALOGO!$A$6:$A$105,0)))),"TRANSITO FUERA DEL PLAZO",IF(INDEX(CATALOGO!$T$6:$T$105,MATCH(A68,CATALOGO!$A$6:$A$105,0))&lt;&gt;"OK","CATALOGO A REVISAR",IF(1-INDEX(CATALOGO!$K$6:$K$105,MATCH(A68,CATALOGO!$A$6:$A$105,0))-CONFIG!$B$8&lt;=0,"MARGEN OBJETIVO INVIABLE",IF(INDEX(CATALOGO!$R$6:$R$105,MATCH(A68,CATALOGO!$A$6:$A$105,0))&lt;CONFIG!$B$8,"REVISAR PRECIO O COSTO","ELEGIBLE")))))))))))))))))),"CONFIG INVALIDA")</f>
        <v/>
      </c>
      <c r="L68" s="13" t="str">
        <f t="shared" si="1"/>
        <v/>
      </c>
      <c r="M68" s="12" t="str">
        <f>IFERROR(IF(OR(A68="",CONFIG!$B$14&lt;&gt;"SI",CONFIG!$B$6&lt;1,CONFIG!$B$6&gt;365,CONFIG!$B$6&lt;&gt;INT(CONFIG!$B$6),SUMPRODUCT(--(VENTAS!$B$6:$B$1005=A68),--(VENTAS!$A$6:$A$1005&gt;=CONFIG!$B$5-CONFIG!$B$6+1),--(VENTAS!$A$6:$A$1005&lt;=CONFIG!$B$5),--(VENTAS!$I$6:$I$1005&lt;&gt;""),--(VENTAS!$I$6:$I$1005&lt;&gt;"OK"))&gt;0),"",MAX(0,(SUMIFS(VENTAS!$C$6:$C$1005,VENTAS!$B$6:$B$1005,A68,VENTAS!$A$6:$A$1005,"&gt;="&amp;CONFIG!$B$5-CONFIG!$B$6+1,VENTAS!$A$6:$A$1005,"&lt;="&amp;CONFIG!$B$5)-SUMIFS(VENTAS!$E$6:$E$1005,VENTAS!$B$6:$B$1005,A68,VENTAS!$A$6:$A$1005,"&gt;="&amp;CONFIG!$B$5-CONFIG!$B$6+1,VENTAS!$A$6:$A$1005,"&lt;="&amp;CONFIG!$B$5))/CONFIG!$B$6)),"")</f>
        <v/>
      </c>
      <c r="N68" s="14" t="str">
        <f>IF(K68&lt;&gt;"ELEGIBLE","",IF(AND(E68&gt;0,G68="SI",F68&gt;CONFIG!$B$5,F68&lt;=CONFIG!$B$5+INDEX(CATALOGO!$M$6:$M$105,MATCH(A68,CATALOGO!$A$6:$A$105,0))),E68,0))</f>
        <v/>
      </c>
      <c r="O68" s="14" t="str">
        <f>IF(K68&lt;&gt;"ELEGIBLE","",MAX(0,ROUNDUP(ROUND(M68*(INDEX(CATALOGO!$M$6:$M$105,MATCH(A68,CATALOGO!$A$6:$A$105,0))+CONFIG!$B$7)-L68-N68,10),0)))</f>
        <v/>
      </c>
      <c r="P68" s="14" t="str">
        <f>IF(O68="","",IF(O68=0,0,ROUNDUP(MAX(O68,INDEX(CATALOGO!$N$6:$N$105,MATCH(A68,CATALOGO!$A$6:$A$105,0)))/INDEX(CATALOGO!$O$6:$O$105,MATCH(A68,CATALOGO!$A$6:$A$105,0)),0)*INDEX(CATALOGO!$O$6:$O$105,MATCH(A68,CATALOGO!$A$6:$A$105,0))))</f>
        <v/>
      </c>
      <c r="Q68" s="11" t="str">
        <f>IFERROR(IF(OR(A68="",COUNTIF(CATALOGO!$A$6:$A$105,A68)&lt;&gt;1),"",IF(OR(INDEX(CATALOGO!$H$6:$H$105,MATCH(A68,CATALOGO!$A$6:$A$105,0))="",INDEX(CATALOGO!$I$6:$I$105,MATCH(A68,CATALOGO!$A$6:$A$105,0))="",ABS(INDEX(CATALOGO!$H$6:$H$105,MATCH(A68,CATALOGO!$A$6:$A$105,0)))&gt;1000000000,ABS(INDEX(CATALOGO!$I$6:$I$105,MATCH(A68,CATALOGO!$A$6:$A$105,0)))&gt;1000000000),"",INDEX(CATALOGO!$H$6:$H$105,MATCH(A68,CATALOGO!$A$6:$A$105,0))+INDEX(CATALOGO!$I$6:$I$105,MATCH(A68,CATALOGO!$A$6:$A$105,0)))),"")</f>
        <v/>
      </c>
      <c r="R68" s="9" t="str">
        <f>IF(OR(A68="",I68="",COUNTIF(CATALOGO!$A$6:$A$105,A68)&lt;&gt;1),"",IF(I68=0,0,IF(OR(Q68="",INDEX(CATALOGO!$N$6:$N$105,MATCH(A68,CATALOGO!$A$6:$A$105,0))="",INDEX(CATALOGO!$O$6:$O$105,MATCH(A68,CATALOGO!$A$6:$A$105,0))="",INDEX(CATALOGO!$O$6:$O$105,MATCH(A68,CATALOGO!$A$6:$A$105,0))&lt;=0),"",IF(OR(I68&lt;INDEX(CATALOGO!$N$6:$N$105,MATCH(A68,CATALOGO!$A$6:$A$105,0)),MOD(I68,INDEX(CATALOGO!$O$6:$O$105,MATCH(A68,CATALOGO!$A$6:$A$105,0)))&lt;&gt;0,J68="",J68&lt;=CONFIG!$B$5,J68&gt;CONFIG!$B$5+91),"",I68*Q68))))</f>
        <v/>
      </c>
      <c r="S68" s="12" t="str">
        <f>IF(A68="","",IF(COUNTIF(CATALOGO!$A$6:$A$105,A68)&lt;&gt;1,"SKU NO VALIDO",IF(I68="","CANTIDAD DESCONOCIDA",IF(I68=0,"SIN COMPRA ELEGIDA",IF(OR(I68&lt;0,I68&gt;1000000),"CANTIDAD INVALIDA",IF(OR(INDEX(CATALOGO!$N$6:$N$105,MATCH(A68,CATALOGO!$A$6:$A$105,0))="",INDEX(CATALOGO!$O$6:$O$105,MATCH(A68,CATALOGO!$A$6:$A$105,0))="",INDEX(CATALOGO!$O$6:$O$105,MATCH(A68,CATALOGO!$A$6:$A$105,0))&lt;=0),"CATALOGO A REVISAR",IF(OR(I68&lt;INDEX(CATALOGO!$N$6:$N$105,MATCH(A68,CATALOGO!$A$6:$A$105,0)),MOD(I68,INDEX(CATALOGO!$O$6:$O$105,MATCH(A68,CATALOGO!$A$6:$A$105,0)))&lt;&gt;0),"NO RESPETA MOQ/PACK",IF(J68="","FALTA FECHA PAGO",IF(Q68="","COSTO DESCONOCIDO",IF(OR(J68&lt;=CONFIG!$B$5,J68&gt;CONFIG!$B$5+91),"FUERA DE 91 DIAS",IF(AND(P68&lt;&gt;"",I68&gt;P68),"EN MODELO · SUPERA PROPUESTA","EN MODELO")))))))))))</f>
        <v/>
      </c>
    </row>
    <row r="69" spans="1:19" x14ac:dyDescent="0.45">
      <c r="A69" s="8"/>
      <c r="B69" s="4"/>
      <c r="C69" s="5"/>
      <c r="D69" s="5"/>
      <c r="E69" s="5"/>
      <c r="F69" s="4"/>
      <c r="G69" s="8"/>
      <c r="H69" s="5"/>
      <c r="I69" s="5"/>
      <c r="J69" s="4"/>
      <c r="K69" s="12" t="str">
        <f>IFERROR(IF(A69="","",IF(COUNTIF($A$6:$A$105,A69)&gt;1,"DUPLICADO STOCK",IF(COUNTIF(CATALOGO!$A$6:$A$105,A69)&lt;&gt;1,"SKU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INVALIDA",IF(INDEX(CATALOGO!$F$6:$F$105,MATCH(A69,CATALOGO!$A$6:$A$105,0))&lt;&gt;"ACTIVO",INDEX(CATALOGO!$F$6:$F$105,MATCH(A69,CATALOGO!$A$6:$A$105,0)),IF(OR(B69="",B69&lt;&gt;CONFIG!$B$5),"CONTEO NO VIGENTE",IF(OR(C69="",D69="",E69="",H69=""),"FALTA CAMPO",IF(OR(C69&lt;0,C69&gt;1000000,D69&lt;0,D69&gt;1000000,E69&lt;0,E69&gt;1000000,D69&gt;C69),"REVISAR VALOR",IF(H69&gt;CONFIG!$B$6,"EXPOSICION FUERA DE RANGO",IF(H69&lt;&gt;CONFIG!$B$6,"DISPONIBILIDAD INCOMPLETA",IF(CONFIG!$B$14&lt;&gt;"SI","VENTAS INCOMPLETAS",IF(CONFIG!$B$12&lt;&gt;"SI","POLITICA SIN REVISAR",IF(SUMPRODUCT(--(VENTAS!$B$6:$B$1005=A69),--(VENTAS!$A$6:$A$1005&gt;=CONFIG!$B$5-CONFIG!$B$6+1),--(VENTAS!$A$6:$A$1005&lt;=CONFIG!$B$5),--(VENTAS!$I$6:$I$1005&lt;&gt;""),--(VENTAS!$I$6:$I$1005&lt;&gt;"OK"))&gt;0,"VENTAS A REVISAR",IF(AND(E69&gt;0,OR(F69="",G69&lt;&gt;"SI")),"TRANSITO SIN CONFIRMAR",IF(AND(E69&gt;0,G69="SI",OR(F69&lt;=CONFIG!$B$5,F69&gt;CONFIG!$B$5+INDEX(CATALOGO!$M$6:$M$105,MATCH(A69,CATALOGO!$A$6:$A$105,0)))),"TRANSITO FUERA DEL PLAZO",IF(INDEX(CATALOGO!$T$6:$T$105,MATCH(A69,CATALOGO!$A$6:$A$105,0))&lt;&gt;"OK","CATALOGO A REVISAR",IF(1-INDEX(CATALOGO!$K$6:$K$105,MATCH(A69,CATALOGO!$A$6:$A$105,0))-CONFIG!$B$8&lt;=0,"MARGEN OBJETIVO INVIABLE",IF(INDEX(CATALOGO!$R$6:$R$105,MATCH(A69,CATALOGO!$A$6:$A$105,0))&lt;CONFIG!$B$8,"REVISAR PRECIO O COSTO","ELEGIBLE")))))))))))))))))),"CONFIG INVALIDA")</f>
        <v/>
      </c>
      <c r="L69" s="13" t="str">
        <f t="shared" si="1"/>
        <v/>
      </c>
      <c r="M69" s="12" t="str">
        <f>IFERROR(IF(OR(A69="",CONFIG!$B$14&lt;&gt;"SI",CONFIG!$B$6&lt;1,CONFIG!$B$6&gt;365,CONFIG!$B$6&lt;&gt;INT(CONFIG!$B$6),SUMPRODUCT(--(VENTAS!$B$6:$B$1005=A69),--(VENTAS!$A$6:$A$1005&gt;=CONFIG!$B$5-CONFIG!$B$6+1),--(VENTAS!$A$6:$A$1005&lt;=CONFIG!$B$5),--(VENTAS!$I$6:$I$1005&lt;&gt;""),--(VENTAS!$I$6:$I$1005&lt;&gt;"OK"))&gt;0),"",MAX(0,(SUMIFS(VENTAS!$C$6:$C$1005,VENTAS!$B$6:$B$1005,A69,VENTAS!$A$6:$A$1005,"&gt;="&amp;CONFIG!$B$5-CONFIG!$B$6+1,VENTAS!$A$6:$A$1005,"&lt;="&amp;CONFIG!$B$5)-SUMIFS(VENTAS!$E$6:$E$1005,VENTAS!$B$6:$B$1005,A69,VENTAS!$A$6:$A$1005,"&gt;="&amp;CONFIG!$B$5-CONFIG!$B$6+1,VENTAS!$A$6:$A$1005,"&lt;="&amp;CONFIG!$B$5))/CONFIG!$B$6)),"")</f>
        <v/>
      </c>
      <c r="N69" s="14" t="str">
        <f>IF(K69&lt;&gt;"ELEGIBLE","",IF(AND(E69&gt;0,G69="SI",F69&gt;CONFIG!$B$5,F69&lt;=CONFIG!$B$5+INDEX(CATALOGO!$M$6:$M$105,MATCH(A69,CATALOGO!$A$6:$A$105,0))),E69,0))</f>
        <v/>
      </c>
      <c r="O69" s="14" t="str">
        <f>IF(K69&lt;&gt;"ELEGIBLE","",MAX(0,ROUNDUP(ROUND(M69*(INDEX(CATALOGO!$M$6:$M$105,MATCH(A69,CATALOGO!$A$6:$A$105,0))+CONFIG!$B$7)-L69-N69,10),0)))</f>
        <v/>
      </c>
      <c r="P69" s="14" t="str">
        <f>IF(O69="","",IF(O69=0,0,ROUNDUP(MAX(O69,INDEX(CATALOGO!$N$6:$N$105,MATCH(A69,CATALOGO!$A$6:$A$105,0)))/INDEX(CATALOGO!$O$6:$O$105,MATCH(A69,CATALOGO!$A$6:$A$105,0)),0)*INDEX(CATALOGO!$O$6:$O$105,MATCH(A69,CATALOGO!$A$6:$A$105,0))))</f>
        <v/>
      </c>
      <c r="Q69" s="11" t="str">
        <f>IFERROR(IF(OR(A69="",COUNTIF(CATALOGO!$A$6:$A$105,A69)&lt;&gt;1),"",IF(OR(INDEX(CATALOGO!$H$6:$H$105,MATCH(A69,CATALOGO!$A$6:$A$105,0))="",INDEX(CATALOGO!$I$6:$I$105,MATCH(A69,CATALOGO!$A$6:$A$105,0))="",ABS(INDEX(CATALOGO!$H$6:$H$105,MATCH(A69,CATALOGO!$A$6:$A$105,0)))&gt;1000000000,ABS(INDEX(CATALOGO!$I$6:$I$105,MATCH(A69,CATALOGO!$A$6:$A$105,0)))&gt;1000000000),"",INDEX(CATALOGO!$H$6:$H$105,MATCH(A69,CATALOGO!$A$6:$A$105,0))+INDEX(CATALOGO!$I$6:$I$105,MATCH(A69,CATALOGO!$A$6:$A$105,0)))),"")</f>
        <v/>
      </c>
      <c r="R69" s="9" t="str">
        <f>IF(OR(A69="",I69="",COUNTIF(CATALOGO!$A$6:$A$105,A69)&lt;&gt;1),"",IF(I69=0,0,IF(OR(Q69="",INDEX(CATALOGO!$N$6:$N$105,MATCH(A69,CATALOGO!$A$6:$A$105,0))="",INDEX(CATALOGO!$O$6:$O$105,MATCH(A69,CATALOGO!$A$6:$A$105,0))="",INDEX(CATALOGO!$O$6:$O$105,MATCH(A69,CATALOGO!$A$6:$A$105,0))&lt;=0),"",IF(OR(I69&lt;INDEX(CATALOGO!$N$6:$N$105,MATCH(A69,CATALOGO!$A$6:$A$105,0)),MOD(I69,INDEX(CATALOGO!$O$6:$O$105,MATCH(A69,CATALOGO!$A$6:$A$105,0)))&lt;&gt;0,J69="",J69&lt;=CONFIG!$B$5,J69&gt;CONFIG!$B$5+91),"",I69*Q69))))</f>
        <v/>
      </c>
      <c r="S69" s="12" t="str">
        <f>IF(A69="","",IF(COUNTIF(CATALOGO!$A$6:$A$105,A69)&lt;&gt;1,"SKU NO VALIDO",IF(I69="","CANTIDAD DESCONOCIDA",IF(I69=0,"SIN COMPRA ELEGIDA",IF(OR(I69&lt;0,I69&gt;1000000),"CANTIDAD INVALIDA",IF(OR(INDEX(CATALOGO!$N$6:$N$105,MATCH(A69,CATALOGO!$A$6:$A$105,0))="",INDEX(CATALOGO!$O$6:$O$105,MATCH(A69,CATALOGO!$A$6:$A$105,0))="",INDEX(CATALOGO!$O$6:$O$105,MATCH(A69,CATALOGO!$A$6:$A$105,0))&lt;=0),"CATALOGO A REVISAR",IF(OR(I69&lt;INDEX(CATALOGO!$N$6:$N$105,MATCH(A69,CATALOGO!$A$6:$A$105,0)),MOD(I69,INDEX(CATALOGO!$O$6:$O$105,MATCH(A69,CATALOGO!$A$6:$A$105,0)))&lt;&gt;0),"NO RESPETA MOQ/PACK",IF(J69="","FALTA FECHA PAGO",IF(Q69="","COSTO DESCONOCIDO",IF(OR(J69&lt;=CONFIG!$B$5,J69&gt;CONFIG!$B$5+91),"FUERA DE 91 DIAS",IF(AND(P69&lt;&gt;"",I69&gt;P69),"EN MODELO · SUPERA PROPUESTA","EN MODELO")))))))))))</f>
        <v/>
      </c>
    </row>
    <row r="70" spans="1:19" x14ac:dyDescent="0.45">
      <c r="A70" s="8"/>
      <c r="B70" s="4"/>
      <c r="C70" s="5"/>
      <c r="D70" s="5"/>
      <c r="E70" s="5"/>
      <c r="F70" s="4"/>
      <c r="G70" s="8"/>
      <c r="H70" s="5"/>
      <c r="I70" s="5"/>
      <c r="J70" s="4"/>
      <c r="K70" s="12" t="str">
        <f>IFERROR(IF(A70="","",IF(COUNTIF($A$6:$A$105,A70)&gt;1,"DUPLICADO STOCK",IF(COUNTIF(CATALOGO!$A$6:$A$105,A70)&lt;&gt;1,"SKU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INVALIDA",IF(INDEX(CATALOGO!$F$6:$F$105,MATCH(A70,CATALOGO!$A$6:$A$105,0))&lt;&gt;"ACTIVO",INDEX(CATALOGO!$F$6:$F$105,MATCH(A70,CATALOGO!$A$6:$A$105,0)),IF(OR(B70="",B70&lt;&gt;CONFIG!$B$5),"CONTEO NO VIGENTE",IF(OR(C70="",D70="",E70="",H70=""),"FALTA CAMPO",IF(OR(C70&lt;0,C70&gt;1000000,D70&lt;0,D70&gt;1000000,E70&lt;0,E70&gt;1000000,D70&gt;C70),"REVISAR VALOR",IF(H70&gt;CONFIG!$B$6,"EXPOSICION FUERA DE RANGO",IF(H70&lt;&gt;CONFIG!$B$6,"DISPONIBILIDAD INCOMPLETA",IF(CONFIG!$B$14&lt;&gt;"SI","VENTAS INCOMPLETAS",IF(CONFIG!$B$12&lt;&gt;"SI","POLITICA SIN REVISAR",IF(SUMPRODUCT(--(VENTAS!$B$6:$B$1005=A70),--(VENTAS!$A$6:$A$1005&gt;=CONFIG!$B$5-CONFIG!$B$6+1),--(VENTAS!$A$6:$A$1005&lt;=CONFIG!$B$5),--(VENTAS!$I$6:$I$1005&lt;&gt;""),--(VENTAS!$I$6:$I$1005&lt;&gt;"OK"))&gt;0,"VENTAS A REVISAR",IF(AND(E70&gt;0,OR(F70="",G70&lt;&gt;"SI")),"TRANSITO SIN CONFIRMAR",IF(AND(E70&gt;0,G70="SI",OR(F70&lt;=CONFIG!$B$5,F70&gt;CONFIG!$B$5+INDEX(CATALOGO!$M$6:$M$105,MATCH(A70,CATALOGO!$A$6:$A$105,0)))),"TRANSITO FUERA DEL PLAZO",IF(INDEX(CATALOGO!$T$6:$T$105,MATCH(A70,CATALOGO!$A$6:$A$105,0))&lt;&gt;"OK","CATALOGO A REVISAR",IF(1-INDEX(CATALOGO!$K$6:$K$105,MATCH(A70,CATALOGO!$A$6:$A$105,0))-CONFIG!$B$8&lt;=0,"MARGEN OBJETIVO INVIABLE",IF(INDEX(CATALOGO!$R$6:$R$105,MATCH(A70,CATALOGO!$A$6:$A$105,0))&lt;CONFIG!$B$8,"REVISAR PRECIO O COSTO","ELEGIBLE")))))))))))))))))),"CONFIG INVALIDA")</f>
        <v/>
      </c>
      <c r="L70" s="13" t="str">
        <f t="shared" ref="L70:L105" si="2">IF(OR(C70="",D70="",C70&lt;0,C70&gt;1000000,D70&lt;0,D70&gt;1000000,D70&gt;C70),"",C70-D70)</f>
        <v/>
      </c>
      <c r="M70" s="12" t="str">
        <f>IFERROR(IF(OR(A70="",CONFIG!$B$14&lt;&gt;"SI",CONFIG!$B$6&lt;1,CONFIG!$B$6&gt;365,CONFIG!$B$6&lt;&gt;INT(CONFIG!$B$6),SUMPRODUCT(--(VENTAS!$B$6:$B$1005=A70),--(VENTAS!$A$6:$A$1005&gt;=CONFIG!$B$5-CONFIG!$B$6+1),--(VENTAS!$A$6:$A$1005&lt;=CONFIG!$B$5),--(VENTAS!$I$6:$I$1005&lt;&gt;""),--(VENTAS!$I$6:$I$1005&lt;&gt;"OK"))&gt;0),"",MAX(0,(SUMIFS(VENTAS!$C$6:$C$1005,VENTAS!$B$6:$B$1005,A70,VENTAS!$A$6:$A$1005,"&gt;="&amp;CONFIG!$B$5-CONFIG!$B$6+1,VENTAS!$A$6:$A$1005,"&lt;="&amp;CONFIG!$B$5)-SUMIFS(VENTAS!$E$6:$E$1005,VENTAS!$B$6:$B$1005,A70,VENTAS!$A$6:$A$1005,"&gt;="&amp;CONFIG!$B$5-CONFIG!$B$6+1,VENTAS!$A$6:$A$1005,"&lt;="&amp;CONFIG!$B$5))/CONFIG!$B$6)),"")</f>
        <v/>
      </c>
      <c r="N70" s="14" t="str">
        <f>IF(K70&lt;&gt;"ELEGIBLE","",IF(AND(E70&gt;0,G70="SI",F70&gt;CONFIG!$B$5,F70&lt;=CONFIG!$B$5+INDEX(CATALOGO!$M$6:$M$105,MATCH(A70,CATALOGO!$A$6:$A$105,0))),E70,0))</f>
        <v/>
      </c>
      <c r="O70" s="14" t="str">
        <f>IF(K70&lt;&gt;"ELEGIBLE","",MAX(0,ROUNDUP(ROUND(M70*(INDEX(CATALOGO!$M$6:$M$105,MATCH(A70,CATALOGO!$A$6:$A$105,0))+CONFIG!$B$7)-L70-N70,10),0)))</f>
        <v/>
      </c>
      <c r="P70" s="14" t="str">
        <f>IF(O70="","",IF(O70=0,0,ROUNDUP(MAX(O70,INDEX(CATALOGO!$N$6:$N$105,MATCH(A70,CATALOGO!$A$6:$A$105,0)))/INDEX(CATALOGO!$O$6:$O$105,MATCH(A70,CATALOGO!$A$6:$A$105,0)),0)*INDEX(CATALOGO!$O$6:$O$105,MATCH(A70,CATALOGO!$A$6:$A$105,0))))</f>
        <v/>
      </c>
      <c r="Q70" s="11" t="str">
        <f>IFERROR(IF(OR(A70="",COUNTIF(CATALOGO!$A$6:$A$105,A70)&lt;&gt;1),"",IF(OR(INDEX(CATALOGO!$H$6:$H$105,MATCH(A70,CATALOGO!$A$6:$A$105,0))="",INDEX(CATALOGO!$I$6:$I$105,MATCH(A70,CATALOGO!$A$6:$A$105,0))="",ABS(INDEX(CATALOGO!$H$6:$H$105,MATCH(A70,CATALOGO!$A$6:$A$105,0)))&gt;1000000000,ABS(INDEX(CATALOGO!$I$6:$I$105,MATCH(A70,CATALOGO!$A$6:$A$105,0)))&gt;1000000000),"",INDEX(CATALOGO!$H$6:$H$105,MATCH(A70,CATALOGO!$A$6:$A$105,0))+INDEX(CATALOGO!$I$6:$I$105,MATCH(A70,CATALOGO!$A$6:$A$105,0)))),"")</f>
        <v/>
      </c>
      <c r="R70" s="9" t="str">
        <f>IF(OR(A70="",I70="",COUNTIF(CATALOGO!$A$6:$A$105,A70)&lt;&gt;1),"",IF(I70=0,0,IF(OR(Q70="",INDEX(CATALOGO!$N$6:$N$105,MATCH(A70,CATALOGO!$A$6:$A$105,0))="",INDEX(CATALOGO!$O$6:$O$105,MATCH(A70,CATALOGO!$A$6:$A$105,0))="",INDEX(CATALOGO!$O$6:$O$105,MATCH(A70,CATALOGO!$A$6:$A$105,0))&lt;=0),"",IF(OR(I70&lt;INDEX(CATALOGO!$N$6:$N$105,MATCH(A70,CATALOGO!$A$6:$A$105,0)),MOD(I70,INDEX(CATALOGO!$O$6:$O$105,MATCH(A70,CATALOGO!$A$6:$A$105,0)))&lt;&gt;0,J70="",J70&lt;=CONFIG!$B$5,J70&gt;CONFIG!$B$5+91),"",I70*Q70))))</f>
        <v/>
      </c>
      <c r="S70" s="12" t="str">
        <f>IF(A70="","",IF(COUNTIF(CATALOGO!$A$6:$A$105,A70)&lt;&gt;1,"SKU NO VALIDO",IF(I70="","CANTIDAD DESCONOCIDA",IF(I70=0,"SIN COMPRA ELEGIDA",IF(OR(I70&lt;0,I70&gt;1000000),"CANTIDAD INVALIDA",IF(OR(INDEX(CATALOGO!$N$6:$N$105,MATCH(A70,CATALOGO!$A$6:$A$105,0))="",INDEX(CATALOGO!$O$6:$O$105,MATCH(A70,CATALOGO!$A$6:$A$105,0))="",INDEX(CATALOGO!$O$6:$O$105,MATCH(A70,CATALOGO!$A$6:$A$105,0))&lt;=0),"CATALOGO A REVISAR",IF(OR(I70&lt;INDEX(CATALOGO!$N$6:$N$105,MATCH(A70,CATALOGO!$A$6:$A$105,0)),MOD(I70,INDEX(CATALOGO!$O$6:$O$105,MATCH(A70,CATALOGO!$A$6:$A$105,0)))&lt;&gt;0),"NO RESPETA MOQ/PACK",IF(J70="","FALTA FECHA PAGO",IF(Q70="","COSTO DESCONOCIDO",IF(OR(J70&lt;=CONFIG!$B$5,J70&gt;CONFIG!$B$5+91),"FUERA DE 91 DIAS",IF(AND(P70&lt;&gt;"",I70&gt;P70),"EN MODELO · SUPERA PROPUESTA","EN MODELO")))))))))))</f>
        <v/>
      </c>
    </row>
    <row r="71" spans="1:19" x14ac:dyDescent="0.45">
      <c r="A71" s="8"/>
      <c r="B71" s="4"/>
      <c r="C71" s="5"/>
      <c r="D71" s="5"/>
      <c r="E71" s="5"/>
      <c r="F71" s="4"/>
      <c r="G71" s="8"/>
      <c r="H71" s="5"/>
      <c r="I71" s="5"/>
      <c r="J71" s="4"/>
      <c r="K71" s="12" t="str">
        <f>IFERROR(IF(A71="","",IF(COUNTIF($A$6:$A$105,A71)&gt;1,"DUPLICADO STOCK",IF(COUNTIF(CATALOGO!$A$6:$A$105,A71)&lt;&gt;1,"SKU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INVALIDA",IF(INDEX(CATALOGO!$F$6:$F$105,MATCH(A71,CATALOGO!$A$6:$A$105,0))&lt;&gt;"ACTIVO",INDEX(CATALOGO!$F$6:$F$105,MATCH(A71,CATALOGO!$A$6:$A$105,0)),IF(OR(B71="",B71&lt;&gt;CONFIG!$B$5),"CONTEO NO VIGENTE",IF(OR(C71="",D71="",E71="",H71=""),"FALTA CAMPO",IF(OR(C71&lt;0,C71&gt;1000000,D71&lt;0,D71&gt;1000000,E71&lt;0,E71&gt;1000000,D71&gt;C71),"REVISAR VALOR",IF(H71&gt;CONFIG!$B$6,"EXPOSICION FUERA DE RANGO",IF(H71&lt;&gt;CONFIG!$B$6,"DISPONIBILIDAD INCOMPLETA",IF(CONFIG!$B$14&lt;&gt;"SI","VENTAS INCOMPLETAS",IF(CONFIG!$B$12&lt;&gt;"SI","POLITICA SIN REVISAR",IF(SUMPRODUCT(--(VENTAS!$B$6:$B$1005=A71),--(VENTAS!$A$6:$A$1005&gt;=CONFIG!$B$5-CONFIG!$B$6+1),--(VENTAS!$A$6:$A$1005&lt;=CONFIG!$B$5),--(VENTAS!$I$6:$I$1005&lt;&gt;""),--(VENTAS!$I$6:$I$1005&lt;&gt;"OK"))&gt;0,"VENTAS A REVISAR",IF(AND(E71&gt;0,OR(F71="",G71&lt;&gt;"SI")),"TRANSITO SIN CONFIRMAR",IF(AND(E71&gt;0,G71="SI",OR(F71&lt;=CONFIG!$B$5,F71&gt;CONFIG!$B$5+INDEX(CATALOGO!$M$6:$M$105,MATCH(A71,CATALOGO!$A$6:$A$105,0)))),"TRANSITO FUERA DEL PLAZO",IF(INDEX(CATALOGO!$T$6:$T$105,MATCH(A71,CATALOGO!$A$6:$A$105,0))&lt;&gt;"OK","CATALOGO A REVISAR",IF(1-INDEX(CATALOGO!$K$6:$K$105,MATCH(A71,CATALOGO!$A$6:$A$105,0))-CONFIG!$B$8&lt;=0,"MARGEN OBJETIVO INVIABLE",IF(INDEX(CATALOGO!$R$6:$R$105,MATCH(A71,CATALOGO!$A$6:$A$105,0))&lt;CONFIG!$B$8,"REVISAR PRECIO O COSTO","ELEGIBLE")))))))))))))))))),"CONFIG INVALIDA")</f>
        <v/>
      </c>
      <c r="L71" s="13" t="str">
        <f t="shared" si="2"/>
        <v/>
      </c>
      <c r="M71" s="12" t="str">
        <f>IFERROR(IF(OR(A71="",CONFIG!$B$14&lt;&gt;"SI",CONFIG!$B$6&lt;1,CONFIG!$B$6&gt;365,CONFIG!$B$6&lt;&gt;INT(CONFIG!$B$6),SUMPRODUCT(--(VENTAS!$B$6:$B$1005=A71),--(VENTAS!$A$6:$A$1005&gt;=CONFIG!$B$5-CONFIG!$B$6+1),--(VENTAS!$A$6:$A$1005&lt;=CONFIG!$B$5),--(VENTAS!$I$6:$I$1005&lt;&gt;""),--(VENTAS!$I$6:$I$1005&lt;&gt;"OK"))&gt;0),"",MAX(0,(SUMIFS(VENTAS!$C$6:$C$1005,VENTAS!$B$6:$B$1005,A71,VENTAS!$A$6:$A$1005,"&gt;="&amp;CONFIG!$B$5-CONFIG!$B$6+1,VENTAS!$A$6:$A$1005,"&lt;="&amp;CONFIG!$B$5)-SUMIFS(VENTAS!$E$6:$E$1005,VENTAS!$B$6:$B$1005,A71,VENTAS!$A$6:$A$1005,"&gt;="&amp;CONFIG!$B$5-CONFIG!$B$6+1,VENTAS!$A$6:$A$1005,"&lt;="&amp;CONFIG!$B$5))/CONFIG!$B$6)),"")</f>
        <v/>
      </c>
      <c r="N71" s="14" t="str">
        <f>IF(K71&lt;&gt;"ELEGIBLE","",IF(AND(E71&gt;0,G71="SI",F71&gt;CONFIG!$B$5,F71&lt;=CONFIG!$B$5+INDEX(CATALOGO!$M$6:$M$105,MATCH(A71,CATALOGO!$A$6:$A$105,0))),E71,0))</f>
        <v/>
      </c>
      <c r="O71" s="14" t="str">
        <f>IF(K71&lt;&gt;"ELEGIBLE","",MAX(0,ROUNDUP(ROUND(M71*(INDEX(CATALOGO!$M$6:$M$105,MATCH(A71,CATALOGO!$A$6:$A$105,0))+CONFIG!$B$7)-L71-N71,10),0)))</f>
        <v/>
      </c>
      <c r="P71" s="14" t="str">
        <f>IF(O71="","",IF(O71=0,0,ROUNDUP(MAX(O71,INDEX(CATALOGO!$N$6:$N$105,MATCH(A71,CATALOGO!$A$6:$A$105,0)))/INDEX(CATALOGO!$O$6:$O$105,MATCH(A71,CATALOGO!$A$6:$A$105,0)),0)*INDEX(CATALOGO!$O$6:$O$105,MATCH(A71,CATALOGO!$A$6:$A$105,0))))</f>
        <v/>
      </c>
      <c r="Q71" s="11" t="str">
        <f>IFERROR(IF(OR(A71="",COUNTIF(CATALOGO!$A$6:$A$105,A71)&lt;&gt;1),"",IF(OR(INDEX(CATALOGO!$H$6:$H$105,MATCH(A71,CATALOGO!$A$6:$A$105,0))="",INDEX(CATALOGO!$I$6:$I$105,MATCH(A71,CATALOGO!$A$6:$A$105,0))="",ABS(INDEX(CATALOGO!$H$6:$H$105,MATCH(A71,CATALOGO!$A$6:$A$105,0)))&gt;1000000000,ABS(INDEX(CATALOGO!$I$6:$I$105,MATCH(A71,CATALOGO!$A$6:$A$105,0)))&gt;1000000000),"",INDEX(CATALOGO!$H$6:$H$105,MATCH(A71,CATALOGO!$A$6:$A$105,0))+INDEX(CATALOGO!$I$6:$I$105,MATCH(A71,CATALOGO!$A$6:$A$105,0)))),"")</f>
        <v/>
      </c>
      <c r="R71" s="9" t="str">
        <f>IF(OR(A71="",I71="",COUNTIF(CATALOGO!$A$6:$A$105,A71)&lt;&gt;1),"",IF(I71=0,0,IF(OR(Q71="",INDEX(CATALOGO!$N$6:$N$105,MATCH(A71,CATALOGO!$A$6:$A$105,0))="",INDEX(CATALOGO!$O$6:$O$105,MATCH(A71,CATALOGO!$A$6:$A$105,0))="",INDEX(CATALOGO!$O$6:$O$105,MATCH(A71,CATALOGO!$A$6:$A$105,0))&lt;=0),"",IF(OR(I71&lt;INDEX(CATALOGO!$N$6:$N$105,MATCH(A71,CATALOGO!$A$6:$A$105,0)),MOD(I71,INDEX(CATALOGO!$O$6:$O$105,MATCH(A71,CATALOGO!$A$6:$A$105,0)))&lt;&gt;0,J71="",J71&lt;=CONFIG!$B$5,J71&gt;CONFIG!$B$5+91),"",I71*Q71))))</f>
        <v/>
      </c>
      <c r="S71" s="12" t="str">
        <f>IF(A71="","",IF(COUNTIF(CATALOGO!$A$6:$A$105,A71)&lt;&gt;1,"SKU NO VALIDO",IF(I71="","CANTIDAD DESCONOCIDA",IF(I71=0,"SIN COMPRA ELEGIDA",IF(OR(I71&lt;0,I71&gt;1000000),"CANTIDAD INVALIDA",IF(OR(INDEX(CATALOGO!$N$6:$N$105,MATCH(A71,CATALOGO!$A$6:$A$105,0))="",INDEX(CATALOGO!$O$6:$O$105,MATCH(A71,CATALOGO!$A$6:$A$105,0))="",INDEX(CATALOGO!$O$6:$O$105,MATCH(A71,CATALOGO!$A$6:$A$105,0))&lt;=0),"CATALOGO A REVISAR",IF(OR(I71&lt;INDEX(CATALOGO!$N$6:$N$105,MATCH(A71,CATALOGO!$A$6:$A$105,0)),MOD(I71,INDEX(CATALOGO!$O$6:$O$105,MATCH(A71,CATALOGO!$A$6:$A$105,0)))&lt;&gt;0),"NO RESPETA MOQ/PACK",IF(J71="","FALTA FECHA PAGO",IF(Q71="","COSTO DESCONOCIDO",IF(OR(J71&lt;=CONFIG!$B$5,J71&gt;CONFIG!$B$5+91),"FUERA DE 91 DIAS",IF(AND(P71&lt;&gt;"",I71&gt;P71),"EN MODELO · SUPERA PROPUESTA","EN MODELO")))))))))))</f>
        <v/>
      </c>
    </row>
    <row r="72" spans="1:19" x14ac:dyDescent="0.45">
      <c r="A72" s="8"/>
      <c r="B72" s="4"/>
      <c r="C72" s="5"/>
      <c r="D72" s="5"/>
      <c r="E72" s="5"/>
      <c r="F72" s="4"/>
      <c r="G72" s="8"/>
      <c r="H72" s="5"/>
      <c r="I72" s="5"/>
      <c r="J72" s="4"/>
      <c r="K72" s="12" t="str">
        <f>IFERROR(IF(A72="","",IF(COUNTIF($A$6:$A$105,A72)&gt;1,"DUPLICADO STOCK",IF(COUNTIF(CATALOGO!$A$6:$A$105,A72)&lt;&gt;1,"SKU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INVALIDA",IF(INDEX(CATALOGO!$F$6:$F$105,MATCH(A72,CATALOGO!$A$6:$A$105,0))&lt;&gt;"ACTIVO",INDEX(CATALOGO!$F$6:$F$105,MATCH(A72,CATALOGO!$A$6:$A$105,0)),IF(OR(B72="",B72&lt;&gt;CONFIG!$B$5),"CONTEO NO VIGENTE",IF(OR(C72="",D72="",E72="",H72=""),"FALTA CAMPO",IF(OR(C72&lt;0,C72&gt;1000000,D72&lt;0,D72&gt;1000000,E72&lt;0,E72&gt;1000000,D72&gt;C72),"REVISAR VALOR",IF(H72&gt;CONFIG!$B$6,"EXPOSICION FUERA DE RANGO",IF(H72&lt;&gt;CONFIG!$B$6,"DISPONIBILIDAD INCOMPLETA",IF(CONFIG!$B$14&lt;&gt;"SI","VENTAS INCOMPLETAS",IF(CONFIG!$B$12&lt;&gt;"SI","POLITICA SIN REVISAR",IF(SUMPRODUCT(--(VENTAS!$B$6:$B$1005=A72),--(VENTAS!$A$6:$A$1005&gt;=CONFIG!$B$5-CONFIG!$B$6+1),--(VENTAS!$A$6:$A$1005&lt;=CONFIG!$B$5),--(VENTAS!$I$6:$I$1005&lt;&gt;""),--(VENTAS!$I$6:$I$1005&lt;&gt;"OK"))&gt;0,"VENTAS A REVISAR",IF(AND(E72&gt;0,OR(F72="",G72&lt;&gt;"SI")),"TRANSITO SIN CONFIRMAR",IF(AND(E72&gt;0,G72="SI",OR(F72&lt;=CONFIG!$B$5,F72&gt;CONFIG!$B$5+INDEX(CATALOGO!$M$6:$M$105,MATCH(A72,CATALOGO!$A$6:$A$105,0)))),"TRANSITO FUERA DEL PLAZO",IF(INDEX(CATALOGO!$T$6:$T$105,MATCH(A72,CATALOGO!$A$6:$A$105,0))&lt;&gt;"OK","CATALOGO A REVISAR",IF(1-INDEX(CATALOGO!$K$6:$K$105,MATCH(A72,CATALOGO!$A$6:$A$105,0))-CONFIG!$B$8&lt;=0,"MARGEN OBJETIVO INVIABLE",IF(INDEX(CATALOGO!$R$6:$R$105,MATCH(A72,CATALOGO!$A$6:$A$105,0))&lt;CONFIG!$B$8,"REVISAR PRECIO O COSTO","ELEGIBLE")))))))))))))))))),"CONFIG INVALIDA")</f>
        <v/>
      </c>
      <c r="L72" s="13" t="str">
        <f t="shared" si="2"/>
        <v/>
      </c>
      <c r="M72" s="12" t="str">
        <f>IFERROR(IF(OR(A72="",CONFIG!$B$14&lt;&gt;"SI",CONFIG!$B$6&lt;1,CONFIG!$B$6&gt;365,CONFIG!$B$6&lt;&gt;INT(CONFIG!$B$6),SUMPRODUCT(--(VENTAS!$B$6:$B$1005=A72),--(VENTAS!$A$6:$A$1005&gt;=CONFIG!$B$5-CONFIG!$B$6+1),--(VENTAS!$A$6:$A$1005&lt;=CONFIG!$B$5),--(VENTAS!$I$6:$I$1005&lt;&gt;""),--(VENTAS!$I$6:$I$1005&lt;&gt;"OK"))&gt;0),"",MAX(0,(SUMIFS(VENTAS!$C$6:$C$1005,VENTAS!$B$6:$B$1005,A72,VENTAS!$A$6:$A$1005,"&gt;="&amp;CONFIG!$B$5-CONFIG!$B$6+1,VENTAS!$A$6:$A$1005,"&lt;="&amp;CONFIG!$B$5)-SUMIFS(VENTAS!$E$6:$E$1005,VENTAS!$B$6:$B$1005,A72,VENTAS!$A$6:$A$1005,"&gt;="&amp;CONFIG!$B$5-CONFIG!$B$6+1,VENTAS!$A$6:$A$1005,"&lt;="&amp;CONFIG!$B$5))/CONFIG!$B$6)),"")</f>
        <v/>
      </c>
      <c r="N72" s="14" t="str">
        <f>IF(K72&lt;&gt;"ELEGIBLE","",IF(AND(E72&gt;0,G72="SI",F72&gt;CONFIG!$B$5,F72&lt;=CONFIG!$B$5+INDEX(CATALOGO!$M$6:$M$105,MATCH(A72,CATALOGO!$A$6:$A$105,0))),E72,0))</f>
        <v/>
      </c>
      <c r="O72" s="14" t="str">
        <f>IF(K72&lt;&gt;"ELEGIBLE","",MAX(0,ROUNDUP(ROUND(M72*(INDEX(CATALOGO!$M$6:$M$105,MATCH(A72,CATALOGO!$A$6:$A$105,0))+CONFIG!$B$7)-L72-N72,10),0)))</f>
        <v/>
      </c>
      <c r="P72" s="14" t="str">
        <f>IF(O72="","",IF(O72=0,0,ROUNDUP(MAX(O72,INDEX(CATALOGO!$N$6:$N$105,MATCH(A72,CATALOGO!$A$6:$A$105,0)))/INDEX(CATALOGO!$O$6:$O$105,MATCH(A72,CATALOGO!$A$6:$A$105,0)),0)*INDEX(CATALOGO!$O$6:$O$105,MATCH(A72,CATALOGO!$A$6:$A$105,0))))</f>
        <v/>
      </c>
      <c r="Q72" s="11" t="str">
        <f>IFERROR(IF(OR(A72="",COUNTIF(CATALOGO!$A$6:$A$105,A72)&lt;&gt;1),"",IF(OR(INDEX(CATALOGO!$H$6:$H$105,MATCH(A72,CATALOGO!$A$6:$A$105,0))="",INDEX(CATALOGO!$I$6:$I$105,MATCH(A72,CATALOGO!$A$6:$A$105,0))="",ABS(INDEX(CATALOGO!$H$6:$H$105,MATCH(A72,CATALOGO!$A$6:$A$105,0)))&gt;1000000000,ABS(INDEX(CATALOGO!$I$6:$I$105,MATCH(A72,CATALOGO!$A$6:$A$105,0)))&gt;1000000000),"",INDEX(CATALOGO!$H$6:$H$105,MATCH(A72,CATALOGO!$A$6:$A$105,0))+INDEX(CATALOGO!$I$6:$I$105,MATCH(A72,CATALOGO!$A$6:$A$105,0)))),"")</f>
        <v/>
      </c>
      <c r="R72" s="9" t="str">
        <f>IF(OR(A72="",I72="",COUNTIF(CATALOGO!$A$6:$A$105,A72)&lt;&gt;1),"",IF(I72=0,0,IF(OR(Q72="",INDEX(CATALOGO!$N$6:$N$105,MATCH(A72,CATALOGO!$A$6:$A$105,0))="",INDEX(CATALOGO!$O$6:$O$105,MATCH(A72,CATALOGO!$A$6:$A$105,0))="",INDEX(CATALOGO!$O$6:$O$105,MATCH(A72,CATALOGO!$A$6:$A$105,0))&lt;=0),"",IF(OR(I72&lt;INDEX(CATALOGO!$N$6:$N$105,MATCH(A72,CATALOGO!$A$6:$A$105,0)),MOD(I72,INDEX(CATALOGO!$O$6:$O$105,MATCH(A72,CATALOGO!$A$6:$A$105,0)))&lt;&gt;0,J72="",J72&lt;=CONFIG!$B$5,J72&gt;CONFIG!$B$5+91),"",I72*Q72))))</f>
        <v/>
      </c>
      <c r="S72" s="12" t="str">
        <f>IF(A72="","",IF(COUNTIF(CATALOGO!$A$6:$A$105,A72)&lt;&gt;1,"SKU NO VALIDO",IF(I72="","CANTIDAD DESCONOCIDA",IF(I72=0,"SIN COMPRA ELEGIDA",IF(OR(I72&lt;0,I72&gt;1000000),"CANTIDAD INVALIDA",IF(OR(INDEX(CATALOGO!$N$6:$N$105,MATCH(A72,CATALOGO!$A$6:$A$105,0))="",INDEX(CATALOGO!$O$6:$O$105,MATCH(A72,CATALOGO!$A$6:$A$105,0))="",INDEX(CATALOGO!$O$6:$O$105,MATCH(A72,CATALOGO!$A$6:$A$105,0))&lt;=0),"CATALOGO A REVISAR",IF(OR(I72&lt;INDEX(CATALOGO!$N$6:$N$105,MATCH(A72,CATALOGO!$A$6:$A$105,0)),MOD(I72,INDEX(CATALOGO!$O$6:$O$105,MATCH(A72,CATALOGO!$A$6:$A$105,0)))&lt;&gt;0),"NO RESPETA MOQ/PACK",IF(J72="","FALTA FECHA PAGO",IF(Q72="","COSTO DESCONOCIDO",IF(OR(J72&lt;=CONFIG!$B$5,J72&gt;CONFIG!$B$5+91),"FUERA DE 91 DIAS",IF(AND(P72&lt;&gt;"",I72&gt;P72),"EN MODELO · SUPERA PROPUESTA","EN MODELO")))))))))))</f>
        <v/>
      </c>
    </row>
    <row r="73" spans="1:19" x14ac:dyDescent="0.45">
      <c r="A73" s="8"/>
      <c r="B73" s="4"/>
      <c r="C73" s="5"/>
      <c r="D73" s="5"/>
      <c r="E73" s="5"/>
      <c r="F73" s="4"/>
      <c r="G73" s="8"/>
      <c r="H73" s="5"/>
      <c r="I73" s="5"/>
      <c r="J73" s="4"/>
      <c r="K73" s="12" t="str">
        <f>IFERROR(IF(A73="","",IF(COUNTIF($A$6:$A$105,A73)&gt;1,"DUPLICADO STOCK",IF(COUNTIF(CATALOGO!$A$6:$A$105,A73)&lt;&gt;1,"SKU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INVALIDA",IF(INDEX(CATALOGO!$F$6:$F$105,MATCH(A73,CATALOGO!$A$6:$A$105,0))&lt;&gt;"ACTIVO",INDEX(CATALOGO!$F$6:$F$105,MATCH(A73,CATALOGO!$A$6:$A$105,0)),IF(OR(B73="",B73&lt;&gt;CONFIG!$B$5),"CONTEO NO VIGENTE",IF(OR(C73="",D73="",E73="",H73=""),"FALTA CAMPO",IF(OR(C73&lt;0,C73&gt;1000000,D73&lt;0,D73&gt;1000000,E73&lt;0,E73&gt;1000000,D73&gt;C73),"REVISAR VALOR",IF(H73&gt;CONFIG!$B$6,"EXPOSICION FUERA DE RANGO",IF(H73&lt;&gt;CONFIG!$B$6,"DISPONIBILIDAD INCOMPLETA",IF(CONFIG!$B$14&lt;&gt;"SI","VENTAS INCOMPLETAS",IF(CONFIG!$B$12&lt;&gt;"SI","POLITICA SIN REVISAR",IF(SUMPRODUCT(--(VENTAS!$B$6:$B$1005=A73),--(VENTAS!$A$6:$A$1005&gt;=CONFIG!$B$5-CONFIG!$B$6+1),--(VENTAS!$A$6:$A$1005&lt;=CONFIG!$B$5),--(VENTAS!$I$6:$I$1005&lt;&gt;""),--(VENTAS!$I$6:$I$1005&lt;&gt;"OK"))&gt;0,"VENTAS A REVISAR",IF(AND(E73&gt;0,OR(F73="",G73&lt;&gt;"SI")),"TRANSITO SIN CONFIRMAR",IF(AND(E73&gt;0,G73="SI",OR(F73&lt;=CONFIG!$B$5,F73&gt;CONFIG!$B$5+INDEX(CATALOGO!$M$6:$M$105,MATCH(A73,CATALOGO!$A$6:$A$105,0)))),"TRANSITO FUERA DEL PLAZO",IF(INDEX(CATALOGO!$T$6:$T$105,MATCH(A73,CATALOGO!$A$6:$A$105,0))&lt;&gt;"OK","CATALOGO A REVISAR",IF(1-INDEX(CATALOGO!$K$6:$K$105,MATCH(A73,CATALOGO!$A$6:$A$105,0))-CONFIG!$B$8&lt;=0,"MARGEN OBJETIVO INVIABLE",IF(INDEX(CATALOGO!$R$6:$R$105,MATCH(A73,CATALOGO!$A$6:$A$105,0))&lt;CONFIG!$B$8,"REVISAR PRECIO O COSTO","ELEGIBLE")))))))))))))))))),"CONFIG INVALIDA")</f>
        <v/>
      </c>
      <c r="L73" s="13" t="str">
        <f t="shared" si="2"/>
        <v/>
      </c>
      <c r="M73" s="12" t="str">
        <f>IFERROR(IF(OR(A73="",CONFIG!$B$14&lt;&gt;"SI",CONFIG!$B$6&lt;1,CONFIG!$B$6&gt;365,CONFIG!$B$6&lt;&gt;INT(CONFIG!$B$6),SUMPRODUCT(--(VENTAS!$B$6:$B$1005=A73),--(VENTAS!$A$6:$A$1005&gt;=CONFIG!$B$5-CONFIG!$B$6+1),--(VENTAS!$A$6:$A$1005&lt;=CONFIG!$B$5),--(VENTAS!$I$6:$I$1005&lt;&gt;""),--(VENTAS!$I$6:$I$1005&lt;&gt;"OK"))&gt;0),"",MAX(0,(SUMIFS(VENTAS!$C$6:$C$1005,VENTAS!$B$6:$B$1005,A73,VENTAS!$A$6:$A$1005,"&gt;="&amp;CONFIG!$B$5-CONFIG!$B$6+1,VENTAS!$A$6:$A$1005,"&lt;="&amp;CONFIG!$B$5)-SUMIFS(VENTAS!$E$6:$E$1005,VENTAS!$B$6:$B$1005,A73,VENTAS!$A$6:$A$1005,"&gt;="&amp;CONFIG!$B$5-CONFIG!$B$6+1,VENTAS!$A$6:$A$1005,"&lt;="&amp;CONFIG!$B$5))/CONFIG!$B$6)),"")</f>
        <v/>
      </c>
      <c r="N73" s="14" t="str">
        <f>IF(K73&lt;&gt;"ELEGIBLE","",IF(AND(E73&gt;0,G73="SI",F73&gt;CONFIG!$B$5,F73&lt;=CONFIG!$B$5+INDEX(CATALOGO!$M$6:$M$105,MATCH(A73,CATALOGO!$A$6:$A$105,0))),E73,0))</f>
        <v/>
      </c>
      <c r="O73" s="14" t="str">
        <f>IF(K73&lt;&gt;"ELEGIBLE","",MAX(0,ROUNDUP(ROUND(M73*(INDEX(CATALOGO!$M$6:$M$105,MATCH(A73,CATALOGO!$A$6:$A$105,0))+CONFIG!$B$7)-L73-N73,10),0)))</f>
        <v/>
      </c>
      <c r="P73" s="14" t="str">
        <f>IF(O73="","",IF(O73=0,0,ROUNDUP(MAX(O73,INDEX(CATALOGO!$N$6:$N$105,MATCH(A73,CATALOGO!$A$6:$A$105,0)))/INDEX(CATALOGO!$O$6:$O$105,MATCH(A73,CATALOGO!$A$6:$A$105,0)),0)*INDEX(CATALOGO!$O$6:$O$105,MATCH(A73,CATALOGO!$A$6:$A$105,0))))</f>
        <v/>
      </c>
      <c r="Q73" s="11" t="str">
        <f>IFERROR(IF(OR(A73="",COUNTIF(CATALOGO!$A$6:$A$105,A73)&lt;&gt;1),"",IF(OR(INDEX(CATALOGO!$H$6:$H$105,MATCH(A73,CATALOGO!$A$6:$A$105,0))="",INDEX(CATALOGO!$I$6:$I$105,MATCH(A73,CATALOGO!$A$6:$A$105,0))="",ABS(INDEX(CATALOGO!$H$6:$H$105,MATCH(A73,CATALOGO!$A$6:$A$105,0)))&gt;1000000000,ABS(INDEX(CATALOGO!$I$6:$I$105,MATCH(A73,CATALOGO!$A$6:$A$105,0)))&gt;1000000000),"",INDEX(CATALOGO!$H$6:$H$105,MATCH(A73,CATALOGO!$A$6:$A$105,0))+INDEX(CATALOGO!$I$6:$I$105,MATCH(A73,CATALOGO!$A$6:$A$105,0)))),"")</f>
        <v/>
      </c>
      <c r="R73" s="9" t="str">
        <f>IF(OR(A73="",I73="",COUNTIF(CATALOGO!$A$6:$A$105,A73)&lt;&gt;1),"",IF(I73=0,0,IF(OR(Q73="",INDEX(CATALOGO!$N$6:$N$105,MATCH(A73,CATALOGO!$A$6:$A$105,0))="",INDEX(CATALOGO!$O$6:$O$105,MATCH(A73,CATALOGO!$A$6:$A$105,0))="",INDEX(CATALOGO!$O$6:$O$105,MATCH(A73,CATALOGO!$A$6:$A$105,0))&lt;=0),"",IF(OR(I73&lt;INDEX(CATALOGO!$N$6:$N$105,MATCH(A73,CATALOGO!$A$6:$A$105,0)),MOD(I73,INDEX(CATALOGO!$O$6:$O$105,MATCH(A73,CATALOGO!$A$6:$A$105,0)))&lt;&gt;0,J73="",J73&lt;=CONFIG!$B$5,J73&gt;CONFIG!$B$5+91),"",I73*Q73))))</f>
        <v/>
      </c>
      <c r="S73" s="12" t="str">
        <f>IF(A73="","",IF(COUNTIF(CATALOGO!$A$6:$A$105,A73)&lt;&gt;1,"SKU NO VALIDO",IF(I73="","CANTIDAD DESCONOCIDA",IF(I73=0,"SIN COMPRA ELEGIDA",IF(OR(I73&lt;0,I73&gt;1000000),"CANTIDAD INVALIDA",IF(OR(INDEX(CATALOGO!$N$6:$N$105,MATCH(A73,CATALOGO!$A$6:$A$105,0))="",INDEX(CATALOGO!$O$6:$O$105,MATCH(A73,CATALOGO!$A$6:$A$105,0))="",INDEX(CATALOGO!$O$6:$O$105,MATCH(A73,CATALOGO!$A$6:$A$105,0))&lt;=0),"CATALOGO A REVISAR",IF(OR(I73&lt;INDEX(CATALOGO!$N$6:$N$105,MATCH(A73,CATALOGO!$A$6:$A$105,0)),MOD(I73,INDEX(CATALOGO!$O$6:$O$105,MATCH(A73,CATALOGO!$A$6:$A$105,0)))&lt;&gt;0),"NO RESPETA MOQ/PACK",IF(J73="","FALTA FECHA PAGO",IF(Q73="","COSTO DESCONOCIDO",IF(OR(J73&lt;=CONFIG!$B$5,J73&gt;CONFIG!$B$5+91),"FUERA DE 91 DIAS",IF(AND(P73&lt;&gt;"",I73&gt;P73),"EN MODELO · SUPERA PROPUESTA","EN MODELO")))))))))))</f>
        <v/>
      </c>
    </row>
    <row r="74" spans="1:19" x14ac:dyDescent="0.45">
      <c r="A74" s="8"/>
      <c r="B74" s="4"/>
      <c r="C74" s="5"/>
      <c r="D74" s="5"/>
      <c r="E74" s="5"/>
      <c r="F74" s="4"/>
      <c r="G74" s="8"/>
      <c r="H74" s="5"/>
      <c r="I74" s="5"/>
      <c r="J74" s="4"/>
      <c r="K74" s="12" t="str">
        <f>IFERROR(IF(A74="","",IF(COUNTIF($A$6:$A$105,A74)&gt;1,"DUPLICADO STOCK",IF(COUNTIF(CATALOGO!$A$6:$A$105,A74)&lt;&gt;1,"SKU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INVALIDA",IF(INDEX(CATALOGO!$F$6:$F$105,MATCH(A74,CATALOGO!$A$6:$A$105,0))&lt;&gt;"ACTIVO",INDEX(CATALOGO!$F$6:$F$105,MATCH(A74,CATALOGO!$A$6:$A$105,0)),IF(OR(B74="",B74&lt;&gt;CONFIG!$B$5),"CONTEO NO VIGENTE",IF(OR(C74="",D74="",E74="",H74=""),"FALTA CAMPO",IF(OR(C74&lt;0,C74&gt;1000000,D74&lt;0,D74&gt;1000000,E74&lt;0,E74&gt;1000000,D74&gt;C74),"REVISAR VALOR",IF(H74&gt;CONFIG!$B$6,"EXPOSICION FUERA DE RANGO",IF(H74&lt;&gt;CONFIG!$B$6,"DISPONIBILIDAD INCOMPLETA",IF(CONFIG!$B$14&lt;&gt;"SI","VENTAS INCOMPLETAS",IF(CONFIG!$B$12&lt;&gt;"SI","POLITICA SIN REVISAR",IF(SUMPRODUCT(--(VENTAS!$B$6:$B$1005=A74),--(VENTAS!$A$6:$A$1005&gt;=CONFIG!$B$5-CONFIG!$B$6+1),--(VENTAS!$A$6:$A$1005&lt;=CONFIG!$B$5),--(VENTAS!$I$6:$I$1005&lt;&gt;""),--(VENTAS!$I$6:$I$1005&lt;&gt;"OK"))&gt;0,"VENTAS A REVISAR",IF(AND(E74&gt;0,OR(F74="",G74&lt;&gt;"SI")),"TRANSITO SIN CONFIRMAR",IF(AND(E74&gt;0,G74="SI",OR(F74&lt;=CONFIG!$B$5,F74&gt;CONFIG!$B$5+INDEX(CATALOGO!$M$6:$M$105,MATCH(A74,CATALOGO!$A$6:$A$105,0)))),"TRANSITO FUERA DEL PLAZO",IF(INDEX(CATALOGO!$T$6:$T$105,MATCH(A74,CATALOGO!$A$6:$A$105,0))&lt;&gt;"OK","CATALOGO A REVISAR",IF(1-INDEX(CATALOGO!$K$6:$K$105,MATCH(A74,CATALOGO!$A$6:$A$105,0))-CONFIG!$B$8&lt;=0,"MARGEN OBJETIVO INVIABLE",IF(INDEX(CATALOGO!$R$6:$R$105,MATCH(A74,CATALOGO!$A$6:$A$105,0))&lt;CONFIG!$B$8,"REVISAR PRECIO O COSTO","ELEGIBLE")))))))))))))))))),"CONFIG INVALIDA")</f>
        <v/>
      </c>
      <c r="L74" s="13" t="str">
        <f t="shared" si="2"/>
        <v/>
      </c>
      <c r="M74" s="12" t="str">
        <f>IFERROR(IF(OR(A74="",CONFIG!$B$14&lt;&gt;"SI",CONFIG!$B$6&lt;1,CONFIG!$B$6&gt;365,CONFIG!$B$6&lt;&gt;INT(CONFIG!$B$6),SUMPRODUCT(--(VENTAS!$B$6:$B$1005=A74),--(VENTAS!$A$6:$A$1005&gt;=CONFIG!$B$5-CONFIG!$B$6+1),--(VENTAS!$A$6:$A$1005&lt;=CONFIG!$B$5),--(VENTAS!$I$6:$I$1005&lt;&gt;""),--(VENTAS!$I$6:$I$1005&lt;&gt;"OK"))&gt;0),"",MAX(0,(SUMIFS(VENTAS!$C$6:$C$1005,VENTAS!$B$6:$B$1005,A74,VENTAS!$A$6:$A$1005,"&gt;="&amp;CONFIG!$B$5-CONFIG!$B$6+1,VENTAS!$A$6:$A$1005,"&lt;="&amp;CONFIG!$B$5)-SUMIFS(VENTAS!$E$6:$E$1005,VENTAS!$B$6:$B$1005,A74,VENTAS!$A$6:$A$1005,"&gt;="&amp;CONFIG!$B$5-CONFIG!$B$6+1,VENTAS!$A$6:$A$1005,"&lt;="&amp;CONFIG!$B$5))/CONFIG!$B$6)),"")</f>
        <v/>
      </c>
      <c r="N74" s="14" t="str">
        <f>IF(K74&lt;&gt;"ELEGIBLE","",IF(AND(E74&gt;0,G74="SI",F74&gt;CONFIG!$B$5,F74&lt;=CONFIG!$B$5+INDEX(CATALOGO!$M$6:$M$105,MATCH(A74,CATALOGO!$A$6:$A$105,0))),E74,0))</f>
        <v/>
      </c>
      <c r="O74" s="14" t="str">
        <f>IF(K74&lt;&gt;"ELEGIBLE","",MAX(0,ROUNDUP(ROUND(M74*(INDEX(CATALOGO!$M$6:$M$105,MATCH(A74,CATALOGO!$A$6:$A$105,0))+CONFIG!$B$7)-L74-N74,10),0)))</f>
        <v/>
      </c>
      <c r="P74" s="14" t="str">
        <f>IF(O74="","",IF(O74=0,0,ROUNDUP(MAX(O74,INDEX(CATALOGO!$N$6:$N$105,MATCH(A74,CATALOGO!$A$6:$A$105,0)))/INDEX(CATALOGO!$O$6:$O$105,MATCH(A74,CATALOGO!$A$6:$A$105,0)),0)*INDEX(CATALOGO!$O$6:$O$105,MATCH(A74,CATALOGO!$A$6:$A$105,0))))</f>
        <v/>
      </c>
      <c r="Q74" s="11" t="str">
        <f>IFERROR(IF(OR(A74="",COUNTIF(CATALOGO!$A$6:$A$105,A74)&lt;&gt;1),"",IF(OR(INDEX(CATALOGO!$H$6:$H$105,MATCH(A74,CATALOGO!$A$6:$A$105,0))="",INDEX(CATALOGO!$I$6:$I$105,MATCH(A74,CATALOGO!$A$6:$A$105,0))="",ABS(INDEX(CATALOGO!$H$6:$H$105,MATCH(A74,CATALOGO!$A$6:$A$105,0)))&gt;1000000000,ABS(INDEX(CATALOGO!$I$6:$I$105,MATCH(A74,CATALOGO!$A$6:$A$105,0)))&gt;1000000000),"",INDEX(CATALOGO!$H$6:$H$105,MATCH(A74,CATALOGO!$A$6:$A$105,0))+INDEX(CATALOGO!$I$6:$I$105,MATCH(A74,CATALOGO!$A$6:$A$105,0)))),"")</f>
        <v/>
      </c>
      <c r="R74" s="9" t="str">
        <f>IF(OR(A74="",I74="",COUNTIF(CATALOGO!$A$6:$A$105,A74)&lt;&gt;1),"",IF(I74=0,0,IF(OR(Q74="",INDEX(CATALOGO!$N$6:$N$105,MATCH(A74,CATALOGO!$A$6:$A$105,0))="",INDEX(CATALOGO!$O$6:$O$105,MATCH(A74,CATALOGO!$A$6:$A$105,0))="",INDEX(CATALOGO!$O$6:$O$105,MATCH(A74,CATALOGO!$A$6:$A$105,0))&lt;=0),"",IF(OR(I74&lt;INDEX(CATALOGO!$N$6:$N$105,MATCH(A74,CATALOGO!$A$6:$A$105,0)),MOD(I74,INDEX(CATALOGO!$O$6:$O$105,MATCH(A74,CATALOGO!$A$6:$A$105,0)))&lt;&gt;0,J74="",J74&lt;=CONFIG!$B$5,J74&gt;CONFIG!$B$5+91),"",I74*Q74))))</f>
        <v/>
      </c>
      <c r="S74" s="12" t="str">
        <f>IF(A74="","",IF(COUNTIF(CATALOGO!$A$6:$A$105,A74)&lt;&gt;1,"SKU NO VALIDO",IF(I74="","CANTIDAD DESCONOCIDA",IF(I74=0,"SIN COMPRA ELEGIDA",IF(OR(I74&lt;0,I74&gt;1000000),"CANTIDAD INVALIDA",IF(OR(INDEX(CATALOGO!$N$6:$N$105,MATCH(A74,CATALOGO!$A$6:$A$105,0))="",INDEX(CATALOGO!$O$6:$O$105,MATCH(A74,CATALOGO!$A$6:$A$105,0))="",INDEX(CATALOGO!$O$6:$O$105,MATCH(A74,CATALOGO!$A$6:$A$105,0))&lt;=0),"CATALOGO A REVISAR",IF(OR(I74&lt;INDEX(CATALOGO!$N$6:$N$105,MATCH(A74,CATALOGO!$A$6:$A$105,0)),MOD(I74,INDEX(CATALOGO!$O$6:$O$105,MATCH(A74,CATALOGO!$A$6:$A$105,0)))&lt;&gt;0),"NO RESPETA MOQ/PACK",IF(J74="","FALTA FECHA PAGO",IF(Q74="","COSTO DESCONOCIDO",IF(OR(J74&lt;=CONFIG!$B$5,J74&gt;CONFIG!$B$5+91),"FUERA DE 91 DIAS",IF(AND(P74&lt;&gt;"",I74&gt;P74),"EN MODELO · SUPERA PROPUESTA","EN MODELO")))))))))))</f>
        <v/>
      </c>
    </row>
    <row r="75" spans="1:19" x14ac:dyDescent="0.45">
      <c r="A75" s="8"/>
      <c r="B75" s="4"/>
      <c r="C75" s="5"/>
      <c r="D75" s="5"/>
      <c r="E75" s="5"/>
      <c r="F75" s="4"/>
      <c r="G75" s="8"/>
      <c r="H75" s="5"/>
      <c r="I75" s="5"/>
      <c r="J75" s="4"/>
      <c r="K75" s="12" t="str">
        <f>IFERROR(IF(A75="","",IF(COUNTIF($A$6:$A$105,A75)&gt;1,"DUPLICADO STOCK",IF(COUNTIF(CATALOGO!$A$6:$A$105,A75)&lt;&gt;1,"SKU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INVALIDA",IF(INDEX(CATALOGO!$F$6:$F$105,MATCH(A75,CATALOGO!$A$6:$A$105,0))&lt;&gt;"ACTIVO",INDEX(CATALOGO!$F$6:$F$105,MATCH(A75,CATALOGO!$A$6:$A$105,0)),IF(OR(B75="",B75&lt;&gt;CONFIG!$B$5),"CONTEO NO VIGENTE",IF(OR(C75="",D75="",E75="",H75=""),"FALTA CAMPO",IF(OR(C75&lt;0,C75&gt;1000000,D75&lt;0,D75&gt;1000000,E75&lt;0,E75&gt;1000000,D75&gt;C75),"REVISAR VALOR",IF(H75&gt;CONFIG!$B$6,"EXPOSICION FUERA DE RANGO",IF(H75&lt;&gt;CONFIG!$B$6,"DISPONIBILIDAD INCOMPLETA",IF(CONFIG!$B$14&lt;&gt;"SI","VENTAS INCOMPLETAS",IF(CONFIG!$B$12&lt;&gt;"SI","POLITICA SIN REVISAR",IF(SUMPRODUCT(--(VENTAS!$B$6:$B$1005=A75),--(VENTAS!$A$6:$A$1005&gt;=CONFIG!$B$5-CONFIG!$B$6+1),--(VENTAS!$A$6:$A$1005&lt;=CONFIG!$B$5),--(VENTAS!$I$6:$I$1005&lt;&gt;""),--(VENTAS!$I$6:$I$1005&lt;&gt;"OK"))&gt;0,"VENTAS A REVISAR",IF(AND(E75&gt;0,OR(F75="",G75&lt;&gt;"SI")),"TRANSITO SIN CONFIRMAR",IF(AND(E75&gt;0,G75="SI",OR(F75&lt;=CONFIG!$B$5,F75&gt;CONFIG!$B$5+INDEX(CATALOGO!$M$6:$M$105,MATCH(A75,CATALOGO!$A$6:$A$105,0)))),"TRANSITO FUERA DEL PLAZO",IF(INDEX(CATALOGO!$T$6:$T$105,MATCH(A75,CATALOGO!$A$6:$A$105,0))&lt;&gt;"OK","CATALOGO A REVISAR",IF(1-INDEX(CATALOGO!$K$6:$K$105,MATCH(A75,CATALOGO!$A$6:$A$105,0))-CONFIG!$B$8&lt;=0,"MARGEN OBJETIVO INVIABLE",IF(INDEX(CATALOGO!$R$6:$R$105,MATCH(A75,CATALOGO!$A$6:$A$105,0))&lt;CONFIG!$B$8,"REVISAR PRECIO O COSTO","ELEGIBLE")))))))))))))))))),"CONFIG INVALIDA")</f>
        <v/>
      </c>
      <c r="L75" s="13" t="str">
        <f t="shared" si="2"/>
        <v/>
      </c>
      <c r="M75" s="12" t="str">
        <f>IFERROR(IF(OR(A75="",CONFIG!$B$14&lt;&gt;"SI",CONFIG!$B$6&lt;1,CONFIG!$B$6&gt;365,CONFIG!$B$6&lt;&gt;INT(CONFIG!$B$6),SUMPRODUCT(--(VENTAS!$B$6:$B$1005=A75),--(VENTAS!$A$6:$A$1005&gt;=CONFIG!$B$5-CONFIG!$B$6+1),--(VENTAS!$A$6:$A$1005&lt;=CONFIG!$B$5),--(VENTAS!$I$6:$I$1005&lt;&gt;""),--(VENTAS!$I$6:$I$1005&lt;&gt;"OK"))&gt;0),"",MAX(0,(SUMIFS(VENTAS!$C$6:$C$1005,VENTAS!$B$6:$B$1005,A75,VENTAS!$A$6:$A$1005,"&gt;="&amp;CONFIG!$B$5-CONFIG!$B$6+1,VENTAS!$A$6:$A$1005,"&lt;="&amp;CONFIG!$B$5)-SUMIFS(VENTAS!$E$6:$E$1005,VENTAS!$B$6:$B$1005,A75,VENTAS!$A$6:$A$1005,"&gt;="&amp;CONFIG!$B$5-CONFIG!$B$6+1,VENTAS!$A$6:$A$1005,"&lt;="&amp;CONFIG!$B$5))/CONFIG!$B$6)),"")</f>
        <v/>
      </c>
      <c r="N75" s="14" t="str">
        <f>IF(K75&lt;&gt;"ELEGIBLE","",IF(AND(E75&gt;0,G75="SI",F75&gt;CONFIG!$B$5,F75&lt;=CONFIG!$B$5+INDEX(CATALOGO!$M$6:$M$105,MATCH(A75,CATALOGO!$A$6:$A$105,0))),E75,0))</f>
        <v/>
      </c>
      <c r="O75" s="14" t="str">
        <f>IF(K75&lt;&gt;"ELEGIBLE","",MAX(0,ROUNDUP(ROUND(M75*(INDEX(CATALOGO!$M$6:$M$105,MATCH(A75,CATALOGO!$A$6:$A$105,0))+CONFIG!$B$7)-L75-N75,10),0)))</f>
        <v/>
      </c>
      <c r="P75" s="14" t="str">
        <f>IF(O75="","",IF(O75=0,0,ROUNDUP(MAX(O75,INDEX(CATALOGO!$N$6:$N$105,MATCH(A75,CATALOGO!$A$6:$A$105,0)))/INDEX(CATALOGO!$O$6:$O$105,MATCH(A75,CATALOGO!$A$6:$A$105,0)),0)*INDEX(CATALOGO!$O$6:$O$105,MATCH(A75,CATALOGO!$A$6:$A$105,0))))</f>
        <v/>
      </c>
      <c r="Q75" s="11" t="str">
        <f>IFERROR(IF(OR(A75="",COUNTIF(CATALOGO!$A$6:$A$105,A75)&lt;&gt;1),"",IF(OR(INDEX(CATALOGO!$H$6:$H$105,MATCH(A75,CATALOGO!$A$6:$A$105,0))="",INDEX(CATALOGO!$I$6:$I$105,MATCH(A75,CATALOGO!$A$6:$A$105,0))="",ABS(INDEX(CATALOGO!$H$6:$H$105,MATCH(A75,CATALOGO!$A$6:$A$105,0)))&gt;1000000000,ABS(INDEX(CATALOGO!$I$6:$I$105,MATCH(A75,CATALOGO!$A$6:$A$105,0)))&gt;1000000000),"",INDEX(CATALOGO!$H$6:$H$105,MATCH(A75,CATALOGO!$A$6:$A$105,0))+INDEX(CATALOGO!$I$6:$I$105,MATCH(A75,CATALOGO!$A$6:$A$105,0)))),"")</f>
        <v/>
      </c>
      <c r="R75" s="9" t="str">
        <f>IF(OR(A75="",I75="",COUNTIF(CATALOGO!$A$6:$A$105,A75)&lt;&gt;1),"",IF(I75=0,0,IF(OR(Q75="",INDEX(CATALOGO!$N$6:$N$105,MATCH(A75,CATALOGO!$A$6:$A$105,0))="",INDEX(CATALOGO!$O$6:$O$105,MATCH(A75,CATALOGO!$A$6:$A$105,0))="",INDEX(CATALOGO!$O$6:$O$105,MATCH(A75,CATALOGO!$A$6:$A$105,0))&lt;=0),"",IF(OR(I75&lt;INDEX(CATALOGO!$N$6:$N$105,MATCH(A75,CATALOGO!$A$6:$A$105,0)),MOD(I75,INDEX(CATALOGO!$O$6:$O$105,MATCH(A75,CATALOGO!$A$6:$A$105,0)))&lt;&gt;0,J75="",J75&lt;=CONFIG!$B$5,J75&gt;CONFIG!$B$5+91),"",I75*Q75))))</f>
        <v/>
      </c>
      <c r="S75" s="12" t="str">
        <f>IF(A75="","",IF(COUNTIF(CATALOGO!$A$6:$A$105,A75)&lt;&gt;1,"SKU NO VALIDO",IF(I75="","CANTIDAD DESCONOCIDA",IF(I75=0,"SIN COMPRA ELEGIDA",IF(OR(I75&lt;0,I75&gt;1000000),"CANTIDAD INVALIDA",IF(OR(INDEX(CATALOGO!$N$6:$N$105,MATCH(A75,CATALOGO!$A$6:$A$105,0))="",INDEX(CATALOGO!$O$6:$O$105,MATCH(A75,CATALOGO!$A$6:$A$105,0))="",INDEX(CATALOGO!$O$6:$O$105,MATCH(A75,CATALOGO!$A$6:$A$105,0))&lt;=0),"CATALOGO A REVISAR",IF(OR(I75&lt;INDEX(CATALOGO!$N$6:$N$105,MATCH(A75,CATALOGO!$A$6:$A$105,0)),MOD(I75,INDEX(CATALOGO!$O$6:$O$105,MATCH(A75,CATALOGO!$A$6:$A$105,0)))&lt;&gt;0),"NO RESPETA MOQ/PACK",IF(J75="","FALTA FECHA PAGO",IF(Q75="","COSTO DESCONOCIDO",IF(OR(J75&lt;=CONFIG!$B$5,J75&gt;CONFIG!$B$5+91),"FUERA DE 91 DIAS",IF(AND(P75&lt;&gt;"",I75&gt;P75),"EN MODELO · SUPERA PROPUESTA","EN MODELO")))))))))))</f>
        <v/>
      </c>
    </row>
    <row r="76" spans="1:19" x14ac:dyDescent="0.45">
      <c r="A76" s="8"/>
      <c r="B76" s="4"/>
      <c r="C76" s="5"/>
      <c r="D76" s="5"/>
      <c r="E76" s="5"/>
      <c r="F76" s="4"/>
      <c r="G76" s="8"/>
      <c r="H76" s="5"/>
      <c r="I76" s="5"/>
      <c r="J76" s="4"/>
      <c r="K76" s="12" t="str">
        <f>IFERROR(IF(A76="","",IF(COUNTIF($A$6:$A$105,A76)&gt;1,"DUPLICADO STOCK",IF(COUNTIF(CATALOGO!$A$6:$A$105,A76)&lt;&gt;1,"SKU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INVALIDA",IF(INDEX(CATALOGO!$F$6:$F$105,MATCH(A76,CATALOGO!$A$6:$A$105,0))&lt;&gt;"ACTIVO",INDEX(CATALOGO!$F$6:$F$105,MATCH(A76,CATALOGO!$A$6:$A$105,0)),IF(OR(B76="",B76&lt;&gt;CONFIG!$B$5),"CONTEO NO VIGENTE",IF(OR(C76="",D76="",E76="",H76=""),"FALTA CAMPO",IF(OR(C76&lt;0,C76&gt;1000000,D76&lt;0,D76&gt;1000000,E76&lt;0,E76&gt;1000000,D76&gt;C76),"REVISAR VALOR",IF(H76&gt;CONFIG!$B$6,"EXPOSICION FUERA DE RANGO",IF(H76&lt;&gt;CONFIG!$B$6,"DISPONIBILIDAD INCOMPLETA",IF(CONFIG!$B$14&lt;&gt;"SI","VENTAS INCOMPLETAS",IF(CONFIG!$B$12&lt;&gt;"SI","POLITICA SIN REVISAR",IF(SUMPRODUCT(--(VENTAS!$B$6:$B$1005=A76),--(VENTAS!$A$6:$A$1005&gt;=CONFIG!$B$5-CONFIG!$B$6+1),--(VENTAS!$A$6:$A$1005&lt;=CONFIG!$B$5),--(VENTAS!$I$6:$I$1005&lt;&gt;""),--(VENTAS!$I$6:$I$1005&lt;&gt;"OK"))&gt;0,"VENTAS A REVISAR",IF(AND(E76&gt;0,OR(F76="",G76&lt;&gt;"SI")),"TRANSITO SIN CONFIRMAR",IF(AND(E76&gt;0,G76="SI",OR(F76&lt;=CONFIG!$B$5,F76&gt;CONFIG!$B$5+INDEX(CATALOGO!$M$6:$M$105,MATCH(A76,CATALOGO!$A$6:$A$105,0)))),"TRANSITO FUERA DEL PLAZO",IF(INDEX(CATALOGO!$T$6:$T$105,MATCH(A76,CATALOGO!$A$6:$A$105,0))&lt;&gt;"OK","CATALOGO A REVISAR",IF(1-INDEX(CATALOGO!$K$6:$K$105,MATCH(A76,CATALOGO!$A$6:$A$105,0))-CONFIG!$B$8&lt;=0,"MARGEN OBJETIVO INVIABLE",IF(INDEX(CATALOGO!$R$6:$R$105,MATCH(A76,CATALOGO!$A$6:$A$105,0))&lt;CONFIG!$B$8,"REVISAR PRECIO O COSTO","ELEGIBLE")))))))))))))))))),"CONFIG INVALIDA")</f>
        <v/>
      </c>
      <c r="L76" s="13" t="str">
        <f t="shared" si="2"/>
        <v/>
      </c>
      <c r="M76" s="12" t="str">
        <f>IFERROR(IF(OR(A76="",CONFIG!$B$14&lt;&gt;"SI",CONFIG!$B$6&lt;1,CONFIG!$B$6&gt;365,CONFIG!$B$6&lt;&gt;INT(CONFIG!$B$6),SUMPRODUCT(--(VENTAS!$B$6:$B$1005=A76),--(VENTAS!$A$6:$A$1005&gt;=CONFIG!$B$5-CONFIG!$B$6+1),--(VENTAS!$A$6:$A$1005&lt;=CONFIG!$B$5),--(VENTAS!$I$6:$I$1005&lt;&gt;""),--(VENTAS!$I$6:$I$1005&lt;&gt;"OK"))&gt;0),"",MAX(0,(SUMIFS(VENTAS!$C$6:$C$1005,VENTAS!$B$6:$B$1005,A76,VENTAS!$A$6:$A$1005,"&gt;="&amp;CONFIG!$B$5-CONFIG!$B$6+1,VENTAS!$A$6:$A$1005,"&lt;="&amp;CONFIG!$B$5)-SUMIFS(VENTAS!$E$6:$E$1005,VENTAS!$B$6:$B$1005,A76,VENTAS!$A$6:$A$1005,"&gt;="&amp;CONFIG!$B$5-CONFIG!$B$6+1,VENTAS!$A$6:$A$1005,"&lt;="&amp;CONFIG!$B$5))/CONFIG!$B$6)),"")</f>
        <v/>
      </c>
      <c r="N76" s="14" t="str">
        <f>IF(K76&lt;&gt;"ELEGIBLE","",IF(AND(E76&gt;0,G76="SI",F76&gt;CONFIG!$B$5,F76&lt;=CONFIG!$B$5+INDEX(CATALOGO!$M$6:$M$105,MATCH(A76,CATALOGO!$A$6:$A$105,0))),E76,0))</f>
        <v/>
      </c>
      <c r="O76" s="14" t="str">
        <f>IF(K76&lt;&gt;"ELEGIBLE","",MAX(0,ROUNDUP(ROUND(M76*(INDEX(CATALOGO!$M$6:$M$105,MATCH(A76,CATALOGO!$A$6:$A$105,0))+CONFIG!$B$7)-L76-N76,10),0)))</f>
        <v/>
      </c>
      <c r="P76" s="14" t="str">
        <f>IF(O76="","",IF(O76=0,0,ROUNDUP(MAX(O76,INDEX(CATALOGO!$N$6:$N$105,MATCH(A76,CATALOGO!$A$6:$A$105,0)))/INDEX(CATALOGO!$O$6:$O$105,MATCH(A76,CATALOGO!$A$6:$A$105,0)),0)*INDEX(CATALOGO!$O$6:$O$105,MATCH(A76,CATALOGO!$A$6:$A$105,0))))</f>
        <v/>
      </c>
      <c r="Q76" s="11" t="str">
        <f>IFERROR(IF(OR(A76="",COUNTIF(CATALOGO!$A$6:$A$105,A76)&lt;&gt;1),"",IF(OR(INDEX(CATALOGO!$H$6:$H$105,MATCH(A76,CATALOGO!$A$6:$A$105,0))="",INDEX(CATALOGO!$I$6:$I$105,MATCH(A76,CATALOGO!$A$6:$A$105,0))="",ABS(INDEX(CATALOGO!$H$6:$H$105,MATCH(A76,CATALOGO!$A$6:$A$105,0)))&gt;1000000000,ABS(INDEX(CATALOGO!$I$6:$I$105,MATCH(A76,CATALOGO!$A$6:$A$105,0)))&gt;1000000000),"",INDEX(CATALOGO!$H$6:$H$105,MATCH(A76,CATALOGO!$A$6:$A$105,0))+INDEX(CATALOGO!$I$6:$I$105,MATCH(A76,CATALOGO!$A$6:$A$105,0)))),"")</f>
        <v/>
      </c>
      <c r="R76" s="9" t="str">
        <f>IF(OR(A76="",I76="",COUNTIF(CATALOGO!$A$6:$A$105,A76)&lt;&gt;1),"",IF(I76=0,0,IF(OR(Q76="",INDEX(CATALOGO!$N$6:$N$105,MATCH(A76,CATALOGO!$A$6:$A$105,0))="",INDEX(CATALOGO!$O$6:$O$105,MATCH(A76,CATALOGO!$A$6:$A$105,0))="",INDEX(CATALOGO!$O$6:$O$105,MATCH(A76,CATALOGO!$A$6:$A$105,0))&lt;=0),"",IF(OR(I76&lt;INDEX(CATALOGO!$N$6:$N$105,MATCH(A76,CATALOGO!$A$6:$A$105,0)),MOD(I76,INDEX(CATALOGO!$O$6:$O$105,MATCH(A76,CATALOGO!$A$6:$A$105,0)))&lt;&gt;0,J76="",J76&lt;=CONFIG!$B$5,J76&gt;CONFIG!$B$5+91),"",I76*Q76))))</f>
        <v/>
      </c>
      <c r="S76" s="12" t="str">
        <f>IF(A76="","",IF(COUNTIF(CATALOGO!$A$6:$A$105,A76)&lt;&gt;1,"SKU NO VALIDO",IF(I76="","CANTIDAD DESCONOCIDA",IF(I76=0,"SIN COMPRA ELEGIDA",IF(OR(I76&lt;0,I76&gt;1000000),"CANTIDAD INVALIDA",IF(OR(INDEX(CATALOGO!$N$6:$N$105,MATCH(A76,CATALOGO!$A$6:$A$105,0))="",INDEX(CATALOGO!$O$6:$O$105,MATCH(A76,CATALOGO!$A$6:$A$105,0))="",INDEX(CATALOGO!$O$6:$O$105,MATCH(A76,CATALOGO!$A$6:$A$105,0))&lt;=0),"CATALOGO A REVISAR",IF(OR(I76&lt;INDEX(CATALOGO!$N$6:$N$105,MATCH(A76,CATALOGO!$A$6:$A$105,0)),MOD(I76,INDEX(CATALOGO!$O$6:$O$105,MATCH(A76,CATALOGO!$A$6:$A$105,0)))&lt;&gt;0),"NO RESPETA MOQ/PACK",IF(J76="","FALTA FECHA PAGO",IF(Q76="","COSTO DESCONOCIDO",IF(OR(J76&lt;=CONFIG!$B$5,J76&gt;CONFIG!$B$5+91),"FUERA DE 91 DIAS",IF(AND(P76&lt;&gt;"",I76&gt;P76),"EN MODELO · SUPERA PROPUESTA","EN MODELO")))))))))))</f>
        <v/>
      </c>
    </row>
    <row r="77" spans="1:19" x14ac:dyDescent="0.45">
      <c r="A77" s="8"/>
      <c r="B77" s="4"/>
      <c r="C77" s="5"/>
      <c r="D77" s="5"/>
      <c r="E77" s="5"/>
      <c r="F77" s="4"/>
      <c r="G77" s="8"/>
      <c r="H77" s="5"/>
      <c r="I77" s="5"/>
      <c r="J77" s="4"/>
      <c r="K77" s="12" t="str">
        <f>IFERROR(IF(A77="","",IF(COUNTIF($A$6:$A$105,A77)&gt;1,"DUPLICADO STOCK",IF(COUNTIF(CATALOGO!$A$6:$A$105,A77)&lt;&gt;1,"SKU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INVALIDA",IF(INDEX(CATALOGO!$F$6:$F$105,MATCH(A77,CATALOGO!$A$6:$A$105,0))&lt;&gt;"ACTIVO",INDEX(CATALOGO!$F$6:$F$105,MATCH(A77,CATALOGO!$A$6:$A$105,0)),IF(OR(B77="",B77&lt;&gt;CONFIG!$B$5),"CONTEO NO VIGENTE",IF(OR(C77="",D77="",E77="",H77=""),"FALTA CAMPO",IF(OR(C77&lt;0,C77&gt;1000000,D77&lt;0,D77&gt;1000000,E77&lt;0,E77&gt;1000000,D77&gt;C77),"REVISAR VALOR",IF(H77&gt;CONFIG!$B$6,"EXPOSICION FUERA DE RANGO",IF(H77&lt;&gt;CONFIG!$B$6,"DISPONIBILIDAD INCOMPLETA",IF(CONFIG!$B$14&lt;&gt;"SI","VENTAS INCOMPLETAS",IF(CONFIG!$B$12&lt;&gt;"SI","POLITICA SIN REVISAR",IF(SUMPRODUCT(--(VENTAS!$B$6:$B$1005=A77),--(VENTAS!$A$6:$A$1005&gt;=CONFIG!$B$5-CONFIG!$B$6+1),--(VENTAS!$A$6:$A$1005&lt;=CONFIG!$B$5),--(VENTAS!$I$6:$I$1005&lt;&gt;""),--(VENTAS!$I$6:$I$1005&lt;&gt;"OK"))&gt;0,"VENTAS A REVISAR",IF(AND(E77&gt;0,OR(F77="",G77&lt;&gt;"SI")),"TRANSITO SIN CONFIRMAR",IF(AND(E77&gt;0,G77="SI",OR(F77&lt;=CONFIG!$B$5,F77&gt;CONFIG!$B$5+INDEX(CATALOGO!$M$6:$M$105,MATCH(A77,CATALOGO!$A$6:$A$105,0)))),"TRANSITO FUERA DEL PLAZO",IF(INDEX(CATALOGO!$T$6:$T$105,MATCH(A77,CATALOGO!$A$6:$A$105,0))&lt;&gt;"OK","CATALOGO A REVISAR",IF(1-INDEX(CATALOGO!$K$6:$K$105,MATCH(A77,CATALOGO!$A$6:$A$105,0))-CONFIG!$B$8&lt;=0,"MARGEN OBJETIVO INVIABLE",IF(INDEX(CATALOGO!$R$6:$R$105,MATCH(A77,CATALOGO!$A$6:$A$105,0))&lt;CONFIG!$B$8,"REVISAR PRECIO O COSTO","ELEGIBLE")))))))))))))))))),"CONFIG INVALIDA")</f>
        <v/>
      </c>
      <c r="L77" s="13" t="str">
        <f t="shared" si="2"/>
        <v/>
      </c>
      <c r="M77" s="12" t="str">
        <f>IFERROR(IF(OR(A77="",CONFIG!$B$14&lt;&gt;"SI",CONFIG!$B$6&lt;1,CONFIG!$B$6&gt;365,CONFIG!$B$6&lt;&gt;INT(CONFIG!$B$6),SUMPRODUCT(--(VENTAS!$B$6:$B$1005=A77),--(VENTAS!$A$6:$A$1005&gt;=CONFIG!$B$5-CONFIG!$B$6+1),--(VENTAS!$A$6:$A$1005&lt;=CONFIG!$B$5),--(VENTAS!$I$6:$I$1005&lt;&gt;""),--(VENTAS!$I$6:$I$1005&lt;&gt;"OK"))&gt;0),"",MAX(0,(SUMIFS(VENTAS!$C$6:$C$1005,VENTAS!$B$6:$B$1005,A77,VENTAS!$A$6:$A$1005,"&gt;="&amp;CONFIG!$B$5-CONFIG!$B$6+1,VENTAS!$A$6:$A$1005,"&lt;="&amp;CONFIG!$B$5)-SUMIFS(VENTAS!$E$6:$E$1005,VENTAS!$B$6:$B$1005,A77,VENTAS!$A$6:$A$1005,"&gt;="&amp;CONFIG!$B$5-CONFIG!$B$6+1,VENTAS!$A$6:$A$1005,"&lt;="&amp;CONFIG!$B$5))/CONFIG!$B$6)),"")</f>
        <v/>
      </c>
      <c r="N77" s="14" t="str">
        <f>IF(K77&lt;&gt;"ELEGIBLE","",IF(AND(E77&gt;0,G77="SI",F77&gt;CONFIG!$B$5,F77&lt;=CONFIG!$B$5+INDEX(CATALOGO!$M$6:$M$105,MATCH(A77,CATALOGO!$A$6:$A$105,0))),E77,0))</f>
        <v/>
      </c>
      <c r="O77" s="14" t="str">
        <f>IF(K77&lt;&gt;"ELEGIBLE","",MAX(0,ROUNDUP(ROUND(M77*(INDEX(CATALOGO!$M$6:$M$105,MATCH(A77,CATALOGO!$A$6:$A$105,0))+CONFIG!$B$7)-L77-N77,10),0)))</f>
        <v/>
      </c>
      <c r="P77" s="14" t="str">
        <f>IF(O77="","",IF(O77=0,0,ROUNDUP(MAX(O77,INDEX(CATALOGO!$N$6:$N$105,MATCH(A77,CATALOGO!$A$6:$A$105,0)))/INDEX(CATALOGO!$O$6:$O$105,MATCH(A77,CATALOGO!$A$6:$A$105,0)),0)*INDEX(CATALOGO!$O$6:$O$105,MATCH(A77,CATALOGO!$A$6:$A$105,0))))</f>
        <v/>
      </c>
      <c r="Q77" s="11" t="str">
        <f>IFERROR(IF(OR(A77="",COUNTIF(CATALOGO!$A$6:$A$105,A77)&lt;&gt;1),"",IF(OR(INDEX(CATALOGO!$H$6:$H$105,MATCH(A77,CATALOGO!$A$6:$A$105,0))="",INDEX(CATALOGO!$I$6:$I$105,MATCH(A77,CATALOGO!$A$6:$A$105,0))="",ABS(INDEX(CATALOGO!$H$6:$H$105,MATCH(A77,CATALOGO!$A$6:$A$105,0)))&gt;1000000000,ABS(INDEX(CATALOGO!$I$6:$I$105,MATCH(A77,CATALOGO!$A$6:$A$105,0)))&gt;1000000000),"",INDEX(CATALOGO!$H$6:$H$105,MATCH(A77,CATALOGO!$A$6:$A$105,0))+INDEX(CATALOGO!$I$6:$I$105,MATCH(A77,CATALOGO!$A$6:$A$105,0)))),"")</f>
        <v/>
      </c>
      <c r="R77" s="9" t="str">
        <f>IF(OR(A77="",I77="",COUNTIF(CATALOGO!$A$6:$A$105,A77)&lt;&gt;1),"",IF(I77=0,0,IF(OR(Q77="",INDEX(CATALOGO!$N$6:$N$105,MATCH(A77,CATALOGO!$A$6:$A$105,0))="",INDEX(CATALOGO!$O$6:$O$105,MATCH(A77,CATALOGO!$A$6:$A$105,0))="",INDEX(CATALOGO!$O$6:$O$105,MATCH(A77,CATALOGO!$A$6:$A$105,0))&lt;=0),"",IF(OR(I77&lt;INDEX(CATALOGO!$N$6:$N$105,MATCH(A77,CATALOGO!$A$6:$A$105,0)),MOD(I77,INDEX(CATALOGO!$O$6:$O$105,MATCH(A77,CATALOGO!$A$6:$A$105,0)))&lt;&gt;0,J77="",J77&lt;=CONFIG!$B$5,J77&gt;CONFIG!$B$5+91),"",I77*Q77))))</f>
        <v/>
      </c>
      <c r="S77" s="12" t="str">
        <f>IF(A77="","",IF(COUNTIF(CATALOGO!$A$6:$A$105,A77)&lt;&gt;1,"SKU NO VALIDO",IF(I77="","CANTIDAD DESCONOCIDA",IF(I77=0,"SIN COMPRA ELEGIDA",IF(OR(I77&lt;0,I77&gt;1000000),"CANTIDAD INVALIDA",IF(OR(INDEX(CATALOGO!$N$6:$N$105,MATCH(A77,CATALOGO!$A$6:$A$105,0))="",INDEX(CATALOGO!$O$6:$O$105,MATCH(A77,CATALOGO!$A$6:$A$105,0))="",INDEX(CATALOGO!$O$6:$O$105,MATCH(A77,CATALOGO!$A$6:$A$105,0))&lt;=0),"CATALOGO A REVISAR",IF(OR(I77&lt;INDEX(CATALOGO!$N$6:$N$105,MATCH(A77,CATALOGO!$A$6:$A$105,0)),MOD(I77,INDEX(CATALOGO!$O$6:$O$105,MATCH(A77,CATALOGO!$A$6:$A$105,0)))&lt;&gt;0),"NO RESPETA MOQ/PACK",IF(J77="","FALTA FECHA PAGO",IF(Q77="","COSTO DESCONOCIDO",IF(OR(J77&lt;=CONFIG!$B$5,J77&gt;CONFIG!$B$5+91),"FUERA DE 91 DIAS",IF(AND(P77&lt;&gt;"",I77&gt;P77),"EN MODELO · SUPERA PROPUESTA","EN MODELO")))))))))))</f>
        <v/>
      </c>
    </row>
    <row r="78" spans="1:19" x14ac:dyDescent="0.45">
      <c r="A78" s="8"/>
      <c r="B78" s="4"/>
      <c r="C78" s="5"/>
      <c r="D78" s="5"/>
      <c r="E78" s="5"/>
      <c r="F78" s="4"/>
      <c r="G78" s="8"/>
      <c r="H78" s="5"/>
      <c r="I78" s="5"/>
      <c r="J78" s="4"/>
      <c r="K78" s="12" t="str">
        <f>IFERROR(IF(A78="","",IF(COUNTIF($A$6:$A$105,A78)&gt;1,"DUPLICADO STOCK",IF(COUNTIF(CATALOGO!$A$6:$A$105,A78)&lt;&gt;1,"SKU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INVALIDA",IF(INDEX(CATALOGO!$F$6:$F$105,MATCH(A78,CATALOGO!$A$6:$A$105,0))&lt;&gt;"ACTIVO",INDEX(CATALOGO!$F$6:$F$105,MATCH(A78,CATALOGO!$A$6:$A$105,0)),IF(OR(B78="",B78&lt;&gt;CONFIG!$B$5),"CONTEO NO VIGENTE",IF(OR(C78="",D78="",E78="",H78=""),"FALTA CAMPO",IF(OR(C78&lt;0,C78&gt;1000000,D78&lt;0,D78&gt;1000000,E78&lt;0,E78&gt;1000000,D78&gt;C78),"REVISAR VALOR",IF(H78&gt;CONFIG!$B$6,"EXPOSICION FUERA DE RANGO",IF(H78&lt;&gt;CONFIG!$B$6,"DISPONIBILIDAD INCOMPLETA",IF(CONFIG!$B$14&lt;&gt;"SI","VENTAS INCOMPLETAS",IF(CONFIG!$B$12&lt;&gt;"SI","POLITICA SIN REVISAR",IF(SUMPRODUCT(--(VENTAS!$B$6:$B$1005=A78),--(VENTAS!$A$6:$A$1005&gt;=CONFIG!$B$5-CONFIG!$B$6+1),--(VENTAS!$A$6:$A$1005&lt;=CONFIG!$B$5),--(VENTAS!$I$6:$I$1005&lt;&gt;""),--(VENTAS!$I$6:$I$1005&lt;&gt;"OK"))&gt;0,"VENTAS A REVISAR",IF(AND(E78&gt;0,OR(F78="",G78&lt;&gt;"SI")),"TRANSITO SIN CONFIRMAR",IF(AND(E78&gt;0,G78="SI",OR(F78&lt;=CONFIG!$B$5,F78&gt;CONFIG!$B$5+INDEX(CATALOGO!$M$6:$M$105,MATCH(A78,CATALOGO!$A$6:$A$105,0)))),"TRANSITO FUERA DEL PLAZO",IF(INDEX(CATALOGO!$T$6:$T$105,MATCH(A78,CATALOGO!$A$6:$A$105,0))&lt;&gt;"OK","CATALOGO A REVISAR",IF(1-INDEX(CATALOGO!$K$6:$K$105,MATCH(A78,CATALOGO!$A$6:$A$105,0))-CONFIG!$B$8&lt;=0,"MARGEN OBJETIVO INVIABLE",IF(INDEX(CATALOGO!$R$6:$R$105,MATCH(A78,CATALOGO!$A$6:$A$105,0))&lt;CONFIG!$B$8,"REVISAR PRECIO O COSTO","ELEGIBLE")))))))))))))))))),"CONFIG INVALIDA")</f>
        <v/>
      </c>
      <c r="L78" s="13" t="str">
        <f t="shared" si="2"/>
        <v/>
      </c>
      <c r="M78" s="12" t="str">
        <f>IFERROR(IF(OR(A78="",CONFIG!$B$14&lt;&gt;"SI",CONFIG!$B$6&lt;1,CONFIG!$B$6&gt;365,CONFIG!$B$6&lt;&gt;INT(CONFIG!$B$6),SUMPRODUCT(--(VENTAS!$B$6:$B$1005=A78),--(VENTAS!$A$6:$A$1005&gt;=CONFIG!$B$5-CONFIG!$B$6+1),--(VENTAS!$A$6:$A$1005&lt;=CONFIG!$B$5),--(VENTAS!$I$6:$I$1005&lt;&gt;""),--(VENTAS!$I$6:$I$1005&lt;&gt;"OK"))&gt;0),"",MAX(0,(SUMIFS(VENTAS!$C$6:$C$1005,VENTAS!$B$6:$B$1005,A78,VENTAS!$A$6:$A$1005,"&gt;="&amp;CONFIG!$B$5-CONFIG!$B$6+1,VENTAS!$A$6:$A$1005,"&lt;="&amp;CONFIG!$B$5)-SUMIFS(VENTAS!$E$6:$E$1005,VENTAS!$B$6:$B$1005,A78,VENTAS!$A$6:$A$1005,"&gt;="&amp;CONFIG!$B$5-CONFIG!$B$6+1,VENTAS!$A$6:$A$1005,"&lt;="&amp;CONFIG!$B$5))/CONFIG!$B$6)),"")</f>
        <v/>
      </c>
      <c r="N78" s="14" t="str">
        <f>IF(K78&lt;&gt;"ELEGIBLE","",IF(AND(E78&gt;0,G78="SI",F78&gt;CONFIG!$B$5,F78&lt;=CONFIG!$B$5+INDEX(CATALOGO!$M$6:$M$105,MATCH(A78,CATALOGO!$A$6:$A$105,0))),E78,0))</f>
        <v/>
      </c>
      <c r="O78" s="14" t="str">
        <f>IF(K78&lt;&gt;"ELEGIBLE","",MAX(0,ROUNDUP(ROUND(M78*(INDEX(CATALOGO!$M$6:$M$105,MATCH(A78,CATALOGO!$A$6:$A$105,0))+CONFIG!$B$7)-L78-N78,10),0)))</f>
        <v/>
      </c>
      <c r="P78" s="14" t="str">
        <f>IF(O78="","",IF(O78=0,0,ROUNDUP(MAX(O78,INDEX(CATALOGO!$N$6:$N$105,MATCH(A78,CATALOGO!$A$6:$A$105,0)))/INDEX(CATALOGO!$O$6:$O$105,MATCH(A78,CATALOGO!$A$6:$A$105,0)),0)*INDEX(CATALOGO!$O$6:$O$105,MATCH(A78,CATALOGO!$A$6:$A$105,0))))</f>
        <v/>
      </c>
      <c r="Q78" s="11" t="str">
        <f>IFERROR(IF(OR(A78="",COUNTIF(CATALOGO!$A$6:$A$105,A78)&lt;&gt;1),"",IF(OR(INDEX(CATALOGO!$H$6:$H$105,MATCH(A78,CATALOGO!$A$6:$A$105,0))="",INDEX(CATALOGO!$I$6:$I$105,MATCH(A78,CATALOGO!$A$6:$A$105,0))="",ABS(INDEX(CATALOGO!$H$6:$H$105,MATCH(A78,CATALOGO!$A$6:$A$105,0)))&gt;1000000000,ABS(INDEX(CATALOGO!$I$6:$I$105,MATCH(A78,CATALOGO!$A$6:$A$105,0)))&gt;1000000000),"",INDEX(CATALOGO!$H$6:$H$105,MATCH(A78,CATALOGO!$A$6:$A$105,0))+INDEX(CATALOGO!$I$6:$I$105,MATCH(A78,CATALOGO!$A$6:$A$105,0)))),"")</f>
        <v/>
      </c>
      <c r="R78" s="9" t="str">
        <f>IF(OR(A78="",I78="",COUNTIF(CATALOGO!$A$6:$A$105,A78)&lt;&gt;1),"",IF(I78=0,0,IF(OR(Q78="",INDEX(CATALOGO!$N$6:$N$105,MATCH(A78,CATALOGO!$A$6:$A$105,0))="",INDEX(CATALOGO!$O$6:$O$105,MATCH(A78,CATALOGO!$A$6:$A$105,0))="",INDEX(CATALOGO!$O$6:$O$105,MATCH(A78,CATALOGO!$A$6:$A$105,0))&lt;=0),"",IF(OR(I78&lt;INDEX(CATALOGO!$N$6:$N$105,MATCH(A78,CATALOGO!$A$6:$A$105,0)),MOD(I78,INDEX(CATALOGO!$O$6:$O$105,MATCH(A78,CATALOGO!$A$6:$A$105,0)))&lt;&gt;0,J78="",J78&lt;=CONFIG!$B$5,J78&gt;CONFIG!$B$5+91),"",I78*Q78))))</f>
        <v/>
      </c>
      <c r="S78" s="12" t="str">
        <f>IF(A78="","",IF(COUNTIF(CATALOGO!$A$6:$A$105,A78)&lt;&gt;1,"SKU NO VALIDO",IF(I78="","CANTIDAD DESCONOCIDA",IF(I78=0,"SIN COMPRA ELEGIDA",IF(OR(I78&lt;0,I78&gt;1000000),"CANTIDAD INVALIDA",IF(OR(INDEX(CATALOGO!$N$6:$N$105,MATCH(A78,CATALOGO!$A$6:$A$105,0))="",INDEX(CATALOGO!$O$6:$O$105,MATCH(A78,CATALOGO!$A$6:$A$105,0))="",INDEX(CATALOGO!$O$6:$O$105,MATCH(A78,CATALOGO!$A$6:$A$105,0))&lt;=0),"CATALOGO A REVISAR",IF(OR(I78&lt;INDEX(CATALOGO!$N$6:$N$105,MATCH(A78,CATALOGO!$A$6:$A$105,0)),MOD(I78,INDEX(CATALOGO!$O$6:$O$105,MATCH(A78,CATALOGO!$A$6:$A$105,0)))&lt;&gt;0),"NO RESPETA MOQ/PACK",IF(J78="","FALTA FECHA PAGO",IF(Q78="","COSTO DESCONOCIDO",IF(OR(J78&lt;=CONFIG!$B$5,J78&gt;CONFIG!$B$5+91),"FUERA DE 91 DIAS",IF(AND(P78&lt;&gt;"",I78&gt;P78),"EN MODELO · SUPERA PROPUESTA","EN MODELO")))))))))))</f>
        <v/>
      </c>
    </row>
    <row r="79" spans="1:19" x14ac:dyDescent="0.45">
      <c r="A79" s="8"/>
      <c r="B79" s="4"/>
      <c r="C79" s="5"/>
      <c r="D79" s="5"/>
      <c r="E79" s="5"/>
      <c r="F79" s="4"/>
      <c r="G79" s="8"/>
      <c r="H79" s="5"/>
      <c r="I79" s="5"/>
      <c r="J79" s="4"/>
      <c r="K79" s="12" t="str">
        <f>IFERROR(IF(A79="","",IF(COUNTIF($A$6:$A$105,A79)&gt;1,"DUPLICADO STOCK",IF(COUNTIF(CATALOGO!$A$6:$A$105,A79)&lt;&gt;1,"SKU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INVALIDA",IF(INDEX(CATALOGO!$F$6:$F$105,MATCH(A79,CATALOGO!$A$6:$A$105,0))&lt;&gt;"ACTIVO",INDEX(CATALOGO!$F$6:$F$105,MATCH(A79,CATALOGO!$A$6:$A$105,0)),IF(OR(B79="",B79&lt;&gt;CONFIG!$B$5),"CONTEO NO VIGENTE",IF(OR(C79="",D79="",E79="",H79=""),"FALTA CAMPO",IF(OR(C79&lt;0,C79&gt;1000000,D79&lt;0,D79&gt;1000000,E79&lt;0,E79&gt;1000000,D79&gt;C79),"REVISAR VALOR",IF(H79&gt;CONFIG!$B$6,"EXPOSICION FUERA DE RANGO",IF(H79&lt;&gt;CONFIG!$B$6,"DISPONIBILIDAD INCOMPLETA",IF(CONFIG!$B$14&lt;&gt;"SI","VENTAS INCOMPLETAS",IF(CONFIG!$B$12&lt;&gt;"SI","POLITICA SIN REVISAR",IF(SUMPRODUCT(--(VENTAS!$B$6:$B$1005=A79),--(VENTAS!$A$6:$A$1005&gt;=CONFIG!$B$5-CONFIG!$B$6+1),--(VENTAS!$A$6:$A$1005&lt;=CONFIG!$B$5),--(VENTAS!$I$6:$I$1005&lt;&gt;""),--(VENTAS!$I$6:$I$1005&lt;&gt;"OK"))&gt;0,"VENTAS A REVISAR",IF(AND(E79&gt;0,OR(F79="",G79&lt;&gt;"SI")),"TRANSITO SIN CONFIRMAR",IF(AND(E79&gt;0,G79="SI",OR(F79&lt;=CONFIG!$B$5,F79&gt;CONFIG!$B$5+INDEX(CATALOGO!$M$6:$M$105,MATCH(A79,CATALOGO!$A$6:$A$105,0)))),"TRANSITO FUERA DEL PLAZO",IF(INDEX(CATALOGO!$T$6:$T$105,MATCH(A79,CATALOGO!$A$6:$A$105,0))&lt;&gt;"OK","CATALOGO A REVISAR",IF(1-INDEX(CATALOGO!$K$6:$K$105,MATCH(A79,CATALOGO!$A$6:$A$105,0))-CONFIG!$B$8&lt;=0,"MARGEN OBJETIVO INVIABLE",IF(INDEX(CATALOGO!$R$6:$R$105,MATCH(A79,CATALOGO!$A$6:$A$105,0))&lt;CONFIG!$B$8,"REVISAR PRECIO O COSTO","ELEGIBLE")))))))))))))))))),"CONFIG INVALIDA")</f>
        <v/>
      </c>
      <c r="L79" s="13" t="str">
        <f t="shared" si="2"/>
        <v/>
      </c>
      <c r="M79" s="12" t="str">
        <f>IFERROR(IF(OR(A79="",CONFIG!$B$14&lt;&gt;"SI",CONFIG!$B$6&lt;1,CONFIG!$B$6&gt;365,CONFIG!$B$6&lt;&gt;INT(CONFIG!$B$6),SUMPRODUCT(--(VENTAS!$B$6:$B$1005=A79),--(VENTAS!$A$6:$A$1005&gt;=CONFIG!$B$5-CONFIG!$B$6+1),--(VENTAS!$A$6:$A$1005&lt;=CONFIG!$B$5),--(VENTAS!$I$6:$I$1005&lt;&gt;""),--(VENTAS!$I$6:$I$1005&lt;&gt;"OK"))&gt;0),"",MAX(0,(SUMIFS(VENTAS!$C$6:$C$1005,VENTAS!$B$6:$B$1005,A79,VENTAS!$A$6:$A$1005,"&gt;="&amp;CONFIG!$B$5-CONFIG!$B$6+1,VENTAS!$A$6:$A$1005,"&lt;="&amp;CONFIG!$B$5)-SUMIFS(VENTAS!$E$6:$E$1005,VENTAS!$B$6:$B$1005,A79,VENTAS!$A$6:$A$1005,"&gt;="&amp;CONFIG!$B$5-CONFIG!$B$6+1,VENTAS!$A$6:$A$1005,"&lt;="&amp;CONFIG!$B$5))/CONFIG!$B$6)),"")</f>
        <v/>
      </c>
      <c r="N79" s="14" t="str">
        <f>IF(K79&lt;&gt;"ELEGIBLE","",IF(AND(E79&gt;0,G79="SI",F79&gt;CONFIG!$B$5,F79&lt;=CONFIG!$B$5+INDEX(CATALOGO!$M$6:$M$105,MATCH(A79,CATALOGO!$A$6:$A$105,0))),E79,0))</f>
        <v/>
      </c>
      <c r="O79" s="14" t="str">
        <f>IF(K79&lt;&gt;"ELEGIBLE","",MAX(0,ROUNDUP(ROUND(M79*(INDEX(CATALOGO!$M$6:$M$105,MATCH(A79,CATALOGO!$A$6:$A$105,0))+CONFIG!$B$7)-L79-N79,10),0)))</f>
        <v/>
      </c>
      <c r="P79" s="14" t="str">
        <f>IF(O79="","",IF(O79=0,0,ROUNDUP(MAX(O79,INDEX(CATALOGO!$N$6:$N$105,MATCH(A79,CATALOGO!$A$6:$A$105,0)))/INDEX(CATALOGO!$O$6:$O$105,MATCH(A79,CATALOGO!$A$6:$A$105,0)),0)*INDEX(CATALOGO!$O$6:$O$105,MATCH(A79,CATALOGO!$A$6:$A$105,0))))</f>
        <v/>
      </c>
      <c r="Q79" s="11" t="str">
        <f>IFERROR(IF(OR(A79="",COUNTIF(CATALOGO!$A$6:$A$105,A79)&lt;&gt;1),"",IF(OR(INDEX(CATALOGO!$H$6:$H$105,MATCH(A79,CATALOGO!$A$6:$A$105,0))="",INDEX(CATALOGO!$I$6:$I$105,MATCH(A79,CATALOGO!$A$6:$A$105,0))="",ABS(INDEX(CATALOGO!$H$6:$H$105,MATCH(A79,CATALOGO!$A$6:$A$105,0)))&gt;1000000000,ABS(INDEX(CATALOGO!$I$6:$I$105,MATCH(A79,CATALOGO!$A$6:$A$105,0)))&gt;1000000000),"",INDEX(CATALOGO!$H$6:$H$105,MATCH(A79,CATALOGO!$A$6:$A$105,0))+INDEX(CATALOGO!$I$6:$I$105,MATCH(A79,CATALOGO!$A$6:$A$105,0)))),"")</f>
        <v/>
      </c>
      <c r="R79" s="9" t="str">
        <f>IF(OR(A79="",I79="",COUNTIF(CATALOGO!$A$6:$A$105,A79)&lt;&gt;1),"",IF(I79=0,0,IF(OR(Q79="",INDEX(CATALOGO!$N$6:$N$105,MATCH(A79,CATALOGO!$A$6:$A$105,0))="",INDEX(CATALOGO!$O$6:$O$105,MATCH(A79,CATALOGO!$A$6:$A$105,0))="",INDEX(CATALOGO!$O$6:$O$105,MATCH(A79,CATALOGO!$A$6:$A$105,0))&lt;=0),"",IF(OR(I79&lt;INDEX(CATALOGO!$N$6:$N$105,MATCH(A79,CATALOGO!$A$6:$A$105,0)),MOD(I79,INDEX(CATALOGO!$O$6:$O$105,MATCH(A79,CATALOGO!$A$6:$A$105,0)))&lt;&gt;0,J79="",J79&lt;=CONFIG!$B$5,J79&gt;CONFIG!$B$5+91),"",I79*Q79))))</f>
        <v/>
      </c>
      <c r="S79" s="12" t="str">
        <f>IF(A79="","",IF(COUNTIF(CATALOGO!$A$6:$A$105,A79)&lt;&gt;1,"SKU NO VALIDO",IF(I79="","CANTIDAD DESCONOCIDA",IF(I79=0,"SIN COMPRA ELEGIDA",IF(OR(I79&lt;0,I79&gt;1000000),"CANTIDAD INVALIDA",IF(OR(INDEX(CATALOGO!$N$6:$N$105,MATCH(A79,CATALOGO!$A$6:$A$105,0))="",INDEX(CATALOGO!$O$6:$O$105,MATCH(A79,CATALOGO!$A$6:$A$105,0))="",INDEX(CATALOGO!$O$6:$O$105,MATCH(A79,CATALOGO!$A$6:$A$105,0))&lt;=0),"CATALOGO A REVISAR",IF(OR(I79&lt;INDEX(CATALOGO!$N$6:$N$105,MATCH(A79,CATALOGO!$A$6:$A$105,0)),MOD(I79,INDEX(CATALOGO!$O$6:$O$105,MATCH(A79,CATALOGO!$A$6:$A$105,0)))&lt;&gt;0),"NO RESPETA MOQ/PACK",IF(J79="","FALTA FECHA PAGO",IF(Q79="","COSTO DESCONOCIDO",IF(OR(J79&lt;=CONFIG!$B$5,J79&gt;CONFIG!$B$5+91),"FUERA DE 91 DIAS",IF(AND(P79&lt;&gt;"",I79&gt;P79),"EN MODELO · SUPERA PROPUESTA","EN MODELO")))))))))))</f>
        <v/>
      </c>
    </row>
    <row r="80" spans="1:19" x14ac:dyDescent="0.45">
      <c r="A80" s="8"/>
      <c r="B80" s="4"/>
      <c r="C80" s="5"/>
      <c r="D80" s="5"/>
      <c r="E80" s="5"/>
      <c r="F80" s="4"/>
      <c r="G80" s="8"/>
      <c r="H80" s="5"/>
      <c r="I80" s="5"/>
      <c r="J80" s="4"/>
      <c r="K80" s="12" t="str">
        <f>IFERROR(IF(A80="","",IF(COUNTIF($A$6:$A$105,A80)&gt;1,"DUPLICADO STOCK",IF(COUNTIF(CATALOGO!$A$6:$A$105,A80)&lt;&gt;1,"SKU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INVALIDA",IF(INDEX(CATALOGO!$F$6:$F$105,MATCH(A80,CATALOGO!$A$6:$A$105,0))&lt;&gt;"ACTIVO",INDEX(CATALOGO!$F$6:$F$105,MATCH(A80,CATALOGO!$A$6:$A$105,0)),IF(OR(B80="",B80&lt;&gt;CONFIG!$B$5),"CONTEO NO VIGENTE",IF(OR(C80="",D80="",E80="",H80=""),"FALTA CAMPO",IF(OR(C80&lt;0,C80&gt;1000000,D80&lt;0,D80&gt;1000000,E80&lt;0,E80&gt;1000000,D80&gt;C80),"REVISAR VALOR",IF(H80&gt;CONFIG!$B$6,"EXPOSICION FUERA DE RANGO",IF(H80&lt;&gt;CONFIG!$B$6,"DISPONIBILIDAD INCOMPLETA",IF(CONFIG!$B$14&lt;&gt;"SI","VENTAS INCOMPLETAS",IF(CONFIG!$B$12&lt;&gt;"SI","POLITICA SIN REVISAR",IF(SUMPRODUCT(--(VENTAS!$B$6:$B$1005=A80),--(VENTAS!$A$6:$A$1005&gt;=CONFIG!$B$5-CONFIG!$B$6+1),--(VENTAS!$A$6:$A$1005&lt;=CONFIG!$B$5),--(VENTAS!$I$6:$I$1005&lt;&gt;""),--(VENTAS!$I$6:$I$1005&lt;&gt;"OK"))&gt;0,"VENTAS A REVISAR",IF(AND(E80&gt;0,OR(F80="",G80&lt;&gt;"SI")),"TRANSITO SIN CONFIRMAR",IF(AND(E80&gt;0,G80="SI",OR(F80&lt;=CONFIG!$B$5,F80&gt;CONFIG!$B$5+INDEX(CATALOGO!$M$6:$M$105,MATCH(A80,CATALOGO!$A$6:$A$105,0)))),"TRANSITO FUERA DEL PLAZO",IF(INDEX(CATALOGO!$T$6:$T$105,MATCH(A80,CATALOGO!$A$6:$A$105,0))&lt;&gt;"OK","CATALOGO A REVISAR",IF(1-INDEX(CATALOGO!$K$6:$K$105,MATCH(A80,CATALOGO!$A$6:$A$105,0))-CONFIG!$B$8&lt;=0,"MARGEN OBJETIVO INVIABLE",IF(INDEX(CATALOGO!$R$6:$R$105,MATCH(A80,CATALOGO!$A$6:$A$105,0))&lt;CONFIG!$B$8,"REVISAR PRECIO O COSTO","ELEGIBLE")))))))))))))))))),"CONFIG INVALIDA")</f>
        <v/>
      </c>
      <c r="L80" s="13" t="str">
        <f t="shared" si="2"/>
        <v/>
      </c>
      <c r="M80" s="12" t="str">
        <f>IFERROR(IF(OR(A80="",CONFIG!$B$14&lt;&gt;"SI",CONFIG!$B$6&lt;1,CONFIG!$B$6&gt;365,CONFIG!$B$6&lt;&gt;INT(CONFIG!$B$6),SUMPRODUCT(--(VENTAS!$B$6:$B$1005=A80),--(VENTAS!$A$6:$A$1005&gt;=CONFIG!$B$5-CONFIG!$B$6+1),--(VENTAS!$A$6:$A$1005&lt;=CONFIG!$B$5),--(VENTAS!$I$6:$I$1005&lt;&gt;""),--(VENTAS!$I$6:$I$1005&lt;&gt;"OK"))&gt;0),"",MAX(0,(SUMIFS(VENTAS!$C$6:$C$1005,VENTAS!$B$6:$B$1005,A80,VENTAS!$A$6:$A$1005,"&gt;="&amp;CONFIG!$B$5-CONFIG!$B$6+1,VENTAS!$A$6:$A$1005,"&lt;="&amp;CONFIG!$B$5)-SUMIFS(VENTAS!$E$6:$E$1005,VENTAS!$B$6:$B$1005,A80,VENTAS!$A$6:$A$1005,"&gt;="&amp;CONFIG!$B$5-CONFIG!$B$6+1,VENTAS!$A$6:$A$1005,"&lt;="&amp;CONFIG!$B$5))/CONFIG!$B$6)),"")</f>
        <v/>
      </c>
      <c r="N80" s="14" t="str">
        <f>IF(K80&lt;&gt;"ELEGIBLE","",IF(AND(E80&gt;0,G80="SI",F80&gt;CONFIG!$B$5,F80&lt;=CONFIG!$B$5+INDEX(CATALOGO!$M$6:$M$105,MATCH(A80,CATALOGO!$A$6:$A$105,0))),E80,0))</f>
        <v/>
      </c>
      <c r="O80" s="14" t="str">
        <f>IF(K80&lt;&gt;"ELEGIBLE","",MAX(0,ROUNDUP(ROUND(M80*(INDEX(CATALOGO!$M$6:$M$105,MATCH(A80,CATALOGO!$A$6:$A$105,0))+CONFIG!$B$7)-L80-N80,10),0)))</f>
        <v/>
      </c>
      <c r="P80" s="14" t="str">
        <f>IF(O80="","",IF(O80=0,0,ROUNDUP(MAX(O80,INDEX(CATALOGO!$N$6:$N$105,MATCH(A80,CATALOGO!$A$6:$A$105,0)))/INDEX(CATALOGO!$O$6:$O$105,MATCH(A80,CATALOGO!$A$6:$A$105,0)),0)*INDEX(CATALOGO!$O$6:$O$105,MATCH(A80,CATALOGO!$A$6:$A$105,0))))</f>
        <v/>
      </c>
      <c r="Q80" s="11" t="str">
        <f>IFERROR(IF(OR(A80="",COUNTIF(CATALOGO!$A$6:$A$105,A80)&lt;&gt;1),"",IF(OR(INDEX(CATALOGO!$H$6:$H$105,MATCH(A80,CATALOGO!$A$6:$A$105,0))="",INDEX(CATALOGO!$I$6:$I$105,MATCH(A80,CATALOGO!$A$6:$A$105,0))="",ABS(INDEX(CATALOGO!$H$6:$H$105,MATCH(A80,CATALOGO!$A$6:$A$105,0)))&gt;1000000000,ABS(INDEX(CATALOGO!$I$6:$I$105,MATCH(A80,CATALOGO!$A$6:$A$105,0)))&gt;1000000000),"",INDEX(CATALOGO!$H$6:$H$105,MATCH(A80,CATALOGO!$A$6:$A$105,0))+INDEX(CATALOGO!$I$6:$I$105,MATCH(A80,CATALOGO!$A$6:$A$105,0)))),"")</f>
        <v/>
      </c>
      <c r="R80" s="9" t="str">
        <f>IF(OR(A80="",I80="",COUNTIF(CATALOGO!$A$6:$A$105,A80)&lt;&gt;1),"",IF(I80=0,0,IF(OR(Q80="",INDEX(CATALOGO!$N$6:$N$105,MATCH(A80,CATALOGO!$A$6:$A$105,0))="",INDEX(CATALOGO!$O$6:$O$105,MATCH(A80,CATALOGO!$A$6:$A$105,0))="",INDEX(CATALOGO!$O$6:$O$105,MATCH(A80,CATALOGO!$A$6:$A$105,0))&lt;=0),"",IF(OR(I80&lt;INDEX(CATALOGO!$N$6:$N$105,MATCH(A80,CATALOGO!$A$6:$A$105,0)),MOD(I80,INDEX(CATALOGO!$O$6:$O$105,MATCH(A80,CATALOGO!$A$6:$A$105,0)))&lt;&gt;0,J80="",J80&lt;=CONFIG!$B$5,J80&gt;CONFIG!$B$5+91),"",I80*Q80))))</f>
        <v/>
      </c>
      <c r="S80" s="12" t="str">
        <f>IF(A80="","",IF(COUNTIF(CATALOGO!$A$6:$A$105,A80)&lt;&gt;1,"SKU NO VALIDO",IF(I80="","CANTIDAD DESCONOCIDA",IF(I80=0,"SIN COMPRA ELEGIDA",IF(OR(I80&lt;0,I80&gt;1000000),"CANTIDAD INVALIDA",IF(OR(INDEX(CATALOGO!$N$6:$N$105,MATCH(A80,CATALOGO!$A$6:$A$105,0))="",INDEX(CATALOGO!$O$6:$O$105,MATCH(A80,CATALOGO!$A$6:$A$105,0))="",INDEX(CATALOGO!$O$6:$O$105,MATCH(A80,CATALOGO!$A$6:$A$105,0))&lt;=0),"CATALOGO A REVISAR",IF(OR(I80&lt;INDEX(CATALOGO!$N$6:$N$105,MATCH(A80,CATALOGO!$A$6:$A$105,0)),MOD(I80,INDEX(CATALOGO!$O$6:$O$105,MATCH(A80,CATALOGO!$A$6:$A$105,0)))&lt;&gt;0),"NO RESPETA MOQ/PACK",IF(J80="","FALTA FECHA PAGO",IF(Q80="","COSTO DESCONOCIDO",IF(OR(J80&lt;=CONFIG!$B$5,J80&gt;CONFIG!$B$5+91),"FUERA DE 91 DIAS",IF(AND(P80&lt;&gt;"",I80&gt;P80),"EN MODELO · SUPERA PROPUESTA","EN MODELO")))))))))))</f>
        <v/>
      </c>
    </row>
    <row r="81" spans="1:19" x14ac:dyDescent="0.45">
      <c r="A81" s="8"/>
      <c r="B81" s="4"/>
      <c r="C81" s="5"/>
      <c r="D81" s="5"/>
      <c r="E81" s="5"/>
      <c r="F81" s="4"/>
      <c r="G81" s="8"/>
      <c r="H81" s="5"/>
      <c r="I81" s="5"/>
      <c r="J81" s="4"/>
      <c r="K81" s="12" t="str">
        <f>IFERROR(IF(A81="","",IF(COUNTIF($A$6:$A$105,A81)&gt;1,"DUPLICADO STOCK",IF(COUNTIF(CATALOGO!$A$6:$A$105,A81)&lt;&gt;1,"SKU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INVALIDA",IF(INDEX(CATALOGO!$F$6:$F$105,MATCH(A81,CATALOGO!$A$6:$A$105,0))&lt;&gt;"ACTIVO",INDEX(CATALOGO!$F$6:$F$105,MATCH(A81,CATALOGO!$A$6:$A$105,0)),IF(OR(B81="",B81&lt;&gt;CONFIG!$B$5),"CONTEO NO VIGENTE",IF(OR(C81="",D81="",E81="",H81=""),"FALTA CAMPO",IF(OR(C81&lt;0,C81&gt;1000000,D81&lt;0,D81&gt;1000000,E81&lt;0,E81&gt;1000000,D81&gt;C81),"REVISAR VALOR",IF(H81&gt;CONFIG!$B$6,"EXPOSICION FUERA DE RANGO",IF(H81&lt;&gt;CONFIG!$B$6,"DISPONIBILIDAD INCOMPLETA",IF(CONFIG!$B$14&lt;&gt;"SI","VENTAS INCOMPLETAS",IF(CONFIG!$B$12&lt;&gt;"SI","POLITICA SIN REVISAR",IF(SUMPRODUCT(--(VENTAS!$B$6:$B$1005=A81),--(VENTAS!$A$6:$A$1005&gt;=CONFIG!$B$5-CONFIG!$B$6+1),--(VENTAS!$A$6:$A$1005&lt;=CONFIG!$B$5),--(VENTAS!$I$6:$I$1005&lt;&gt;""),--(VENTAS!$I$6:$I$1005&lt;&gt;"OK"))&gt;0,"VENTAS A REVISAR",IF(AND(E81&gt;0,OR(F81="",G81&lt;&gt;"SI")),"TRANSITO SIN CONFIRMAR",IF(AND(E81&gt;0,G81="SI",OR(F81&lt;=CONFIG!$B$5,F81&gt;CONFIG!$B$5+INDEX(CATALOGO!$M$6:$M$105,MATCH(A81,CATALOGO!$A$6:$A$105,0)))),"TRANSITO FUERA DEL PLAZO",IF(INDEX(CATALOGO!$T$6:$T$105,MATCH(A81,CATALOGO!$A$6:$A$105,0))&lt;&gt;"OK","CATALOGO A REVISAR",IF(1-INDEX(CATALOGO!$K$6:$K$105,MATCH(A81,CATALOGO!$A$6:$A$105,0))-CONFIG!$B$8&lt;=0,"MARGEN OBJETIVO INVIABLE",IF(INDEX(CATALOGO!$R$6:$R$105,MATCH(A81,CATALOGO!$A$6:$A$105,0))&lt;CONFIG!$B$8,"REVISAR PRECIO O COSTO","ELEGIBLE")))))))))))))))))),"CONFIG INVALIDA")</f>
        <v/>
      </c>
      <c r="L81" s="13" t="str">
        <f t="shared" si="2"/>
        <v/>
      </c>
      <c r="M81" s="12" t="str">
        <f>IFERROR(IF(OR(A81="",CONFIG!$B$14&lt;&gt;"SI",CONFIG!$B$6&lt;1,CONFIG!$B$6&gt;365,CONFIG!$B$6&lt;&gt;INT(CONFIG!$B$6),SUMPRODUCT(--(VENTAS!$B$6:$B$1005=A81),--(VENTAS!$A$6:$A$1005&gt;=CONFIG!$B$5-CONFIG!$B$6+1),--(VENTAS!$A$6:$A$1005&lt;=CONFIG!$B$5),--(VENTAS!$I$6:$I$1005&lt;&gt;""),--(VENTAS!$I$6:$I$1005&lt;&gt;"OK"))&gt;0),"",MAX(0,(SUMIFS(VENTAS!$C$6:$C$1005,VENTAS!$B$6:$B$1005,A81,VENTAS!$A$6:$A$1005,"&gt;="&amp;CONFIG!$B$5-CONFIG!$B$6+1,VENTAS!$A$6:$A$1005,"&lt;="&amp;CONFIG!$B$5)-SUMIFS(VENTAS!$E$6:$E$1005,VENTAS!$B$6:$B$1005,A81,VENTAS!$A$6:$A$1005,"&gt;="&amp;CONFIG!$B$5-CONFIG!$B$6+1,VENTAS!$A$6:$A$1005,"&lt;="&amp;CONFIG!$B$5))/CONFIG!$B$6)),"")</f>
        <v/>
      </c>
      <c r="N81" s="14" t="str">
        <f>IF(K81&lt;&gt;"ELEGIBLE","",IF(AND(E81&gt;0,G81="SI",F81&gt;CONFIG!$B$5,F81&lt;=CONFIG!$B$5+INDEX(CATALOGO!$M$6:$M$105,MATCH(A81,CATALOGO!$A$6:$A$105,0))),E81,0))</f>
        <v/>
      </c>
      <c r="O81" s="14" t="str">
        <f>IF(K81&lt;&gt;"ELEGIBLE","",MAX(0,ROUNDUP(ROUND(M81*(INDEX(CATALOGO!$M$6:$M$105,MATCH(A81,CATALOGO!$A$6:$A$105,0))+CONFIG!$B$7)-L81-N81,10),0)))</f>
        <v/>
      </c>
      <c r="P81" s="14" t="str">
        <f>IF(O81="","",IF(O81=0,0,ROUNDUP(MAX(O81,INDEX(CATALOGO!$N$6:$N$105,MATCH(A81,CATALOGO!$A$6:$A$105,0)))/INDEX(CATALOGO!$O$6:$O$105,MATCH(A81,CATALOGO!$A$6:$A$105,0)),0)*INDEX(CATALOGO!$O$6:$O$105,MATCH(A81,CATALOGO!$A$6:$A$105,0))))</f>
        <v/>
      </c>
      <c r="Q81" s="11" t="str">
        <f>IFERROR(IF(OR(A81="",COUNTIF(CATALOGO!$A$6:$A$105,A81)&lt;&gt;1),"",IF(OR(INDEX(CATALOGO!$H$6:$H$105,MATCH(A81,CATALOGO!$A$6:$A$105,0))="",INDEX(CATALOGO!$I$6:$I$105,MATCH(A81,CATALOGO!$A$6:$A$105,0))="",ABS(INDEX(CATALOGO!$H$6:$H$105,MATCH(A81,CATALOGO!$A$6:$A$105,0)))&gt;1000000000,ABS(INDEX(CATALOGO!$I$6:$I$105,MATCH(A81,CATALOGO!$A$6:$A$105,0)))&gt;1000000000),"",INDEX(CATALOGO!$H$6:$H$105,MATCH(A81,CATALOGO!$A$6:$A$105,0))+INDEX(CATALOGO!$I$6:$I$105,MATCH(A81,CATALOGO!$A$6:$A$105,0)))),"")</f>
        <v/>
      </c>
      <c r="R81" s="9" t="str">
        <f>IF(OR(A81="",I81="",COUNTIF(CATALOGO!$A$6:$A$105,A81)&lt;&gt;1),"",IF(I81=0,0,IF(OR(Q81="",INDEX(CATALOGO!$N$6:$N$105,MATCH(A81,CATALOGO!$A$6:$A$105,0))="",INDEX(CATALOGO!$O$6:$O$105,MATCH(A81,CATALOGO!$A$6:$A$105,0))="",INDEX(CATALOGO!$O$6:$O$105,MATCH(A81,CATALOGO!$A$6:$A$105,0))&lt;=0),"",IF(OR(I81&lt;INDEX(CATALOGO!$N$6:$N$105,MATCH(A81,CATALOGO!$A$6:$A$105,0)),MOD(I81,INDEX(CATALOGO!$O$6:$O$105,MATCH(A81,CATALOGO!$A$6:$A$105,0)))&lt;&gt;0,J81="",J81&lt;=CONFIG!$B$5,J81&gt;CONFIG!$B$5+91),"",I81*Q81))))</f>
        <v/>
      </c>
      <c r="S81" s="12" t="str">
        <f>IF(A81="","",IF(COUNTIF(CATALOGO!$A$6:$A$105,A81)&lt;&gt;1,"SKU NO VALIDO",IF(I81="","CANTIDAD DESCONOCIDA",IF(I81=0,"SIN COMPRA ELEGIDA",IF(OR(I81&lt;0,I81&gt;1000000),"CANTIDAD INVALIDA",IF(OR(INDEX(CATALOGO!$N$6:$N$105,MATCH(A81,CATALOGO!$A$6:$A$105,0))="",INDEX(CATALOGO!$O$6:$O$105,MATCH(A81,CATALOGO!$A$6:$A$105,0))="",INDEX(CATALOGO!$O$6:$O$105,MATCH(A81,CATALOGO!$A$6:$A$105,0))&lt;=0),"CATALOGO A REVISAR",IF(OR(I81&lt;INDEX(CATALOGO!$N$6:$N$105,MATCH(A81,CATALOGO!$A$6:$A$105,0)),MOD(I81,INDEX(CATALOGO!$O$6:$O$105,MATCH(A81,CATALOGO!$A$6:$A$105,0)))&lt;&gt;0),"NO RESPETA MOQ/PACK",IF(J81="","FALTA FECHA PAGO",IF(Q81="","COSTO DESCONOCIDO",IF(OR(J81&lt;=CONFIG!$B$5,J81&gt;CONFIG!$B$5+91),"FUERA DE 91 DIAS",IF(AND(P81&lt;&gt;"",I81&gt;P81),"EN MODELO · SUPERA PROPUESTA","EN MODELO")))))))))))</f>
        <v/>
      </c>
    </row>
    <row r="82" spans="1:19" x14ac:dyDescent="0.45">
      <c r="A82" s="8"/>
      <c r="B82" s="4"/>
      <c r="C82" s="5"/>
      <c r="D82" s="5"/>
      <c r="E82" s="5"/>
      <c r="F82" s="4"/>
      <c r="G82" s="8"/>
      <c r="H82" s="5"/>
      <c r="I82" s="5"/>
      <c r="J82" s="4"/>
      <c r="K82" s="12" t="str">
        <f>IFERROR(IF(A82="","",IF(COUNTIF($A$6:$A$105,A82)&gt;1,"DUPLICADO STOCK",IF(COUNTIF(CATALOGO!$A$6:$A$105,A82)&lt;&gt;1,"SKU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INVALIDA",IF(INDEX(CATALOGO!$F$6:$F$105,MATCH(A82,CATALOGO!$A$6:$A$105,0))&lt;&gt;"ACTIVO",INDEX(CATALOGO!$F$6:$F$105,MATCH(A82,CATALOGO!$A$6:$A$105,0)),IF(OR(B82="",B82&lt;&gt;CONFIG!$B$5),"CONTEO NO VIGENTE",IF(OR(C82="",D82="",E82="",H82=""),"FALTA CAMPO",IF(OR(C82&lt;0,C82&gt;1000000,D82&lt;0,D82&gt;1000000,E82&lt;0,E82&gt;1000000,D82&gt;C82),"REVISAR VALOR",IF(H82&gt;CONFIG!$B$6,"EXPOSICION FUERA DE RANGO",IF(H82&lt;&gt;CONFIG!$B$6,"DISPONIBILIDAD INCOMPLETA",IF(CONFIG!$B$14&lt;&gt;"SI","VENTAS INCOMPLETAS",IF(CONFIG!$B$12&lt;&gt;"SI","POLITICA SIN REVISAR",IF(SUMPRODUCT(--(VENTAS!$B$6:$B$1005=A82),--(VENTAS!$A$6:$A$1005&gt;=CONFIG!$B$5-CONFIG!$B$6+1),--(VENTAS!$A$6:$A$1005&lt;=CONFIG!$B$5),--(VENTAS!$I$6:$I$1005&lt;&gt;""),--(VENTAS!$I$6:$I$1005&lt;&gt;"OK"))&gt;0,"VENTAS A REVISAR",IF(AND(E82&gt;0,OR(F82="",G82&lt;&gt;"SI")),"TRANSITO SIN CONFIRMAR",IF(AND(E82&gt;0,G82="SI",OR(F82&lt;=CONFIG!$B$5,F82&gt;CONFIG!$B$5+INDEX(CATALOGO!$M$6:$M$105,MATCH(A82,CATALOGO!$A$6:$A$105,0)))),"TRANSITO FUERA DEL PLAZO",IF(INDEX(CATALOGO!$T$6:$T$105,MATCH(A82,CATALOGO!$A$6:$A$105,0))&lt;&gt;"OK","CATALOGO A REVISAR",IF(1-INDEX(CATALOGO!$K$6:$K$105,MATCH(A82,CATALOGO!$A$6:$A$105,0))-CONFIG!$B$8&lt;=0,"MARGEN OBJETIVO INVIABLE",IF(INDEX(CATALOGO!$R$6:$R$105,MATCH(A82,CATALOGO!$A$6:$A$105,0))&lt;CONFIG!$B$8,"REVISAR PRECIO O COSTO","ELEGIBLE")))))))))))))))))),"CONFIG INVALIDA")</f>
        <v/>
      </c>
      <c r="L82" s="13" t="str">
        <f t="shared" si="2"/>
        <v/>
      </c>
      <c r="M82" s="12" t="str">
        <f>IFERROR(IF(OR(A82="",CONFIG!$B$14&lt;&gt;"SI",CONFIG!$B$6&lt;1,CONFIG!$B$6&gt;365,CONFIG!$B$6&lt;&gt;INT(CONFIG!$B$6),SUMPRODUCT(--(VENTAS!$B$6:$B$1005=A82),--(VENTAS!$A$6:$A$1005&gt;=CONFIG!$B$5-CONFIG!$B$6+1),--(VENTAS!$A$6:$A$1005&lt;=CONFIG!$B$5),--(VENTAS!$I$6:$I$1005&lt;&gt;""),--(VENTAS!$I$6:$I$1005&lt;&gt;"OK"))&gt;0),"",MAX(0,(SUMIFS(VENTAS!$C$6:$C$1005,VENTAS!$B$6:$B$1005,A82,VENTAS!$A$6:$A$1005,"&gt;="&amp;CONFIG!$B$5-CONFIG!$B$6+1,VENTAS!$A$6:$A$1005,"&lt;="&amp;CONFIG!$B$5)-SUMIFS(VENTAS!$E$6:$E$1005,VENTAS!$B$6:$B$1005,A82,VENTAS!$A$6:$A$1005,"&gt;="&amp;CONFIG!$B$5-CONFIG!$B$6+1,VENTAS!$A$6:$A$1005,"&lt;="&amp;CONFIG!$B$5))/CONFIG!$B$6)),"")</f>
        <v/>
      </c>
      <c r="N82" s="14" t="str">
        <f>IF(K82&lt;&gt;"ELEGIBLE","",IF(AND(E82&gt;0,G82="SI",F82&gt;CONFIG!$B$5,F82&lt;=CONFIG!$B$5+INDEX(CATALOGO!$M$6:$M$105,MATCH(A82,CATALOGO!$A$6:$A$105,0))),E82,0))</f>
        <v/>
      </c>
      <c r="O82" s="14" t="str">
        <f>IF(K82&lt;&gt;"ELEGIBLE","",MAX(0,ROUNDUP(ROUND(M82*(INDEX(CATALOGO!$M$6:$M$105,MATCH(A82,CATALOGO!$A$6:$A$105,0))+CONFIG!$B$7)-L82-N82,10),0)))</f>
        <v/>
      </c>
      <c r="P82" s="14" t="str">
        <f>IF(O82="","",IF(O82=0,0,ROUNDUP(MAX(O82,INDEX(CATALOGO!$N$6:$N$105,MATCH(A82,CATALOGO!$A$6:$A$105,0)))/INDEX(CATALOGO!$O$6:$O$105,MATCH(A82,CATALOGO!$A$6:$A$105,0)),0)*INDEX(CATALOGO!$O$6:$O$105,MATCH(A82,CATALOGO!$A$6:$A$105,0))))</f>
        <v/>
      </c>
      <c r="Q82" s="11" t="str">
        <f>IFERROR(IF(OR(A82="",COUNTIF(CATALOGO!$A$6:$A$105,A82)&lt;&gt;1),"",IF(OR(INDEX(CATALOGO!$H$6:$H$105,MATCH(A82,CATALOGO!$A$6:$A$105,0))="",INDEX(CATALOGO!$I$6:$I$105,MATCH(A82,CATALOGO!$A$6:$A$105,0))="",ABS(INDEX(CATALOGO!$H$6:$H$105,MATCH(A82,CATALOGO!$A$6:$A$105,0)))&gt;1000000000,ABS(INDEX(CATALOGO!$I$6:$I$105,MATCH(A82,CATALOGO!$A$6:$A$105,0)))&gt;1000000000),"",INDEX(CATALOGO!$H$6:$H$105,MATCH(A82,CATALOGO!$A$6:$A$105,0))+INDEX(CATALOGO!$I$6:$I$105,MATCH(A82,CATALOGO!$A$6:$A$105,0)))),"")</f>
        <v/>
      </c>
      <c r="R82" s="9" t="str">
        <f>IF(OR(A82="",I82="",COUNTIF(CATALOGO!$A$6:$A$105,A82)&lt;&gt;1),"",IF(I82=0,0,IF(OR(Q82="",INDEX(CATALOGO!$N$6:$N$105,MATCH(A82,CATALOGO!$A$6:$A$105,0))="",INDEX(CATALOGO!$O$6:$O$105,MATCH(A82,CATALOGO!$A$6:$A$105,0))="",INDEX(CATALOGO!$O$6:$O$105,MATCH(A82,CATALOGO!$A$6:$A$105,0))&lt;=0),"",IF(OR(I82&lt;INDEX(CATALOGO!$N$6:$N$105,MATCH(A82,CATALOGO!$A$6:$A$105,0)),MOD(I82,INDEX(CATALOGO!$O$6:$O$105,MATCH(A82,CATALOGO!$A$6:$A$105,0)))&lt;&gt;0,J82="",J82&lt;=CONFIG!$B$5,J82&gt;CONFIG!$B$5+91),"",I82*Q82))))</f>
        <v/>
      </c>
      <c r="S82" s="12" t="str">
        <f>IF(A82="","",IF(COUNTIF(CATALOGO!$A$6:$A$105,A82)&lt;&gt;1,"SKU NO VALIDO",IF(I82="","CANTIDAD DESCONOCIDA",IF(I82=0,"SIN COMPRA ELEGIDA",IF(OR(I82&lt;0,I82&gt;1000000),"CANTIDAD INVALIDA",IF(OR(INDEX(CATALOGO!$N$6:$N$105,MATCH(A82,CATALOGO!$A$6:$A$105,0))="",INDEX(CATALOGO!$O$6:$O$105,MATCH(A82,CATALOGO!$A$6:$A$105,0))="",INDEX(CATALOGO!$O$6:$O$105,MATCH(A82,CATALOGO!$A$6:$A$105,0))&lt;=0),"CATALOGO A REVISAR",IF(OR(I82&lt;INDEX(CATALOGO!$N$6:$N$105,MATCH(A82,CATALOGO!$A$6:$A$105,0)),MOD(I82,INDEX(CATALOGO!$O$6:$O$105,MATCH(A82,CATALOGO!$A$6:$A$105,0)))&lt;&gt;0),"NO RESPETA MOQ/PACK",IF(J82="","FALTA FECHA PAGO",IF(Q82="","COSTO DESCONOCIDO",IF(OR(J82&lt;=CONFIG!$B$5,J82&gt;CONFIG!$B$5+91),"FUERA DE 91 DIAS",IF(AND(P82&lt;&gt;"",I82&gt;P82),"EN MODELO · SUPERA PROPUESTA","EN MODELO")))))))))))</f>
        <v/>
      </c>
    </row>
    <row r="83" spans="1:19" x14ac:dyDescent="0.45">
      <c r="A83" s="8"/>
      <c r="B83" s="4"/>
      <c r="C83" s="5"/>
      <c r="D83" s="5"/>
      <c r="E83" s="5"/>
      <c r="F83" s="4"/>
      <c r="G83" s="8"/>
      <c r="H83" s="5"/>
      <c r="I83" s="5"/>
      <c r="J83" s="4"/>
      <c r="K83" s="12" t="str">
        <f>IFERROR(IF(A83="","",IF(COUNTIF($A$6:$A$105,A83)&gt;1,"DUPLICADO STOCK",IF(COUNTIF(CATALOGO!$A$6:$A$105,A83)&lt;&gt;1,"SKU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INVALIDA",IF(INDEX(CATALOGO!$F$6:$F$105,MATCH(A83,CATALOGO!$A$6:$A$105,0))&lt;&gt;"ACTIVO",INDEX(CATALOGO!$F$6:$F$105,MATCH(A83,CATALOGO!$A$6:$A$105,0)),IF(OR(B83="",B83&lt;&gt;CONFIG!$B$5),"CONTEO NO VIGENTE",IF(OR(C83="",D83="",E83="",H83=""),"FALTA CAMPO",IF(OR(C83&lt;0,C83&gt;1000000,D83&lt;0,D83&gt;1000000,E83&lt;0,E83&gt;1000000,D83&gt;C83),"REVISAR VALOR",IF(H83&gt;CONFIG!$B$6,"EXPOSICION FUERA DE RANGO",IF(H83&lt;&gt;CONFIG!$B$6,"DISPONIBILIDAD INCOMPLETA",IF(CONFIG!$B$14&lt;&gt;"SI","VENTAS INCOMPLETAS",IF(CONFIG!$B$12&lt;&gt;"SI","POLITICA SIN REVISAR",IF(SUMPRODUCT(--(VENTAS!$B$6:$B$1005=A83),--(VENTAS!$A$6:$A$1005&gt;=CONFIG!$B$5-CONFIG!$B$6+1),--(VENTAS!$A$6:$A$1005&lt;=CONFIG!$B$5),--(VENTAS!$I$6:$I$1005&lt;&gt;""),--(VENTAS!$I$6:$I$1005&lt;&gt;"OK"))&gt;0,"VENTAS A REVISAR",IF(AND(E83&gt;0,OR(F83="",G83&lt;&gt;"SI")),"TRANSITO SIN CONFIRMAR",IF(AND(E83&gt;0,G83="SI",OR(F83&lt;=CONFIG!$B$5,F83&gt;CONFIG!$B$5+INDEX(CATALOGO!$M$6:$M$105,MATCH(A83,CATALOGO!$A$6:$A$105,0)))),"TRANSITO FUERA DEL PLAZO",IF(INDEX(CATALOGO!$T$6:$T$105,MATCH(A83,CATALOGO!$A$6:$A$105,0))&lt;&gt;"OK","CATALOGO A REVISAR",IF(1-INDEX(CATALOGO!$K$6:$K$105,MATCH(A83,CATALOGO!$A$6:$A$105,0))-CONFIG!$B$8&lt;=0,"MARGEN OBJETIVO INVIABLE",IF(INDEX(CATALOGO!$R$6:$R$105,MATCH(A83,CATALOGO!$A$6:$A$105,0))&lt;CONFIG!$B$8,"REVISAR PRECIO O COSTO","ELEGIBLE")))))))))))))))))),"CONFIG INVALIDA")</f>
        <v/>
      </c>
      <c r="L83" s="13" t="str">
        <f t="shared" si="2"/>
        <v/>
      </c>
      <c r="M83" s="12" t="str">
        <f>IFERROR(IF(OR(A83="",CONFIG!$B$14&lt;&gt;"SI",CONFIG!$B$6&lt;1,CONFIG!$B$6&gt;365,CONFIG!$B$6&lt;&gt;INT(CONFIG!$B$6),SUMPRODUCT(--(VENTAS!$B$6:$B$1005=A83),--(VENTAS!$A$6:$A$1005&gt;=CONFIG!$B$5-CONFIG!$B$6+1),--(VENTAS!$A$6:$A$1005&lt;=CONFIG!$B$5),--(VENTAS!$I$6:$I$1005&lt;&gt;""),--(VENTAS!$I$6:$I$1005&lt;&gt;"OK"))&gt;0),"",MAX(0,(SUMIFS(VENTAS!$C$6:$C$1005,VENTAS!$B$6:$B$1005,A83,VENTAS!$A$6:$A$1005,"&gt;="&amp;CONFIG!$B$5-CONFIG!$B$6+1,VENTAS!$A$6:$A$1005,"&lt;="&amp;CONFIG!$B$5)-SUMIFS(VENTAS!$E$6:$E$1005,VENTAS!$B$6:$B$1005,A83,VENTAS!$A$6:$A$1005,"&gt;="&amp;CONFIG!$B$5-CONFIG!$B$6+1,VENTAS!$A$6:$A$1005,"&lt;="&amp;CONFIG!$B$5))/CONFIG!$B$6)),"")</f>
        <v/>
      </c>
      <c r="N83" s="14" t="str">
        <f>IF(K83&lt;&gt;"ELEGIBLE","",IF(AND(E83&gt;0,G83="SI",F83&gt;CONFIG!$B$5,F83&lt;=CONFIG!$B$5+INDEX(CATALOGO!$M$6:$M$105,MATCH(A83,CATALOGO!$A$6:$A$105,0))),E83,0))</f>
        <v/>
      </c>
      <c r="O83" s="14" t="str">
        <f>IF(K83&lt;&gt;"ELEGIBLE","",MAX(0,ROUNDUP(ROUND(M83*(INDEX(CATALOGO!$M$6:$M$105,MATCH(A83,CATALOGO!$A$6:$A$105,0))+CONFIG!$B$7)-L83-N83,10),0)))</f>
        <v/>
      </c>
      <c r="P83" s="14" t="str">
        <f>IF(O83="","",IF(O83=0,0,ROUNDUP(MAX(O83,INDEX(CATALOGO!$N$6:$N$105,MATCH(A83,CATALOGO!$A$6:$A$105,0)))/INDEX(CATALOGO!$O$6:$O$105,MATCH(A83,CATALOGO!$A$6:$A$105,0)),0)*INDEX(CATALOGO!$O$6:$O$105,MATCH(A83,CATALOGO!$A$6:$A$105,0))))</f>
        <v/>
      </c>
      <c r="Q83" s="11" t="str">
        <f>IFERROR(IF(OR(A83="",COUNTIF(CATALOGO!$A$6:$A$105,A83)&lt;&gt;1),"",IF(OR(INDEX(CATALOGO!$H$6:$H$105,MATCH(A83,CATALOGO!$A$6:$A$105,0))="",INDEX(CATALOGO!$I$6:$I$105,MATCH(A83,CATALOGO!$A$6:$A$105,0))="",ABS(INDEX(CATALOGO!$H$6:$H$105,MATCH(A83,CATALOGO!$A$6:$A$105,0)))&gt;1000000000,ABS(INDEX(CATALOGO!$I$6:$I$105,MATCH(A83,CATALOGO!$A$6:$A$105,0)))&gt;1000000000),"",INDEX(CATALOGO!$H$6:$H$105,MATCH(A83,CATALOGO!$A$6:$A$105,0))+INDEX(CATALOGO!$I$6:$I$105,MATCH(A83,CATALOGO!$A$6:$A$105,0)))),"")</f>
        <v/>
      </c>
      <c r="R83" s="9" t="str">
        <f>IF(OR(A83="",I83="",COUNTIF(CATALOGO!$A$6:$A$105,A83)&lt;&gt;1),"",IF(I83=0,0,IF(OR(Q83="",INDEX(CATALOGO!$N$6:$N$105,MATCH(A83,CATALOGO!$A$6:$A$105,0))="",INDEX(CATALOGO!$O$6:$O$105,MATCH(A83,CATALOGO!$A$6:$A$105,0))="",INDEX(CATALOGO!$O$6:$O$105,MATCH(A83,CATALOGO!$A$6:$A$105,0))&lt;=0),"",IF(OR(I83&lt;INDEX(CATALOGO!$N$6:$N$105,MATCH(A83,CATALOGO!$A$6:$A$105,0)),MOD(I83,INDEX(CATALOGO!$O$6:$O$105,MATCH(A83,CATALOGO!$A$6:$A$105,0)))&lt;&gt;0,J83="",J83&lt;=CONFIG!$B$5,J83&gt;CONFIG!$B$5+91),"",I83*Q83))))</f>
        <v/>
      </c>
      <c r="S83" s="12" t="str">
        <f>IF(A83="","",IF(COUNTIF(CATALOGO!$A$6:$A$105,A83)&lt;&gt;1,"SKU NO VALIDO",IF(I83="","CANTIDAD DESCONOCIDA",IF(I83=0,"SIN COMPRA ELEGIDA",IF(OR(I83&lt;0,I83&gt;1000000),"CANTIDAD INVALIDA",IF(OR(INDEX(CATALOGO!$N$6:$N$105,MATCH(A83,CATALOGO!$A$6:$A$105,0))="",INDEX(CATALOGO!$O$6:$O$105,MATCH(A83,CATALOGO!$A$6:$A$105,0))="",INDEX(CATALOGO!$O$6:$O$105,MATCH(A83,CATALOGO!$A$6:$A$105,0))&lt;=0),"CATALOGO A REVISAR",IF(OR(I83&lt;INDEX(CATALOGO!$N$6:$N$105,MATCH(A83,CATALOGO!$A$6:$A$105,0)),MOD(I83,INDEX(CATALOGO!$O$6:$O$105,MATCH(A83,CATALOGO!$A$6:$A$105,0)))&lt;&gt;0),"NO RESPETA MOQ/PACK",IF(J83="","FALTA FECHA PAGO",IF(Q83="","COSTO DESCONOCIDO",IF(OR(J83&lt;=CONFIG!$B$5,J83&gt;CONFIG!$B$5+91),"FUERA DE 91 DIAS",IF(AND(P83&lt;&gt;"",I83&gt;P83),"EN MODELO · SUPERA PROPUESTA","EN MODELO")))))))))))</f>
        <v/>
      </c>
    </row>
    <row r="84" spans="1:19" x14ac:dyDescent="0.45">
      <c r="A84" s="8"/>
      <c r="B84" s="4"/>
      <c r="C84" s="5"/>
      <c r="D84" s="5"/>
      <c r="E84" s="5"/>
      <c r="F84" s="4"/>
      <c r="G84" s="8"/>
      <c r="H84" s="5"/>
      <c r="I84" s="5"/>
      <c r="J84" s="4"/>
      <c r="K84" s="12" t="str">
        <f>IFERROR(IF(A84="","",IF(COUNTIF($A$6:$A$105,A84)&gt;1,"DUPLICADO STOCK",IF(COUNTIF(CATALOGO!$A$6:$A$105,A84)&lt;&gt;1,"SKU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INVALIDA",IF(INDEX(CATALOGO!$F$6:$F$105,MATCH(A84,CATALOGO!$A$6:$A$105,0))&lt;&gt;"ACTIVO",INDEX(CATALOGO!$F$6:$F$105,MATCH(A84,CATALOGO!$A$6:$A$105,0)),IF(OR(B84="",B84&lt;&gt;CONFIG!$B$5),"CONTEO NO VIGENTE",IF(OR(C84="",D84="",E84="",H84=""),"FALTA CAMPO",IF(OR(C84&lt;0,C84&gt;1000000,D84&lt;0,D84&gt;1000000,E84&lt;0,E84&gt;1000000,D84&gt;C84),"REVISAR VALOR",IF(H84&gt;CONFIG!$B$6,"EXPOSICION FUERA DE RANGO",IF(H84&lt;&gt;CONFIG!$B$6,"DISPONIBILIDAD INCOMPLETA",IF(CONFIG!$B$14&lt;&gt;"SI","VENTAS INCOMPLETAS",IF(CONFIG!$B$12&lt;&gt;"SI","POLITICA SIN REVISAR",IF(SUMPRODUCT(--(VENTAS!$B$6:$B$1005=A84),--(VENTAS!$A$6:$A$1005&gt;=CONFIG!$B$5-CONFIG!$B$6+1),--(VENTAS!$A$6:$A$1005&lt;=CONFIG!$B$5),--(VENTAS!$I$6:$I$1005&lt;&gt;""),--(VENTAS!$I$6:$I$1005&lt;&gt;"OK"))&gt;0,"VENTAS A REVISAR",IF(AND(E84&gt;0,OR(F84="",G84&lt;&gt;"SI")),"TRANSITO SIN CONFIRMAR",IF(AND(E84&gt;0,G84="SI",OR(F84&lt;=CONFIG!$B$5,F84&gt;CONFIG!$B$5+INDEX(CATALOGO!$M$6:$M$105,MATCH(A84,CATALOGO!$A$6:$A$105,0)))),"TRANSITO FUERA DEL PLAZO",IF(INDEX(CATALOGO!$T$6:$T$105,MATCH(A84,CATALOGO!$A$6:$A$105,0))&lt;&gt;"OK","CATALOGO A REVISAR",IF(1-INDEX(CATALOGO!$K$6:$K$105,MATCH(A84,CATALOGO!$A$6:$A$105,0))-CONFIG!$B$8&lt;=0,"MARGEN OBJETIVO INVIABLE",IF(INDEX(CATALOGO!$R$6:$R$105,MATCH(A84,CATALOGO!$A$6:$A$105,0))&lt;CONFIG!$B$8,"REVISAR PRECIO O COSTO","ELEGIBLE")))))))))))))))))),"CONFIG INVALIDA")</f>
        <v/>
      </c>
      <c r="L84" s="13" t="str">
        <f t="shared" si="2"/>
        <v/>
      </c>
      <c r="M84" s="12" t="str">
        <f>IFERROR(IF(OR(A84="",CONFIG!$B$14&lt;&gt;"SI",CONFIG!$B$6&lt;1,CONFIG!$B$6&gt;365,CONFIG!$B$6&lt;&gt;INT(CONFIG!$B$6),SUMPRODUCT(--(VENTAS!$B$6:$B$1005=A84),--(VENTAS!$A$6:$A$1005&gt;=CONFIG!$B$5-CONFIG!$B$6+1),--(VENTAS!$A$6:$A$1005&lt;=CONFIG!$B$5),--(VENTAS!$I$6:$I$1005&lt;&gt;""),--(VENTAS!$I$6:$I$1005&lt;&gt;"OK"))&gt;0),"",MAX(0,(SUMIFS(VENTAS!$C$6:$C$1005,VENTAS!$B$6:$B$1005,A84,VENTAS!$A$6:$A$1005,"&gt;="&amp;CONFIG!$B$5-CONFIG!$B$6+1,VENTAS!$A$6:$A$1005,"&lt;="&amp;CONFIG!$B$5)-SUMIFS(VENTAS!$E$6:$E$1005,VENTAS!$B$6:$B$1005,A84,VENTAS!$A$6:$A$1005,"&gt;="&amp;CONFIG!$B$5-CONFIG!$B$6+1,VENTAS!$A$6:$A$1005,"&lt;="&amp;CONFIG!$B$5))/CONFIG!$B$6)),"")</f>
        <v/>
      </c>
      <c r="N84" s="14" t="str">
        <f>IF(K84&lt;&gt;"ELEGIBLE","",IF(AND(E84&gt;0,G84="SI",F84&gt;CONFIG!$B$5,F84&lt;=CONFIG!$B$5+INDEX(CATALOGO!$M$6:$M$105,MATCH(A84,CATALOGO!$A$6:$A$105,0))),E84,0))</f>
        <v/>
      </c>
      <c r="O84" s="14" t="str">
        <f>IF(K84&lt;&gt;"ELEGIBLE","",MAX(0,ROUNDUP(ROUND(M84*(INDEX(CATALOGO!$M$6:$M$105,MATCH(A84,CATALOGO!$A$6:$A$105,0))+CONFIG!$B$7)-L84-N84,10),0)))</f>
        <v/>
      </c>
      <c r="P84" s="14" t="str">
        <f>IF(O84="","",IF(O84=0,0,ROUNDUP(MAX(O84,INDEX(CATALOGO!$N$6:$N$105,MATCH(A84,CATALOGO!$A$6:$A$105,0)))/INDEX(CATALOGO!$O$6:$O$105,MATCH(A84,CATALOGO!$A$6:$A$105,0)),0)*INDEX(CATALOGO!$O$6:$O$105,MATCH(A84,CATALOGO!$A$6:$A$105,0))))</f>
        <v/>
      </c>
      <c r="Q84" s="11" t="str">
        <f>IFERROR(IF(OR(A84="",COUNTIF(CATALOGO!$A$6:$A$105,A84)&lt;&gt;1),"",IF(OR(INDEX(CATALOGO!$H$6:$H$105,MATCH(A84,CATALOGO!$A$6:$A$105,0))="",INDEX(CATALOGO!$I$6:$I$105,MATCH(A84,CATALOGO!$A$6:$A$105,0))="",ABS(INDEX(CATALOGO!$H$6:$H$105,MATCH(A84,CATALOGO!$A$6:$A$105,0)))&gt;1000000000,ABS(INDEX(CATALOGO!$I$6:$I$105,MATCH(A84,CATALOGO!$A$6:$A$105,0)))&gt;1000000000),"",INDEX(CATALOGO!$H$6:$H$105,MATCH(A84,CATALOGO!$A$6:$A$105,0))+INDEX(CATALOGO!$I$6:$I$105,MATCH(A84,CATALOGO!$A$6:$A$105,0)))),"")</f>
        <v/>
      </c>
      <c r="R84" s="9" t="str">
        <f>IF(OR(A84="",I84="",COUNTIF(CATALOGO!$A$6:$A$105,A84)&lt;&gt;1),"",IF(I84=0,0,IF(OR(Q84="",INDEX(CATALOGO!$N$6:$N$105,MATCH(A84,CATALOGO!$A$6:$A$105,0))="",INDEX(CATALOGO!$O$6:$O$105,MATCH(A84,CATALOGO!$A$6:$A$105,0))="",INDEX(CATALOGO!$O$6:$O$105,MATCH(A84,CATALOGO!$A$6:$A$105,0))&lt;=0),"",IF(OR(I84&lt;INDEX(CATALOGO!$N$6:$N$105,MATCH(A84,CATALOGO!$A$6:$A$105,0)),MOD(I84,INDEX(CATALOGO!$O$6:$O$105,MATCH(A84,CATALOGO!$A$6:$A$105,0)))&lt;&gt;0,J84="",J84&lt;=CONFIG!$B$5,J84&gt;CONFIG!$B$5+91),"",I84*Q84))))</f>
        <v/>
      </c>
      <c r="S84" s="12" t="str">
        <f>IF(A84="","",IF(COUNTIF(CATALOGO!$A$6:$A$105,A84)&lt;&gt;1,"SKU NO VALIDO",IF(I84="","CANTIDAD DESCONOCIDA",IF(I84=0,"SIN COMPRA ELEGIDA",IF(OR(I84&lt;0,I84&gt;1000000),"CANTIDAD INVALIDA",IF(OR(INDEX(CATALOGO!$N$6:$N$105,MATCH(A84,CATALOGO!$A$6:$A$105,0))="",INDEX(CATALOGO!$O$6:$O$105,MATCH(A84,CATALOGO!$A$6:$A$105,0))="",INDEX(CATALOGO!$O$6:$O$105,MATCH(A84,CATALOGO!$A$6:$A$105,0))&lt;=0),"CATALOGO A REVISAR",IF(OR(I84&lt;INDEX(CATALOGO!$N$6:$N$105,MATCH(A84,CATALOGO!$A$6:$A$105,0)),MOD(I84,INDEX(CATALOGO!$O$6:$O$105,MATCH(A84,CATALOGO!$A$6:$A$105,0)))&lt;&gt;0),"NO RESPETA MOQ/PACK",IF(J84="","FALTA FECHA PAGO",IF(Q84="","COSTO DESCONOCIDO",IF(OR(J84&lt;=CONFIG!$B$5,J84&gt;CONFIG!$B$5+91),"FUERA DE 91 DIAS",IF(AND(P84&lt;&gt;"",I84&gt;P84),"EN MODELO · SUPERA PROPUESTA","EN MODELO")))))))))))</f>
        <v/>
      </c>
    </row>
    <row r="85" spans="1:19" x14ac:dyDescent="0.45">
      <c r="A85" s="8"/>
      <c r="B85" s="4"/>
      <c r="C85" s="5"/>
      <c r="D85" s="5"/>
      <c r="E85" s="5"/>
      <c r="F85" s="4"/>
      <c r="G85" s="8"/>
      <c r="H85" s="5"/>
      <c r="I85" s="5"/>
      <c r="J85" s="4"/>
      <c r="K85" s="12" t="str">
        <f>IFERROR(IF(A85="","",IF(COUNTIF($A$6:$A$105,A85)&gt;1,"DUPLICADO STOCK",IF(COUNTIF(CATALOGO!$A$6:$A$105,A85)&lt;&gt;1,"SKU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INVALIDA",IF(INDEX(CATALOGO!$F$6:$F$105,MATCH(A85,CATALOGO!$A$6:$A$105,0))&lt;&gt;"ACTIVO",INDEX(CATALOGO!$F$6:$F$105,MATCH(A85,CATALOGO!$A$6:$A$105,0)),IF(OR(B85="",B85&lt;&gt;CONFIG!$B$5),"CONTEO NO VIGENTE",IF(OR(C85="",D85="",E85="",H85=""),"FALTA CAMPO",IF(OR(C85&lt;0,C85&gt;1000000,D85&lt;0,D85&gt;1000000,E85&lt;0,E85&gt;1000000,D85&gt;C85),"REVISAR VALOR",IF(H85&gt;CONFIG!$B$6,"EXPOSICION FUERA DE RANGO",IF(H85&lt;&gt;CONFIG!$B$6,"DISPONIBILIDAD INCOMPLETA",IF(CONFIG!$B$14&lt;&gt;"SI","VENTAS INCOMPLETAS",IF(CONFIG!$B$12&lt;&gt;"SI","POLITICA SIN REVISAR",IF(SUMPRODUCT(--(VENTAS!$B$6:$B$1005=A85),--(VENTAS!$A$6:$A$1005&gt;=CONFIG!$B$5-CONFIG!$B$6+1),--(VENTAS!$A$6:$A$1005&lt;=CONFIG!$B$5),--(VENTAS!$I$6:$I$1005&lt;&gt;""),--(VENTAS!$I$6:$I$1005&lt;&gt;"OK"))&gt;0,"VENTAS A REVISAR",IF(AND(E85&gt;0,OR(F85="",G85&lt;&gt;"SI")),"TRANSITO SIN CONFIRMAR",IF(AND(E85&gt;0,G85="SI",OR(F85&lt;=CONFIG!$B$5,F85&gt;CONFIG!$B$5+INDEX(CATALOGO!$M$6:$M$105,MATCH(A85,CATALOGO!$A$6:$A$105,0)))),"TRANSITO FUERA DEL PLAZO",IF(INDEX(CATALOGO!$T$6:$T$105,MATCH(A85,CATALOGO!$A$6:$A$105,0))&lt;&gt;"OK","CATALOGO A REVISAR",IF(1-INDEX(CATALOGO!$K$6:$K$105,MATCH(A85,CATALOGO!$A$6:$A$105,0))-CONFIG!$B$8&lt;=0,"MARGEN OBJETIVO INVIABLE",IF(INDEX(CATALOGO!$R$6:$R$105,MATCH(A85,CATALOGO!$A$6:$A$105,0))&lt;CONFIG!$B$8,"REVISAR PRECIO O COSTO","ELEGIBLE")))))))))))))))))),"CONFIG INVALIDA")</f>
        <v/>
      </c>
      <c r="L85" s="13" t="str">
        <f t="shared" si="2"/>
        <v/>
      </c>
      <c r="M85" s="12" t="str">
        <f>IFERROR(IF(OR(A85="",CONFIG!$B$14&lt;&gt;"SI",CONFIG!$B$6&lt;1,CONFIG!$B$6&gt;365,CONFIG!$B$6&lt;&gt;INT(CONFIG!$B$6),SUMPRODUCT(--(VENTAS!$B$6:$B$1005=A85),--(VENTAS!$A$6:$A$1005&gt;=CONFIG!$B$5-CONFIG!$B$6+1),--(VENTAS!$A$6:$A$1005&lt;=CONFIG!$B$5),--(VENTAS!$I$6:$I$1005&lt;&gt;""),--(VENTAS!$I$6:$I$1005&lt;&gt;"OK"))&gt;0),"",MAX(0,(SUMIFS(VENTAS!$C$6:$C$1005,VENTAS!$B$6:$B$1005,A85,VENTAS!$A$6:$A$1005,"&gt;="&amp;CONFIG!$B$5-CONFIG!$B$6+1,VENTAS!$A$6:$A$1005,"&lt;="&amp;CONFIG!$B$5)-SUMIFS(VENTAS!$E$6:$E$1005,VENTAS!$B$6:$B$1005,A85,VENTAS!$A$6:$A$1005,"&gt;="&amp;CONFIG!$B$5-CONFIG!$B$6+1,VENTAS!$A$6:$A$1005,"&lt;="&amp;CONFIG!$B$5))/CONFIG!$B$6)),"")</f>
        <v/>
      </c>
      <c r="N85" s="14" t="str">
        <f>IF(K85&lt;&gt;"ELEGIBLE","",IF(AND(E85&gt;0,G85="SI",F85&gt;CONFIG!$B$5,F85&lt;=CONFIG!$B$5+INDEX(CATALOGO!$M$6:$M$105,MATCH(A85,CATALOGO!$A$6:$A$105,0))),E85,0))</f>
        <v/>
      </c>
      <c r="O85" s="14" t="str">
        <f>IF(K85&lt;&gt;"ELEGIBLE","",MAX(0,ROUNDUP(ROUND(M85*(INDEX(CATALOGO!$M$6:$M$105,MATCH(A85,CATALOGO!$A$6:$A$105,0))+CONFIG!$B$7)-L85-N85,10),0)))</f>
        <v/>
      </c>
      <c r="P85" s="14" t="str">
        <f>IF(O85="","",IF(O85=0,0,ROUNDUP(MAX(O85,INDEX(CATALOGO!$N$6:$N$105,MATCH(A85,CATALOGO!$A$6:$A$105,0)))/INDEX(CATALOGO!$O$6:$O$105,MATCH(A85,CATALOGO!$A$6:$A$105,0)),0)*INDEX(CATALOGO!$O$6:$O$105,MATCH(A85,CATALOGO!$A$6:$A$105,0))))</f>
        <v/>
      </c>
      <c r="Q85" s="11" t="str">
        <f>IFERROR(IF(OR(A85="",COUNTIF(CATALOGO!$A$6:$A$105,A85)&lt;&gt;1),"",IF(OR(INDEX(CATALOGO!$H$6:$H$105,MATCH(A85,CATALOGO!$A$6:$A$105,0))="",INDEX(CATALOGO!$I$6:$I$105,MATCH(A85,CATALOGO!$A$6:$A$105,0))="",ABS(INDEX(CATALOGO!$H$6:$H$105,MATCH(A85,CATALOGO!$A$6:$A$105,0)))&gt;1000000000,ABS(INDEX(CATALOGO!$I$6:$I$105,MATCH(A85,CATALOGO!$A$6:$A$105,0)))&gt;1000000000),"",INDEX(CATALOGO!$H$6:$H$105,MATCH(A85,CATALOGO!$A$6:$A$105,0))+INDEX(CATALOGO!$I$6:$I$105,MATCH(A85,CATALOGO!$A$6:$A$105,0)))),"")</f>
        <v/>
      </c>
      <c r="R85" s="9" t="str">
        <f>IF(OR(A85="",I85="",COUNTIF(CATALOGO!$A$6:$A$105,A85)&lt;&gt;1),"",IF(I85=0,0,IF(OR(Q85="",INDEX(CATALOGO!$N$6:$N$105,MATCH(A85,CATALOGO!$A$6:$A$105,0))="",INDEX(CATALOGO!$O$6:$O$105,MATCH(A85,CATALOGO!$A$6:$A$105,0))="",INDEX(CATALOGO!$O$6:$O$105,MATCH(A85,CATALOGO!$A$6:$A$105,0))&lt;=0),"",IF(OR(I85&lt;INDEX(CATALOGO!$N$6:$N$105,MATCH(A85,CATALOGO!$A$6:$A$105,0)),MOD(I85,INDEX(CATALOGO!$O$6:$O$105,MATCH(A85,CATALOGO!$A$6:$A$105,0)))&lt;&gt;0,J85="",J85&lt;=CONFIG!$B$5,J85&gt;CONFIG!$B$5+91),"",I85*Q85))))</f>
        <v/>
      </c>
      <c r="S85" s="12" t="str">
        <f>IF(A85="","",IF(COUNTIF(CATALOGO!$A$6:$A$105,A85)&lt;&gt;1,"SKU NO VALIDO",IF(I85="","CANTIDAD DESCONOCIDA",IF(I85=0,"SIN COMPRA ELEGIDA",IF(OR(I85&lt;0,I85&gt;1000000),"CANTIDAD INVALIDA",IF(OR(INDEX(CATALOGO!$N$6:$N$105,MATCH(A85,CATALOGO!$A$6:$A$105,0))="",INDEX(CATALOGO!$O$6:$O$105,MATCH(A85,CATALOGO!$A$6:$A$105,0))="",INDEX(CATALOGO!$O$6:$O$105,MATCH(A85,CATALOGO!$A$6:$A$105,0))&lt;=0),"CATALOGO A REVISAR",IF(OR(I85&lt;INDEX(CATALOGO!$N$6:$N$105,MATCH(A85,CATALOGO!$A$6:$A$105,0)),MOD(I85,INDEX(CATALOGO!$O$6:$O$105,MATCH(A85,CATALOGO!$A$6:$A$105,0)))&lt;&gt;0),"NO RESPETA MOQ/PACK",IF(J85="","FALTA FECHA PAGO",IF(Q85="","COSTO DESCONOCIDO",IF(OR(J85&lt;=CONFIG!$B$5,J85&gt;CONFIG!$B$5+91),"FUERA DE 91 DIAS",IF(AND(P85&lt;&gt;"",I85&gt;P85),"EN MODELO · SUPERA PROPUESTA","EN MODELO")))))))))))</f>
        <v/>
      </c>
    </row>
    <row r="86" spans="1:19" x14ac:dyDescent="0.45">
      <c r="A86" s="8"/>
      <c r="B86" s="4"/>
      <c r="C86" s="5"/>
      <c r="D86" s="5"/>
      <c r="E86" s="5"/>
      <c r="F86" s="4"/>
      <c r="G86" s="8"/>
      <c r="H86" s="5"/>
      <c r="I86" s="5"/>
      <c r="J86" s="4"/>
      <c r="K86" s="12" t="str">
        <f>IFERROR(IF(A86="","",IF(COUNTIF($A$6:$A$105,A86)&gt;1,"DUPLICADO STOCK",IF(COUNTIF(CATALOGO!$A$6:$A$105,A86)&lt;&gt;1,"SKU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INVALIDA",IF(INDEX(CATALOGO!$F$6:$F$105,MATCH(A86,CATALOGO!$A$6:$A$105,0))&lt;&gt;"ACTIVO",INDEX(CATALOGO!$F$6:$F$105,MATCH(A86,CATALOGO!$A$6:$A$105,0)),IF(OR(B86="",B86&lt;&gt;CONFIG!$B$5),"CONTEO NO VIGENTE",IF(OR(C86="",D86="",E86="",H86=""),"FALTA CAMPO",IF(OR(C86&lt;0,C86&gt;1000000,D86&lt;0,D86&gt;1000000,E86&lt;0,E86&gt;1000000,D86&gt;C86),"REVISAR VALOR",IF(H86&gt;CONFIG!$B$6,"EXPOSICION FUERA DE RANGO",IF(H86&lt;&gt;CONFIG!$B$6,"DISPONIBILIDAD INCOMPLETA",IF(CONFIG!$B$14&lt;&gt;"SI","VENTAS INCOMPLETAS",IF(CONFIG!$B$12&lt;&gt;"SI","POLITICA SIN REVISAR",IF(SUMPRODUCT(--(VENTAS!$B$6:$B$1005=A86),--(VENTAS!$A$6:$A$1005&gt;=CONFIG!$B$5-CONFIG!$B$6+1),--(VENTAS!$A$6:$A$1005&lt;=CONFIG!$B$5),--(VENTAS!$I$6:$I$1005&lt;&gt;""),--(VENTAS!$I$6:$I$1005&lt;&gt;"OK"))&gt;0,"VENTAS A REVISAR",IF(AND(E86&gt;0,OR(F86="",G86&lt;&gt;"SI")),"TRANSITO SIN CONFIRMAR",IF(AND(E86&gt;0,G86="SI",OR(F86&lt;=CONFIG!$B$5,F86&gt;CONFIG!$B$5+INDEX(CATALOGO!$M$6:$M$105,MATCH(A86,CATALOGO!$A$6:$A$105,0)))),"TRANSITO FUERA DEL PLAZO",IF(INDEX(CATALOGO!$T$6:$T$105,MATCH(A86,CATALOGO!$A$6:$A$105,0))&lt;&gt;"OK","CATALOGO A REVISAR",IF(1-INDEX(CATALOGO!$K$6:$K$105,MATCH(A86,CATALOGO!$A$6:$A$105,0))-CONFIG!$B$8&lt;=0,"MARGEN OBJETIVO INVIABLE",IF(INDEX(CATALOGO!$R$6:$R$105,MATCH(A86,CATALOGO!$A$6:$A$105,0))&lt;CONFIG!$B$8,"REVISAR PRECIO O COSTO","ELEGIBLE")))))))))))))))))),"CONFIG INVALIDA")</f>
        <v/>
      </c>
      <c r="L86" s="13" t="str">
        <f t="shared" si="2"/>
        <v/>
      </c>
      <c r="M86" s="12" t="str">
        <f>IFERROR(IF(OR(A86="",CONFIG!$B$14&lt;&gt;"SI",CONFIG!$B$6&lt;1,CONFIG!$B$6&gt;365,CONFIG!$B$6&lt;&gt;INT(CONFIG!$B$6),SUMPRODUCT(--(VENTAS!$B$6:$B$1005=A86),--(VENTAS!$A$6:$A$1005&gt;=CONFIG!$B$5-CONFIG!$B$6+1),--(VENTAS!$A$6:$A$1005&lt;=CONFIG!$B$5),--(VENTAS!$I$6:$I$1005&lt;&gt;""),--(VENTAS!$I$6:$I$1005&lt;&gt;"OK"))&gt;0),"",MAX(0,(SUMIFS(VENTAS!$C$6:$C$1005,VENTAS!$B$6:$B$1005,A86,VENTAS!$A$6:$A$1005,"&gt;="&amp;CONFIG!$B$5-CONFIG!$B$6+1,VENTAS!$A$6:$A$1005,"&lt;="&amp;CONFIG!$B$5)-SUMIFS(VENTAS!$E$6:$E$1005,VENTAS!$B$6:$B$1005,A86,VENTAS!$A$6:$A$1005,"&gt;="&amp;CONFIG!$B$5-CONFIG!$B$6+1,VENTAS!$A$6:$A$1005,"&lt;="&amp;CONFIG!$B$5))/CONFIG!$B$6)),"")</f>
        <v/>
      </c>
      <c r="N86" s="14" t="str">
        <f>IF(K86&lt;&gt;"ELEGIBLE","",IF(AND(E86&gt;0,G86="SI",F86&gt;CONFIG!$B$5,F86&lt;=CONFIG!$B$5+INDEX(CATALOGO!$M$6:$M$105,MATCH(A86,CATALOGO!$A$6:$A$105,0))),E86,0))</f>
        <v/>
      </c>
      <c r="O86" s="14" t="str">
        <f>IF(K86&lt;&gt;"ELEGIBLE","",MAX(0,ROUNDUP(ROUND(M86*(INDEX(CATALOGO!$M$6:$M$105,MATCH(A86,CATALOGO!$A$6:$A$105,0))+CONFIG!$B$7)-L86-N86,10),0)))</f>
        <v/>
      </c>
      <c r="P86" s="14" t="str">
        <f>IF(O86="","",IF(O86=0,0,ROUNDUP(MAX(O86,INDEX(CATALOGO!$N$6:$N$105,MATCH(A86,CATALOGO!$A$6:$A$105,0)))/INDEX(CATALOGO!$O$6:$O$105,MATCH(A86,CATALOGO!$A$6:$A$105,0)),0)*INDEX(CATALOGO!$O$6:$O$105,MATCH(A86,CATALOGO!$A$6:$A$105,0))))</f>
        <v/>
      </c>
      <c r="Q86" s="11" t="str">
        <f>IFERROR(IF(OR(A86="",COUNTIF(CATALOGO!$A$6:$A$105,A86)&lt;&gt;1),"",IF(OR(INDEX(CATALOGO!$H$6:$H$105,MATCH(A86,CATALOGO!$A$6:$A$105,0))="",INDEX(CATALOGO!$I$6:$I$105,MATCH(A86,CATALOGO!$A$6:$A$105,0))="",ABS(INDEX(CATALOGO!$H$6:$H$105,MATCH(A86,CATALOGO!$A$6:$A$105,0)))&gt;1000000000,ABS(INDEX(CATALOGO!$I$6:$I$105,MATCH(A86,CATALOGO!$A$6:$A$105,0)))&gt;1000000000),"",INDEX(CATALOGO!$H$6:$H$105,MATCH(A86,CATALOGO!$A$6:$A$105,0))+INDEX(CATALOGO!$I$6:$I$105,MATCH(A86,CATALOGO!$A$6:$A$105,0)))),"")</f>
        <v/>
      </c>
      <c r="R86" s="9" t="str">
        <f>IF(OR(A86="",I86="",COUNTIF(CATALOGO!$A$6:$A$105,A86)&lt;&gt;1),"",IF(I86=0,0,IF(OR(Q86="",INDEX(CATALOGO!$N$6:$N$105,MATCH(A86,CATALOGO!$A$6:$A$105,0))="",INDEX(CATALOGO!$O$6:$O$105,MATCH(A86,CATALOGO!$A$6:$A$105,0))="",INDEX(CATALOGO!$O$6:$O$105,MATCH(A86,CATALOGO!$A$6:$A$105,0))&lt;=0),"",IF(OR(I86&lt;INDEX(CATALOGO!$N$6:$N$105,MATCH(A86,CATALOGO!$A$6:$A$105,0)),MOD(I86,INDEX(CATALOGO!$O$6:$O$105,MATCH(A86,CATALOGO!$A$6:$A$105,0)))&lt;&gt;0,J86="",J86&lt;=CONFIG!$B$5,J86&gt;CONFIG!$B$5+91),"",I86*Q86))))</f>
        <v/>
      </c>
      <c r="S86" s="12" t="str">
        <f>IF(A86="","",IF(COUNTIF(CATALOGO!$A$6:$A$105,A86)&lt;&gt;1,"SKU NO VALIDO",IF(I86="","CANTIDAD DESCONOCIDA",IF(I86=0,"SIN COMPRA ELEGIDA",IF(OR(I86&lt;0,I86&gt;1000000),"CANTIDAD INVALIDA",IF(OR(INDEX(CATALOGO!$N$6:$N$105,MATCH(A86,CATALOGO!$A$6:$A$105,0))="",INDEX(CATALOGO!$O$6:$O$105,MATCH(A86,CATALOGO!$A$6:$A$105,0))="",INDEX(CATALOGO!$O$6:$O$105,MATCH(A86,CATALOGO!$A$6:$A$105,0))&lt;=0),"CATALOGO A REVISAR",IF(OR(I86&lt;INDEX(CATALOGO!$N$6:$N$105,MATCH(A86,CATALOGO!$A$6:$A$105,0)),MOD(I86,INDEX(CATALOGO!$O$6:$O$105,MATCH(A86,CATALOGO!$A$6:$A$105,0)))&lt;&gt;0),"NO RESPETA MOQ/PACK",IF(J86="","FALTA FECHA PAGO",IF(Q86="","COSTO DESCONOCIDO",IF(OR(J86&lt;=CONFIG!$B$5,J86&gt;CONFIG!$B$5+91),"FUERA DE 91 DIAS",IF(AND(P86&lt;&gt;"",I86&gt;P86),"EN MODELO · SUPERA PROPUESTA","EN MODELO")))))))))))</f>
        <v/>
      </c>
    </row>
    <row r="87" spans="1:19" x14ac:dyDescent="0.45">
      <c r="A87" s="8"/>
      <c r="B87" s="4"/>
      <c r="C87" s="5"/>
      <c r="D87" s="5"/>
      <c r="E87" s="5"/>
      <c r="F87" s="4"/>
      <c r="G87" s="8"/>
      <c r="H87" s="5"/>
      <c r="I87" s="5"/>
      <c r="J87" s="4"/>
      <c r="K87" s="12" t="str">
        <f>IFERROR(IF(A87="","",IF(COUNTIF($A$6:$A$105,A87)&gt;1,"DUPLICADO STOCK",IF(COUNTIF(CATALOGO!$A$6:$A$105,A87)&lt;&gt;1,"SKU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INVALIDA",IF(INDEX(CATALOGO!$F$6:$F$105,MATCH(A87,CATALOGO!$A$6:$A$105,0))&lt;&gt;"ACTIVO",INDEX(CATALOGO!$F$6:$F$105,MATCH(A87,CATALOGO!$A$6:$A$105,0)),IF(OR(B87="",B87&lt;&gt;CONFIG!$B$5),"CONTEO NO VIGENTE",IF(OR(C87="",D87="",E87="",H87=""),"FALTA CAMPO",IF(OR(C87&lt;0,C87&gt;1000000,D87&lt;0,D87&gt;1000000,E87&lt;0,E87&gt;1000000,D87&gt;C87),"REVISAR VALOR",IF(H87&gt;CONFIG!$B$6,"EXPOSICION FUERA DE RANGO",IF(H87&lt;&gt;CONFIG!$B$6,"DISPONIBILIDAD INCOMPLETA",IF(CONFIG!$B$14&lt;&gt;"SI","VENTAS INCOMPLETAS",IF(CONFIG!$B$12&lt;&gt;"SI","POLITICA SIN REVISAR",IF(SUMPRODUCT(--(VENTAS!$B$6:$B$1005=A87),--(VENTAS!$A$6:$A$1005&gt;=CONFIG!$B$5-CONFIG!$B$6+1),--(VENTAS!$A$6:$A$1005&lt;=CONFIG!$B$5),--(VENTAS!$I$6:$I$1005&lt;&gt;""),--(VENTAS!$I$6:$I$1005&lt;&gt;"OK"))&gt;0,"VENTAS A REVISAR",IF(AND(E87&gt;0,OR(F87="",G87&lt;&gt;"SI")),"TRANSITO SIN CONFIRMAR",IF(AND(E87&gt;0,G87="SI",OR(F87&lt;=CONFIG!$B$5,F87&gt;CONFIG!$B$5+INDEX(CATALOGO!$M$6:$M$105,MATCH(A87,CATALOGO!$A$6:$A$105,0)))),"TRANSITO FUERA DEL PLAZO",IF(INDEX(CATALOGO!$T$6:$T$105,MATCH(A87,CATALOGO!$A$6:$A$105,0))&lt;&gt;"OK","CATALOGO A REVISAR",IF(1-INDEX(CATALOGO!$K$6:$K$105,MATCH(A87,CATALOGO!$A$6:$A$105,0))-CONFIG!$B$8&lt;=0,"MARGEN OBJETIVO INVIABLE",IF(INDEX(CATALOGO!$R$6:$R$105,MATCH(A87,CATALOGO!$A$6:$A$105,0))&lt;CONFIG!$B$8,"REVISAR PRECIO O COSTO","ELEGIBLE")))))))))))))))))),"CONFIG INVALIDA")</f>
        <v/>
      </c>
      <c r="L87" s="13" t="str">
        <f t="shared" si="2"/>
        <v/>
      </c>
      <c r="M87" s="12" t="str">
        <f>IFERROR(IF(OR(A87="",CONFIG!$B$14&lt;&gt;"SI",CONFIG!$B$6&lt;1,CONFIG!$B$6&gt;365,CONFIG!$B$6&lt;&gt;INT(CONFIG!$B$6),SUMPRODUCT(--(VENTAS!$B$6:$B$1005=A87),--(VENTAS!$A$6:$A$1005&gt;=CONFIG!$B$5-CONFIG!$B$6+1),--(VENTAS!$A$6:$A$1005&lt;=CONFIG!$B$5),--(VENTAS!$I$6:$I$1005&lt;&gt;""),--(VENTAS!$I$6:$I$1005&lt;&gt;"OK"))&gt;0),"",MAX(0,(SUMIFS(VENTAS!$C$6:$C$1005,VENTAS!$B$6:$B$1005,A87,VENTAS!$A$6:$A$1005,"&gt;="&amp;CONFIG!$B$5-CONFIG!$B$6+1,VENTAS!$A$6:$A$1005,"&lt;="&amp;CONFIG!$B$5)-SUMIFS(VENTAS!$E$6:$E$1005,VENTAS!$B$6:$B$1005,A87,VENTAS!$A$6:$A$1005,"&gt;="&amp;CONFIG!$B$5-CONFIG!$B$6+1,VENTAS!$A$6:$A$1005,"&lt;="&amp;CONFIG!$B$5))/CONFIG!$B$6)),"")</f>
        <v/>
      </c>
      <c r="N87" s="14" t="str">
        <f>IF(K87&lt;&gt;"ELEGIBLE","",IF(AND(E87&gt;0,G87="SI",F87&gt;CONFIG!$B$5,F87&lt;=CONFIG!$B$5+INDEX(CATALOGO!$M$6:$M$105,MATCH(A87,CATALOGO!$A$6:$A$105,0))),E87,0))</f>
        <v/>
      </c>
      <c r="O87" s="14" t="str">
        <f>IF(K87&lt;&gt;"ELEGIBLE","",MAX(0,ROUNDUP(ROUND(M87*(INDEX(CATALOGO!$M$6:$M$105,MATCH(A87,CATALOGO!$A$6:$A$105,0))+CONFIG!$B$7)-L87-N87,10),0)))</f>
        <v/>
      </c>
      <c r="P87" s="14" t="str">
        <f>IF(O87="","",IF(O87=0,0,ROUNDUP(MAX(O87,INDEX(CATALOGO!$N$6:$N$105,MATCH(A87,CATALOGO!$A$6:$A$105,0)))/INDEX(CATALOGO!$O$6:$O$105,MATCH(A87,CATALOGO!$A$6:$A$105,0)),0)*INDEX(CATALOGO!$O$6:$O$105,MATCH(A87,CATALOGO!$A$6:$A$105,0))))</f>
        <v/>
      </c>
      <c r="Q87" s="11" t="str">
        <f>IFERROR(IF(OR(A87="",COUNTIF(CATALOGO!$A$6:$A$105,A87)&lt;&gt;1),"",IF(OR(INDEX(CATALOGO!$H$6:$H$105,MATCH(A87,CATALOGO!$A$6:$A$105,0))="",INDEX(CATALOGO!$I$6:$I$105,MATCH(A87,CATALOGO!$A$6:$A$105,0))="",ABS(INDEX(CATALOGO!$H$6:$H$105,MATCH(A87,CATALOGO!$A$6:$A$105,0)))&gt;1000000000,ABS(INDEX(CATALOGO!$I$6:$I$105,MATCH(A87,CATALOGO!$A$6:$A$105,0)))&gt;1000000000),"",INDEX(CATALOGO!$H$6:$H$105,MATCH(A87,CATALOGO!$A$6:$A$105,0))+INDEX(CATALOGO!$I$6:$I$105,MATCH(A87,CATALOGO!$A$6:$A$105,0)))),"")</f>
        <v/>
      </c>
      <c r="R87" s="9" t="str">
        <f>IF(OR(A87="",I87="",COUNTIF(CATALOGO!$A$6:$A$105,A87)&lt;&gt;1),"",IF(I87=0,0,IF(OR(Q87="",INDEX(CATALOGO!$N$6:$N$105,MATCH(A87,CATALOGO!$A$6:$A$105,0))="",INDEX(CATALOGO!$O$6:$O$105,MATCH(A87,CATALOGO!$A$6:$A$105,0))="",INDEX(CATALOGO!$O$6:$O$105,MATCH(A87,CATALOGO!$A$6:$A$105,0))&lt;=0),"",IF(OR(I87&lt;INDEX(CATALOGO!$N$6:$N$105,MATCH(A87,CATALOGO!$A$6:$A$105,0)),MOD(I87,INDEX(CATALOGO!$O$6:$O$105,MATCH(A87,CATALOGO!$A$6:$A$105,0)))&lt;&gt;0,J87="",J87&lt;=CONFIG!$B$5,J87&gt;CONFIG!$B$5+91),"",I87*Q87))))</f>
        <v/>
      </c>
      <c r="S87" s="12" t="str">
        <f>IF(A87="","",IF(COUNTIF(CATALOGO!$A$6:$A$105,A87)&lt;&gt;1,"SKU NO VALIDO",IF(I87="","CANTIDAD DESCONOCIDA",IF(I87=0,"SIN COMPRA ELEGIDA",IF(OR(I87&lt;0,I87&gt;1000000),"CANTIDAD INVALIDA",IF(OR(INDEX(CATALOGO!$N$6:$N$105,MATCH(A87,CATALOGO!$A$6:$A$105,0))="",INDEX(CATALOGO!$O$6:$O$105,MATCH(A87,CATALOGO!$A$6:$A$105,0))="",INDEX(CATALOGO!$O$6:$O$105,MATCH(A87,CATALOGO!$A$6:$A$105,0))&lt;=0),"CATALOGO A REVISAR",IF(OR(I87&lt;INDEX(CATALOGO!$N$6:$N$105,MATCH(A87,CATALOGO!$A$6:$A$105,0)),MOD(I87,INDEX(CATALOGO!$O$6:$O$105,MATCH(A87,CATALOGO!$A$6:$A$105,0)))&lt;&gt;0),"NO RESPETA MOQ/PACK",IF(J87="","FALTA FECHA PAGO",IF(Q87="","COSTO DESCONOCIDO",IF(OR(J87&lt;=CONFIG!$B$5,J87&gt;CONFIG!$B$5+91),"FUERA DE 91 DIAS",IF(AND(P87&lt;&gt;"",I87&gt;P87),"EN MODELO · SUPERA PROPUESTA","EN MODELO")))))))))))</f>
        <v/>
      </c>
    </row>
    <row r="88" spans="1:19" x14ac:dyDescent="0.45">
      <c r="A88" s="8"/>
      <c r="B88" s="4"/>
      <c r="C88" s="5"/>
      <c r="D88" s="5"/>
      <c r="E88" s="5"/>
      <c r="F88" s="4"/>
      <c r="G88" s="8"/>
      <c r="H88" s="5"/>
      <c r="I88" s="5"/>
      <c r="J88" s="4"/>
      <c r="K88" s="12" t="str">
        <f>IFERROR(IF(A88="","",IF(COUNTIF($A$6:$A$105,A88)&gt;1,"DUPLICADO STOCK",IF(COUNTIF(CATALOGO!$A$6:$A$105,A88)&lt;&gt;1,"SKU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INVALIDA",IF(INDEX(CATALOGO!$F$6:$F$105,MATCH(A88,CATALOGO!$A$6:$A$105,0))&lt;&gt;"ACTIVO",INDEX(CATALOGO!$F$6:$F$105,MATCH(A88,CATALOGO!$A$6:$A$105,0)),IF(OR(B88="",B88&lt;&gt;CONFIG!$B$5),"CONTEO NO VIGENTE",IF(OR(C88="",D88="",E88="",H88=""),"FALTA CAMPO",IF(OR(C88&lt;0,C88&gt;1000000,D88&lt;0,D88&gt;1000000,E88&lt;0,E88&gt;1000000,D88&gt;C88),"REVISAR VALOR",IF(H88&gt;CONFIG!$B$6,"EXPOSICION FUERA DE RANGO",IF(H88&lt;&gt;CONFIG!$B$6,"DISPONIBILIDAD INCOMPLETA",IF(CONFIG!$B$14&lt;&gt;"SI","VENTAS INCOMPLETAS",IF(CONFIG!$B$12&lt;&gt;"SI","POLITICA SIN REVISAR",IF(SUMPRODUCT(--(VENTAS!$B$6:$B$1005=A88),--(VENTAS!$A$6:$A$1005&gt;=CONFIG!$B$5-CONFIG!$B$6+1),--(VENTAS!$A$6:$A$1005&lt;=CONFIG!$B$5),--(VENTAS!$I$6:$I$1005&lt;&gt;""),--(VENTAS!$I$6:$I$1005&lt;&gt;"OK"))&gt;0,"VENTAS A REVISAR",IF(AND(E88&gt;0,OR(F88="",G88&lt;&gt;"SI")),"TRANSITO SIN CONFIRMAR",IF(AND(E88&gt;0,G88="SI",OR(F88&lt;=CONFIG!$B$5,F88&gt;CONFIG!$B$5+INDEX(CATALOGO!$M$6:$M$105,MATCH(A88,CATALOGO!$A$6:$A$105,0)))),"TRANSITO FUERA DEL PLAZO",IF(INDEX(CATALOGO!$T$6:$T$105,MATCH(A88,CATALOGO!$A$6:$A$105,0))&lt;&gt;"OK","CATALOGO A REVISAR",IF(1-INDEX(CATALOGO!$K$6:$K$105,MATCH(A88,CATALOGO!$A$6:$A$105,0))-CONFIG!$B$8&lt;=0,"MARGEN OBJETIVO INVIABLE",IF(INDEX(CATALOGO!$R$6:$R$105,MATCH(A88,CATALOGO!$A$6:$A$105,0))&lt;CONFIG!$B$8,"REVISAR PRECIO O COSTO","ELEGIBLE")))))))))))))))))),"CONFIG INVALIDA")</f>
        <v/>
      </c>
      <c r="L88" s="13" t="str">
        <f t="shared" si="2"/>
        <v/>
      </c>
      <c r="M88" s="12" t="str">
        <f>IFERROR(IF(OR(A88="",CONFIG!$B$14&lt;&gt;"SI",CONFIG!$B$6&lt;1,CONFIG!$B$6&gt;365,CONFIG!$B$6&lt;&gt;INT(CONFIG!$B$6),SUMPRODUCT(--(VENTAS!$B$6:$B$1005=A88),--(VENTAS!$A$6:$A$1005&gt;=CONFIG!$B$5-CONFIG!$B$6+1),--(VENTAS!$A$6:$A$1005&lt;=CONFIG!$B$5),--(VENTAS!$I$6:$I$1005&lt;&gt;""),--(VENTAS!$I$6:$I$1005&lt;&gt;"OK"))&gt;0),"",MAX(0,(SUMIFS(VENTAS!$C$6:$C$1005,VENTAS!$B$6:$B$1005,A88,VENTAS!$A$6:$A$1005,"&gt;="&amp;CONFIG!$B$5-CONFIG!$B$6+1,VENTAS!$A$6:$A$1005,"&lt;="&amp;CONFIG!$B$5)-SUMIFS(VENTAS!$E$6:$E$1005,VENTAS!$B$6:$B$1005,A88,VENTAS!$A$6:$A$1005,"&gt;="&amp;CONFIG!$B$5-CONFIG!$B$6+1,VENTAS!$A$6:$A$1005,"&lt;="&amp;CONFIG!$B$5))/CONFIG!$B$6)),"")</f>
        <v/>
      </c>
      <c r="N88" s="14" t="str">
        <f>IF(K88&lt;&gt;"ELEGIBLE","",IF(AND(E88&gt;0,G88="SI",F88&gt;CONFIG!$B$5,F88&lt;=CONFIG!$B$5+INDEX(CATALOGO!$M$6:$M$105,MATCH(A88,CATALOGO!$A$6:$A$105,0))),E88,0))</f>
        <v/>
      </c>
      <c r="O88" s="14" t="str">
        <f>IF(K88&lt;&gt;"ELEGIBLE","",MAX(0,ROUNDUP(ROUND(M88*(INDEX(CATALOGO!$M$6:$M$105,MATCH(A88,CATALOGO!$A$6:$A$105,0))+CONFIG!$B$7)-L88-N88,10),0)))</f>
        <v/>
      </c>
      <c r="P88" s="14" t="str">
        <f>IF(O88="","",IF(O88=0,0,ROUNDUP(MAX(O88,INDEX(CATALOGO!$N$6:$N$105,MATCH(A88,CATALOGO!$A$6:$A$105,0)))/INDEX(CATALOGO!$O$6:$O$105,MATCH(A88,CATALOGO!$A$6:$A$105,0)),0)*INDEX(CATALOGO!$O$6:$O$105,MATCH(A88,CATALOGO!$A$6:$A$105,0))))</f>
        <v/>
      </c>
      <c r="Q88" s="11" t="str">
        <f>IFERROR(IF(OR(A88="",COUNTIF(CATALOGO!$A$6:$A$105,A88)&lt;&gt;1),"",IF(OR(INDEX(CATALOGO!$H$6:$H$105,MATCH(A88,CATALOGO!$A$6:$A$105,0))="",INDEX(CATALOGO!$I$6:$I$105,MATCH(A88,CATALOGO!$A$6:$A$105,0))="",ABS(INDEX(CATALOGO!$H$6:$H$105,MATCH(A88,CATALOGO!$A$6:$A$105,0)))&gt;1000000000,ABS(INDEX(CATALOGO!$I$6:$I$105,MATCH(A88,CATALOGO!$A$6:$A$105,0)))&gt;1000000000),"",INDEX(CATALOGO!$H$6:$H$105,MATCH(A88,CATALOGO!$A$6:$A$105,0))+INDEX(CATALOGO!$I$6:$I$105,MATCH(A88,CATALOGO!$A$6:$A$105,0)))),"")</f>
        <v/>
      </c>
      <c r="R88" s="9" t="str">
        <f>IF(OR(A88="",I88="",COUNTIF(CATALOGO!$A$6:$A$105,A88)&lt;&gt;1),"",IF(I88=0,0,IF(OR(Q88="",INDEX(CATALOGO!$N$6:$N$105,MATCH(A88,CATALOGO!$A$6:$A$105,0))="",INDEX(CATALOGO!$O$6:$O$105,MATCH(A88,CATALOGO!$A$6:$A$105,0))="",INDEX(CATALOGO!$O$6:$O$105,MATCH(A88,CATALOGO!$A$6:$A$105,0))&lt;=0),"",IF(OR(I88&lt;INDEX(CATALOGO!$N$6:$N$105,MATCH(A88,CATALOGO!$A$6:$A$105,0)),MOD(I88,INDEX(CATALOGO!$O$6:$O$105,MATCH(A88,CATALOGO!$A$6:$A$105,0)))&lt;&gt;0,J88="",J88&lt;=CONFIG!$B$5,J88&gt;CONFIG!$B$5+91),"",I88*Q88))))</f>
        <v/>
      </c>
      <c r="S88" s="12" t="str">
        <f>IF(A88="","",IF(COUNTIF(CATALOGO!$A$6:$A$105,A88)&lt;&gt;1,"SKU NO VALIDO",IF(I88="","CANTIDAD DESCONOCIDA",IF(I88=0,"SIN COMPRA ELEGIDA",IF(OR(I88&lt;0,I88&gt;1000000),"CANTIDAD INVALIDA",IF(OR(INDEX(CATALOGO!$N$6:$N$105,MATCH(A88,CATALOGO!$A$6:$A$105,0))="",INDEX(CATALOGO!$O$6:$O$105,MATCH(A88,CATALOGO!$A$6:$A$105,0))="",INDEX(CATALOGO!$O$6:$O$105,MATCH(A88,CATALOGO!$A$6:$A$105,0))&lt;=0),"CATALOGO A REVISAR",IF(OR(I88&lt;INDEX(CATALOGO!$N$6:$N$105,MATCH(A88,CATALOGO!$A$6:$A$105,0)),MOD(I88,INDEX(CATALOGO!$O$6:$O$105,MATCH(A88,CATALOGO!$A$6:$A$105,0)))&lt;&gt;0),"NO RESPETA MOQ/PACK",IF(J88="","FALTA FECHA PAGO",IF(Q88="","COSTO DESCONOCIDO",IF(OR(J88&lt;=CONFIG!$B$5,J88&gt;CONFIG!$B$5+91),"FUERA DE 91 DIAS",IF(AND(P88&lt;&gt;"",I88&gt;P88),"EN MODELO · SUPERA PROPUESTA","EN MODELO")))))))))))</f>
        <v/>
      </c>
    </row>
    <row r="89" spans="1:19" x14ac:dyDescent="0.45">
      <c r="A89" s="8"/>
      <c r="B89" s="4"/>
      <c r="C89" s="5"/>
      <c r="D89" s="5"/>
      <c r="E89" s="5"/>
      <c r="F89" s="4"/>
      <c r="G89" s="8"/>
      <c r="H89" s="5"/>
      <c r="I89" s="5"/>
      <c r="J89" s="4"/>
      <c r="K89" s="12" t="str">
        <f>IFERROR(IF(A89="","",IF(COUNTIF($A$6:$A$105,A89)&gt;1,"DUPLICADO STOCK",IF(COUNTIF(CATALOGO!$A$6:$A$105,A89)&lt;&gt;1,"SKU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INVALIDA",IF(INDEX(CATALOGO!$F$6:$F$105,MATCH(A89,CATALOGO!$A$6:$A$105,0))&lt;&gt;"ACTIVO",INDEX(CATALOGO!$F$6:$F$105,MATCH(A89,CATALOGO!$A$6:$A$105,0)),IF(OR(B89="",B89&lt;&gt;CONFIG!$B$5),"CONTEO NO VIGENTE",IF(OR(C89="",D89="",E89="",H89=""),"FALTA CAMPO",IF(OR(C89&lt;0,C89&gt;1000000,D89&lt;0,D89&gt;1000000,E89&lt;0,E89&gt;1000000,D89&gt;C89),"REVISAR VALOR",IF(H89&gt;CONFIG!$B$6,"EXPOSICION FUERA DE RANGO",IF(H89&lt;&gt;CONFIG!$B$6,"DISPONIBILIDAD INCOMPLETA",IF(CONFIG!$B$14&lt;&gt;"SI","VENTAS INCOMPLETAS",IF(CONFIG!$B$12&lt;&gt;"SI","POLITICA SIN REVISAR",IF(SUMPRODUCT(--(VENTAS!$B$6:$B$1005=A89),--(VENTAS!$A$6:$A$1005&gt;=CONFIG!$B$5-CONFIG!$B$6+1),--(VENTAS!$A$6:$A$1005&lt;=CONFIG!$B$5),--(VENTAS!$I$6:$I$1005&lt;&gt;""),--(VENTAS!$I$6:$I$1005&lt;&gt;"OK"))&gt;0,"VENTAS A REVISAR",IF(AND(E89&gt;0,OR(F89="",G89&lt;&gt;"SI")),"TRANSITO SIN CONFIRMAR",IF(AND(E89&gt;0,G89="SI",OR(F89&lt;=CONFIG!$B$5,F89&gt;CONFIG!$B$5+INDEX(CATALOGO!$M$6:$M$105,MATCH(A89,CATALOGO!$A$6:$A$105,0)))),"TRANSITO FUERA DEL PLAZO",IF(INDEX(CATALOGO!$T$6:$T$105,MATCH(A89,CATALOGO!$A$6:$A$105,0))&lt;&gt;"OK","CATALOGO A REVISAR",IF(1-INDEX(CATALOGO!$K$6:$K$105,MATCH(A89,CATALOGO!$A$6:$A$105,0))-CONFIG!$B$8&lt;=0,"MARGEN OBJETIVO INVIABLE",IF(INDEX(CATALOGO!$R$6:$R$105,MATCH(A89,CATALOGO!$A$6:$A$105,0))&lt;CONFIG!$B$8,"REVISAR PRECIO O COSTO","ELEGIBLE")))))))))))))))))),"CONFIG INVALIDA")</f>
        <v/>
      </c>
      <c r="L89" s="13" t="str">
        <f t="shared" si="2"/>
        <v/>
      </c>
      <c r="M89" s="12" t="str">
        <f>IFERROR(IF(OR(A89="",CONFIG!$B$14&lt;&gt;"SI",CONFIG!$B$6&lt;1,CONFIG!$B$6&gt;365,CONFIG!$B$6&lt;&gt;INT(CONFIG!$B$6),SUMPRODUCT(--(VENTAS!$B$6:$B$1005=A89),--(VENTAS!$A$6:$A$1005&gt;=CONFIG!$B$5-CONFIG!$B$6+1),--(VENTAS!$A$6:$A$1005&lt;=CONFIG!$B$5),--(VENTAS!$I$6:$I$1005&lt;&gt;""),--(VENTAS!$I$6:$I$1005&lt;&gt;"OK"))&gt;0),"",MAX(0,(SUMIFS(VENTAS!$C$6:$C$1005,VENTAS!$B$6:$B$1005,A89,VENTAS!$A$6:$A$1005,"&gt;="&amp;CONFIG!$B$5-CONFIG!$B$6+1,VENTAS!$A$6:$A$1005,"&lt;="&amp;CONFIG!$B$5)-SUMIFS(VENTAS!$E$6:$E$1005,VENTAS!$B$6:$B$1005,A89,VENTAS!$A$6:$A$1005,"&gt;="&amp;CONFIG!$B$5-CONFIG!$B$6+1,VENTAS!$A$6:$A$1005,"&lt;="&amp;CONFIG!$B$5))/CONFIG!$B$6)),"")</f>
        <v/>
      </c>
      <c r="N89" s="14" t="str">
        <f>IF(K89&lt;&gt;"ELEGIBLE","",IF(AND(E89&gt;0,G89="SI",F89&gt;CONFIG!$B$5,F89&lt;=CONFIG!$B$5+INDEX(CATALOGO!$M$6:$M$105,MATCH(A89,CATALOGO!$A$6:$A$105,0))),E89,0))</f>
        <v/>
      </c>
      <c r="O89" s="14" t="str">
        <f>IF(K89&lt;&gt;"ELEGIBLE","",MAX(0,ROUNDUP(ROUND(M89*(INDEX(CATALOGO!$M$6:$M$105,MATCH(A89,CATALOGO!$A$6:$A$105,0))+CONFIG!$B$7)-L89-N89,10),0)))</f>
        <v/>
      </c>
      <c r="P89" s="14" t="str">
        <f>IF(O89="","",IF(O89=0,0,ROUNDUP(MAX(O89,INDEX(CATALOGO!$N$6:$N$105,MATCH(A89,CATALOGO!$A$6:$A$105,0)))/INDEX(CATALOGO!$O$6:$O$105,MATCH(A89,CATALOGO!$A$6:$A$105,0)),0)*INDEX(CATALOGO!$O$6:$O$105,MATCH(A89,CATALOGO!$A$6:$A$105,0))))</f>
        <v/>
      </c>
      <c r="Q89" s="11" t="str">
        <f>IFERROR(IF(OR(A89="",COUNTIF(CATALOGO!$A$6:$A$105,A89)&lt;&gt;1),"",IF(OR(INDEX(CATALOGO!$H$6:$H$105,MATCH(A89,CATALOGO!$A$6:$A$105,0))="",INDEX(CATALOGO!$I$6:$I$105,MATCH(A89,CATALOGO!$A$6:$A$105,0))="",ABS(INDEX(CATALOGO!$H$6:$H$105,MATCH(A89,CATALOGO!$A$6:$A$105,0)))&gt;1000000000,ABS(INDEX(CATALOGO!$I$6:$I$105,MATCH(A89,CATALOGO!$A$6:$A$105,0)))&gt;1000000000),"",INDEX(CATALOGO!$H$6:$H$105,MATCH(A89,CATALOGO!$A$6:$A$105,0))+INDEX(CATALOGO!$I$6:$I$105,MATCH(A89,CATALOGO!$A$6:$A$105,0)))),"")</f>
        <v/>
      </c>
      <c r="R89" s="9" t="str">
        <f>IF(OR(A89="",I89="",COUNTIF(CATALOGO!$A$6:$A$105,A89)&lt;&gt;1),"",IF(I89=0,0,IF(OR(Q89="",INDEX(CATALOGO!$N$6:$N$105,MATCH(A89,CATALOGO!$A$6:$A$105,0))="",INDEX(CATALOGO!$O$6:$O$105,MATCH(A89,CATALOGO!$A$6:$A$105,0))="",INDEX(CATALOGO!$O$6:$O$105,MATCH(A89,CATALOGO!$A$6:$A$105,0))&lt;=0),"",IF(OR(I89&lt;INDEX(CATALOGO!$N$6:$N$105,MATCH(A89,CATALOGO!$A$6:$A$105,0)),MOD(I89,INDEX(CATALOGO!$O$6:$O$105,MATCH(A89,CATALOGO!$A$6:$A$105,0)))&lt;&gt;0,J89="",J89&lt;=CONFIG!$B$5,J89&gt;CONFIG!$B$5+91),"",I89*Q89))))</f>
        <v/>
      </c>
      <c r="S89" s="12" t="str">
        <f>IF(A89="","",IF(COUNTIF(CATALOGO!$A$6:$A$105,A89)&lt;&gt;1,"SKU NO VALIDO",IF(I89="","CANTIDAD DESCONOCIDA",IF(I89=0,"SIN COMPRA ELEGIDA",IF(OR(I89&lt;0,I89&gt;1000000),"CANTIDAD INVALIDA",IF(OR(INDEX(CATALOGO!$N$6:$N$105,MATCH(A89,CATALOGO!$A$6:$A$105,0))="",INDEX(CATALOGO!$O$6:$O$105,MATCH(A89,CATALOGO!$A$6:$A$105,0))="",INDEX(CATALOGO!$O$6:$O$105,MATCH(A89,CATALOGO!$A$6:$A$105,0))&lt;=0),"CATALOGO A REVISAR",IF(OR(I89&lt;INDEX(CATALOGO!$N$6:$N$105,MATCH(A89,CATALOGO!$A$6:$A$105,0)),MOD(I89,INDEX(CATALOGO!$O$6:$O$105,MATCH(A89,CATALOGO!$A$6:$A$105,0)))&lt;&gt;0),"NO RESPETA MOQ/PACK",IF(J89="","FALTA FECHA PAGO",IF(Q89="","COSTO DESCONOCIDO",IF(OR(J89&lt;=CONFIG!$B$5,J89&gt;CONFIG!$B$5+91),"FUERA DE 91 DIAS",IF(AND(P89&lt;&gt;"",I89&gt;P89),"EN MODELO · SUPERA PROPUESTA","EN MODELO")))))))))))</f>
        <v/>
      </c>
    </row>
    <row r="90" spans="1:19" x14ac:dyDescent="0.45">
      <c r="A90" s="8"/>
      <c r="B90" s="4"/>
      <c r="C90" s="5"/>
      <c r="D90" s="5"/>
      <c r="E90" s="5"/>
      <c r="F90" s="4"/>
      <c r="G90" s="8"/>
      <c r="H90" s="5"/>
      <c r="I90" s="5"/>
      <c r="J90" s="4"/>
      <c r="K90" s="12" t="str">
        <f>IFERROR(IF(A90="","",IF(COUNTIF($A$6:$A$105,A90)&gt;1,"DUPLICADO STOCK",IF(COUNTIF(CATALOGO!$A$6:$A$105,A90)&lt;&gt;1,"SKU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INVALIDA",IF(INDEX(CATALOGO!$F$6:$F$105,MATCH(A90,CATALOGO!$A$6:$A$105,0))&lt;&gt;"ACTIVO",INDEX(CATALOGO!$F$6:$F$105,MATCH(A90,CATALOGO!$A$6:$A$105,0)),IF(OR(B90="",B90&lt;&gt;CONFIG!$B$5),"CONTEO NO VIGENTE",IF(OR(C90="",D90="",E90="",H90=""),"FALTA CAMPO",IF(OR(C90&lt;0,C90&gt;1000000,D90&lt;0,D90&gt;1000000,E90&lt;0,E90&gt;1000000,D90&gt;C90),"REVISAR VALOR",IF(H90&gt;CONFIG!$B$6,"EXPOSICION FUERA DE RANGO",IF(H90&lt;&gt;CONFIG!$B$6,"DISPONIBILIDAD INCOMPLETA",IF(CONFIG!$B$14&lt;&gt;"SI","VENTAS INCOMPLETAS",IF(CONFIG!$B$12&lt;&gt;"SI","POLITICA SIN REVISAR",IF(SUMPRODUCT(--(VENTAS!$B$6:$B$1005=A90),--(VENTAS!$A$6:$A$1005&gt;=CONFIG!$B$5-CONFIG!$B$6+1),--(VENTAS!$A$6:$A$1005&lt;=CONFIG!$B$5),--(VENTAS!$I$6:$I$1005&lt;&gt;""),--(VENTAS!$I$6:$I$1005&lt;&gt;"OK"))&gt;0,"VENTAS A REVISAR",IF(AND(E90&gt;0,OR(F90="",G90&lt;&gt;"SI")),"TRANSITO SIN CONFIRMAR",IF(AND(E90&gt;0,G90="SI",OR(F90&lt;=CONFIG!$B$5,F90&gt;CONFIG!$B$5+INDEX(CATALOGO!$M$6:$M$105,MATCH(A90,CATALOGO!$A$6:$A$105,0)))),"TRANSITO FUERA DEL PLAZO",IF(INDEX(CATALOGO!$T$6:$T$105,MATCH(A90,CATALOGO!$A$6:$A$105,0))&lt;&gt;"OK","CATALOGO A REVISAR",IF(1-INDEX(CATALOGO!$K$6:$K$105,MATCH(A90,CATALOGO!$A$6:$A$105,0))-CONFIG!$B$8&lt;=0,"MARGEN OBJETIVO INVIABLE",IF(INDEX(CATALOGO!$R$6:$R$105,MATCH(A90,CATALOGO!$A$6:$A$105,0))&lt;CONFIG!$B$8,"REVISAR PRECIO O COSTO","ELEGIBLE")))))))))))))))))),"CONFIG INVALIDA")</f>
        <v/>
      </c>
      <c r="L90" s="13" t="str">
        <f t="shared" si="2"/>
        <v/>
      </c>
      <c r="M90" s="12" t="str">
        <f>IFERROR(IF(OR(A90="",CONFIG!$B$14&lt;&gt;"SI",CONFIG!$B$6&lt;1,CONFIG!$B$6&gt;365,CONFIG!$B$6&lt;&gt;INT(CONFIG!$B$6),SUMPRODUCT(--(VENTAS!$B$6:$B$1005=A90),--(VENTAS!$A$6:$A$1005&gt;=CONFIG!$B$5-CONFIG!$B$6+1),--(VENTAS!$A$6:$A$1005&lt;=CONFIG!$B$5),--(VENTAS!$I$6:$I$1005&lt;&gt;""),--(VENTAS!$I$6:$I$1005&lt;&gt;"OK"))&gt;0),"",MAX(0,(SUMIFS(VENTAS!$C$6:$C$1005,VENTAS!$B$6:$B$1005,A90,VENTAS!$A$6:$A$1005,"&gt;="&amp;CONFIG!$B$5-CONFIG!$B$6+1,VENTAS!$A$6:$A$1005,"&lt;="&amp;CONFIG!$B$5)-SUMIFS(VENTAS!$E$6:$E$1005,VENTAS!$B$6:$B$1005,A90,VENTAS!$A$6:$A$1005,"&gt;="&amp;CONFIG!$B$5-CONFIG!$B$6+1,VENTAS!$A$6:$A$1005,"&lt;="&amp;CONFIG!$B$5))/CONFIG!$B$6)),"")</f>
        <v/>
      </c>
      <c r="N90" s="14" t="str">
        <f>IF(K90&lt;&gt;"ELEGIBLE","",IF(AND(E90&gt;0,G90="SI",F90&gt;CONFIG!$B$5,F90&lt;=CONFIG!$B$5+INDEX(CATALOGO!$M$6:$M$105,MATCH(A90,CATALOGO!$A$6:$A$105,0))),E90,0))</f>
        <v/>
      </c>
      <c r="O90" s="14" t="str">
        <f>IF(K90&lt;&gt;"ELEGIBLE","",MAX(0,ROUNDUP(ROUND(M90*(INDEX(CATALOGO!$M$6:$M$105,MATCH(A90,CATALOGO!$A$6:$A$105,0))+CONFIG!$B$7)-L90-N90,10),0)))</f>
        <v/>
      </c>
      <c r="P90" s="14" t="str">
        <f>IF(O90="","",IF(O90=0,0,ROUNDUP(MAX(O90,INDEX(CATALOGO!$N$6:$N$105,MATCH(A90,CATALOGO!$A$6:$A$105,0)))/INDEX(CATALOGO!$O$6:$O$105,MATCH(A90,CATALOGO!$A$6:$A$105,0)),0)*INDEX(CATALOGO!$O$6:$O$105,MATCH(A90,CATALOGO!$A$6:$A$105,0))))</f>
        <v/>
      </c>
      <c r="Q90" s="11" t="str">
        <f>IFERROR(IF(OR(A90="",COUNTIF(CATALOGO!$A$6:$A$105,A90)&lt;&gt;1),"",IF(OR(INDEX(CATALOGO!$H$6:$H$105,MATCH(A90,CATALOGO!$A$6:$A$105,0))="",INDEX(CATALOGO!$I$6:$I$105,MATCH(A90,CATALOGO!$A$6:$A$105,0))="",ABS(INDEX(CATALOGO!$H$6:$H$105,MATCH(A90,CATALOGO!$A$6:$A$105,0)))&gt;1000000000,ABS(INDEX(CATALOGO!$I$6:$I$105,MATCH(A90,CATALOGO!$A$6:$A$105,0)))&gt;1000000000),"",INDEX(CATALOGO!$H$6:$H$105,MATCH(A90,CATALOGO!$A$6:$A$105,0))+INDEX(CATALOGO!$I$6:$I$105,MATCH(A90,CATALOGO!$A$6:$A$105,0)))),"")</f>
        <v/>
      </c>
      <c r="R90" s="9" t="str">
        <f>IF(OR(A90="",I90="",COUNTIF(CATALOGO!$A$6:$A$105,A90)&lt;&gt;1),"",IF(I90=0,0,IF(OR(Q90="",INDEX(CATALOGO!$N$6:$N$105,MATCH(A90,CATALOGO!$A$6:$A$105,0))="",INDEX(CATALOGO!$O$6:$O$105,MATCH(A90,CATALOGO!$A$6:$A$105,0))="",INDEX(CATALOGO!$O$6:$O$105,MATCH(A90,CATALOGO!$A$6:$A$105,0))&lt;=0),"",IF(OR(I90&lt;INDEX(CATALOGO!$N$6:$N$105,MATCH(A90,CATALOGO!$A$6:$A$105,0)),MOD(I90,INDEX(CATALOGO!$O$6:$O$105,MATCH(A90,CATALOGO!$A$6:$A$105,0)))&lt;&gt;0,J90="",J90&lt;=CONFIG!$B$5,J90&gt;CONFIG!$B$5+91),"",I90*Q90))))</f>
        <v/>
      </c>
      <c r="S90" s="12" t="str">
        <f>IF(A90="","",IF(COUNTIF(CATALOGO!$A$6:$A$105,A90)&lt;&gt;1,"SKU NO VALIDO",IF(I90="","CANTIDAD DESCONOCIDA",IF(I90=0,"SIN COMPRA ELEGIDA",IF(OR(I90&lt;0,I90&gt;1000000),"CANTIDAD INVALIDA",IF(OR(INDEX(CATALOGO!$N$6:$N$105,MATCH(A90,CATALOGO!$A$6:$A$105,0))="",INDEX(CATALOGO!$O$6:$O$105,MATCH(A90,CATALOGO!$A$6:$A$105,0))="",INDEX(CATALOGO!$O$6:$O$105,MATCH(A90,CATALOGO!$A$6:$A$105,0))&lt;=0),"CATALOGO A REVISAR",IF(OR(I90&lt;INDEX(CATALOGO!$N$6:$N$105,MATCH(A90,CATALOGO!$A$6:$A$105,0)),MOD(I90,INDEX(CATALOGO!$O$6:$O$105,MATCH(A90,CATALOGO!$A$6:$A$105,0)))&lt;&gt;0),"NO RESPETA MOQ/PACK",IF(J90="","FALTA FECHA PAGO",IF(Q90="","COSTO DESCONOCIDO",IF(OR(J90&lt;=CONFIG!$B$5,J90&gt;CONFIG!$B$5+91),"FUERA DE 91 DIAS",IF(AND(P90&lt;&gt;"",I90&gt;P90),"EN MODELO · SUPERA PROPUESTA","EN MODELO")))))))))))</f>
        <v/>
      </c>
    </row>
    <row r="91" spans="1:19" x14ac:dyDescent="0.45">
      <c r="A91" s="8"/>
      <c r="B91" s="4"/>
      <c r="C91" s="5"/>
      <c r="D91" s="5"/>
      <c r="E91" s="5"/>
      <c r="F91" s="4"/>
      <c r="G91" s="8"/>
      <c r="H91" s="5"/>
      <c r="I91" s="5"/>
      <c r="J91" s="4"/>
      <c r="K91" s="12" t="str">
        <f>IFERROR(IF(A91="","",IF(COUNTIF($A$6:$A$105,A91)&gt;1,"DUPLICADO STOCK",IF(COUNTIF(CATALOGO!$A$6:$A$105,A91)&lt;&gt;1,"SKU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INVALIDA",IF(INDEX(CATALOGO!$F$6:$F$105,MATCH(A91,CATALOGO!$A$6:$A$105,0))&lt;&gt;"ACTIVO",INDEX(CATALOGO!$F$6:$F$105,MATCH(A91,CATALOGO!$A$6:$A$105,0)),IF(OR(B91="",B91&lt;&gt;CONFIG!$B$5),"CONTEO NO VIGENTE",IF(OR(C91="",D91="",E91="",H91=""),"FALTA CAMPO",IF(OR(C91&lt;0,C91&gt;1000000,D91&lt;0,D91&gt;1000000,E91&lt;0,E91&gt;1000000,D91&gt;C91),"REVISAR VALOR",IF(H91&gt;CONFIG!$B$6,"EXPOSICION FUERA DE RANGO",IF(H91&lt;&gt;CONFIG!$B$6,"DISPONIBILIDAD INCOMPLETA",IF(CONFIG!$B$14&lt;&gt;"SI","VENTAS INCOMPLETAS",IF(CONFIG!$B$12&lt;&gt;"SI","POLITICA SIN REVISAR",IF(SUMPRODUCT(--(VENTAS!$B$6:$B$1005=A91),--(VENTAS!$A$6:$A$1005&gt;=CONFIG!$B$5-CONFIG!$B$6+1),--(VENTAS!$A$6:$A$1005&lt;=CONFIG!$B$5),--(VENTAS!$I$6:$I$1005&lt;&gt;""),--(VENTAS!$I$6:$I$1005&lt;&gt;"OK"))&gt;0,"VENTAS A REVISAR",IF(AND(E91&gt;0,OR(F91="",G91&lt;&gt;"SI")),"TRANSITO SIN CONFIRMAR",IF(AND(E91&gt;0,G91="SI",OR(F91&lt;=CONFIG!$B$5,F91&gt;CONFIG!$B$5+INDEX(CATALOGO!$M$6:$M$105,MATCH(A91,CATALOGO!$A$6:$A$105,0)))),"TRANSITO FUERA DEL PLAZO",IF(INDEX(CATALOGO!$T$6:$T$105,MATCH(A91,CATALOGO!$A$6:$A$105,0))&lt;&gt;"OK","CATALOGO A REVISAR",IF(1-INDEX(CATALOGO!$K$6:$K$105,MATCH(A91,CATALOGO!$A$6:$A$105,0))-CONFIG!$B$8&lt;=0,"MARGEN OBJETIVO INVIABLE",IF(INDEX(CATALOGO!$R$6:$R$105,MATCH(A91,CATALOGO!$A$6:$A$105,0))&lt;CONFIG!$B$8,"REVISAR PRECIO O COSTO","ELEGIBLE")))))))))))))))))),"CONFIG INVALIDA")</f>
        <v/>
      </c>
      <c r="L91" s="13" t="str">
        <f t="shared" si="2"/>
        <v/>
      </c>
      <c r="M91" s="12" t="str">
        <f>IFERROR(IF(OR(A91="",CONFIG!$B$14&lt;&gt;"SI",CONFIG!$B$6&lt;1,CONFIG!$B$6&gt;365,CONFIG!$B$6&lt;&gt;INT(CONFIG!$B$6),SUMPRODUCT(--(VENTAS!$B$6:$B$1005=A91),--(VENTAS!$A$6:$A$1005&gt;=CONFIG!$B$5-CONFIG!$B$6+1),--(VENTAS!$A$6:$A$1005&lt;=CONFIG!$B$5),--(VENTAS!$I$6:$I$1005&lt;&gt;""),--(VENTAS!$I$6:$I$1005&lt;&gt;"OK"))&gt;0),"",MAX(0,(SUMIFS(VENTAS!$C$6:$C$1005,VENTAS!$B$6:$B$1005,A91,VENTAS!$A$6:$A$1005,"&gt;="&amp;CONFIG!$B$5-CONFIG!$B$6+1,VENTAS!$A$6:$A$1005,"&lt;="&amp;CONFIG!$B$5)-SUMIFS(VENTAS!$E$6:$E$1005,VENTAS!$B$6:$B$1005,A91,VENTAS!$A$6:$A$1005,"&gt;="&amp;CONFIG!$B$5-CONFIG!$B$6+1,VENTAS!$A$6:$A$1005,"&lt;="&amp;CONFIG!$B$5))/CONFIG!$B$6)),"")</f>
        <v/>
      </c>
      <c r="N91" s="14" t="str">
        <f>IF(K91&lt;&gt;"ELEGIBLE","",IF(AND(E91&gt;0,G91="SI",F91&gt;CONFIG!$B$5,F91&lt;=CONFIG!$B$5+INDEX(CATALOGO!$M$6:$M$105,MATCH(A91,CATALOGO!$A$6:$A$105,0))),E91,0))</f>
        <v/>
      </c>
      <c r="O91" s="14" t="str">
        <f>IF(K91&lt;&gt;"ELEGIBLE","",MAX(0,ROUNDUP(ROUND(M91*(INDEX(CATALOGO!$M$6:$M$105,MATCH(A91,CATALOGO!$A$6:$A$105,0))+CONFIG!$B$7)-L91-N91,10),0)))</f>
        <v/>
      </c>
      <c r="P91" s="14" t="str">
        <f>IF(O91="","",IF(O91=0,0,ROUNDUP(MAX(O91,INDEX(CATALOGO!$N$6:$N$105,MATCH(A91,CATALOGO!$A$6:$A$105,0)))/INDEX(CATALOGO!$O$6:$O$105,MATCH(A91,CATALOGO!$A$6:$A$105,0)),0)*INDEX(CATALOGO!$O$6:$O$105,MATCH(A91,CATALOGO!$A$6:$A$105,0))))</f>
        <v/>
      </c>
      <c r="Q91" s="11" t="str">
        <f>IFERROR(IF(OR(A91="",COUNTIF(CATALOGO!$A$6:$A$105,A91)&lt;&gt;1),"",IF(OR(INDEX(CATALOGO!$H$6:$H$105,MATCH(A91,CATALOGO!$A$6:$A$105,0))="",INDEX(CATALOGO!$I$6:$I$105,MATCH(A91,CATALOGO!$A$6:$A$105,0))="",ABS(INDEX(CATALOGO!$H$6:$H$105,MATCH(A91,CATALOGO!$A$6:$A$105,0)))&gt;1000000000,ABS(INDEX(CATALOGO!$I$6:$I$105,MATCH(A91,CATALOGO!$A$6:$A$105,0)))&gt;1000000000),"",INDEX(CATALOGO!$H$6:$H$105,MATCH(A91,CATALOGO!$A$6:$A$105,0))+INDEX(CATALOGO!$I$6:$I$105,MATCH(A91,CATALOGO!$A$6:$A$105,0)))),"")</f>
        <v/>
      </c>
      <c r="R91" s="9" t="str">
        <f>IF(OR(A91="",I91="",COUNTIF(CATALOGO!$A$6:$A$105,A91)&lt;&gt;1),"",IF(I91=0,0,IF(OR(Q91="",INDEX(CATALOGO!$N$6:$N$105,MATCH(A91,CATALOGO!$A$6:$A$105,0))="",INDEX(CATALOGO!$O$6:$O$105,MATCH(A91,CATALOGO!$A$6:$A$105,0))="",INDEX(CATALOGO!$O$6:$O$105,MATCH(A91,CATALOGO!$A$6:$A$105,0))&lt;=0),"",IF(OR(I91&lt;INDEX(CATALOGO!$N$6:$N$105,MATCH(A91,CATALOGO!$A$6:$A$105,0)),MOD(I91,INDEX(CATALOGO!$O$6:$O$105,MATCH(A91,CATALOGO!$A$6:$A$105,0)))&lt;&gt;0,J91="",J91&lt;=CONFIG!$B$5,J91&gt;CONFIG!$B$5+91),"",I91*Q91))))</f>
        <v/>
      </c>
      <c r="S91" s="12" t="str">
        <f>IF(A91="","",IF(COUNTIF(CATALOGO!$A$6:$A$105,A91)&lt;&gt;1,"SKU NO VALIDO",IF(I91="","CANTIDAD DESCONOCIDA",IF(I91=0,"SIN COMPRA ELEGIDA",IF(OR(I91&lt;0,I91&gt;1000000),"CANTIDAD INVALIDA",IF(OR(INDEX(CATALOGO!$N$6:$N$105,MATCH(A91,CATALOGO!$A$6:$A$105,0))="",INDEX(CATALOGO!$O$6:$O$105,MATCH(A91,CATALOGO!$A$6:$A$105,0))="",INDEX(CATALOGO!$O$6:$O$105,MATCH(A91,CATALOGO!$A$6:$A$105,0))&lt;=0),"CATALOGO A REVISAR",IF(OR(I91&lt;INDEX(CATALOGO!$N$6:$N$105,MATCH(A91,CATALOGO!$A$6:$A$105,0)),MOD(I91,INDEX(CATALOGO!$O$6:$O$105,MATCH(A91,CATALOGO!$A$6:$A$105,0)))&lt;&gt;0),"NO RESPETA MOQ/PACK",IF(J91="","FALTA FECHA PAGO",IF(Q91="","COSTO DESCONOCIDO",IF(OR(J91&lt;=CONFIG!$B$5,J91&gt;CONFIG!$B$5+91),"FUERA DE 91 DIAS",IF(AND(P91&lt;&gt;"",I91&gt;P91),"EN MODELO · SUPERA PROPUESTA","EN MODELO")))))))))))</f>
        <v/>
      </c>
    </row>
    <row r="92" spans="1:19" x14ac:dyDescent="0.45">
      <c r="A92" s="8"/>
      <c r="B92" s="4"/>
      <c r="C92" s="5"/>
      <c r="D92" s="5"/>
      <c r="E92" s="5"/>
      <c r="F92" s="4"/>
      <c r="G92" s="8"/>
      <c r="H92" s="5"/>
      <c r="I92" s="5"/>
      <c r="J92" s="4"/>
      <c r="K92" s="12" t="str">
        <f>IFERROR(IF(A92="","",IF(COUNTIF($A$6:$A$105,A92)&gt;1,"DUPLICADO STOCK",IF(COUNTIF(CATALOGO!$A$6:$A$105,A92)&lt;&gt;1,"SKU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INVALIDA",IF(INDEX(CATALOGO!$F$6:$F$105,MATCH(A92,CATALOGO!$A$6:$A$105,0))&lt;&gt;"ACTIVO",INDEX(CATALOGO!$F$6:$F$105,MATCH(A92,CATALOGO!$A$6:$A$105,0)),IF(OR(B92="",B92&lt;&gt;CONFIG!$B$5),"CONTEO NO VIGENTE",IF(OR(C92="",D92="",E92="",H92=""),"FALTA CAMPO",IF(OR(C92&lt;0,C92&gt;1000000,D92&lt;0,D92&gt;1000000,E92&lt;0,E92&gt;1000000,D92&gt;C92),"REVISAR VALOR",IF(H92&gt;CONFIG!$B$6,"EXPOSICION FUERA DE RANGO",IF(H92&lt;&gt;CONFIG!$B$6,"DISPONIBILIDAD INCOMPLETA",IF(CONFIG!$B$14&lt;&gt;"SI","VENTAS INCOMPLETAS",IF(CONFIG!$B$12&lt;&gt;"SI","POLITICA SIN REVISAR",IF(SUMPRODUCT(--(VENTAS!$B$6:$B$1005=A92),--(VENTAS!$A$6:$A$1005&gt;=CONFIG!$B$5-CONFIG!$B$6+1),--(VENTAS!$A$6:$A$1005&lt;=CONFIG!$B$5),--(VENTAS!$I$6:$I$1005&lt;&gt;""),--(VENTAS!$I$6:$I$1005&lt;&gt;"OK"))&gt;0,"VENTAS A REVISAR",IF(AND(E92&gt;0,OR(F92="",G92&lt;&gt;"SI")),"TRANSITO SIN CONFIRMAR",IF(AND(E92&gt;0,G92="SI",OR(F92&lt;=CONFIG!$B$5,F92&gt;CONFIG!$B$5+INDEX(CATALOGO!$M$6:$M$105,MATCH(A92,CATALOGO!$A$6:$A$105,0)))),"TRANSITO FUERA DEL PLAZO",IF(INDEX(CATALOGO!$T$6:$T$105,MATCH(A92,CATALOGO!$A$6:$A$105,0))&lt;&gt;"OK","CATALOGO A REVISAR",IF(1-INDEX(CATALOGO!$K$6:$K$105,MATCH(A92,CATALOGO!$A$6:$A$105,0))-CONFIG!$B$8&lt;=0,"MARGEN OBJETIVO INVIABLE",IF(INDEX(CATALOGO!$R$6:$R$105,MATCH(A92,CATALOGO!$A$6:$A$105,0))&lt;CONFIG!$B$8,"REVISAR PRECIO O COSTO","ELEGIBLE")))))))))))))))))),"CONFIG INVALIDA")</f>
        <v/>
      </c>
      <c r="L92" s="13" t="str">
        <f t="shared" si="2"/>
        <v/>
      </c>
      <c r="M92" s="12" t="str">
        <f>IFERROR(IF(OR(A92="",CONFIG!$B$14&lt;&gt;"SI",CONFIG!$B$6&lt;1,CONFIG!$B$6&gt;365,CONFIG!$B$6&lt;&gt;INT(CONFIG!$B$6),SUMPRODUCT(--(VENTAS!$B$6:$B$1005=A92),--(VENTAS!$A$6:$A$1005&gt;=CONFIG!$B$5-CONFIG!$B$6+1),--(VENTAS!$A$6:$A$1005&lt;=CONFIG!$B$5),--(VENTAS!$I$6:$I$1005&lt;&gt;""),--(VENTAS!$I$6:$I$1005&lt;&gt;"OK"))&gt;0),"",MAX(0,(SUMIFS(VENTAS!$C$6:$C$1005,VENTAS!$B$6:$B$1005,A92,VENTAS!$A$6:$A$1005,"&gt;="&amp;CONFIG!$B$5-CONFIG!$B$6+1,VENTAS!$A$6:$A$1005,"&lt;="&amp;CONFIG!$B$5)-SUMIFS(VENTAS!$E$6:$E$1005,VENTAS!$B$6:$B$1005,A92,VENTAS!$A$6:$A$1005,"&gt;="&amp;CONFIG!$B$5-CONFIG!$B$6+1,VENTAS!$A$6:$A$1005,"&lt;="&amp;CONFIG!$B$5))/CONFIG!$B$6)),"")</f>
        <v/>
      </c>
      <c r="N92" s="14" t="str">
        <f>IF(K92&lt;&gt;"ELEGIBLE","",IF(AND(E92&gt;0,G92="SI",F92&gt;CONFIG!$B$5,F92&lt;=CONFIG!$B$5+INDEX(CATALOGO!$M$6:$M$105,MATCH(A92,CATALOGO!$A$6:$A$105,0))),E92,0))</f>
        <v/>
      </c>
      <c r="O92" s="14" t="str">
        <f>IF(K92&lt;&gt;"ELEGIBLE","",MAX(0,ROUNDUP(ROUND(M92*(INDEX(CATALOGO!$M$6:$M$105,MATCH(A92,CATALOGO!$A$6:$A$105,0))+CONFIG!$B$7)-L92-N92,10),0)))</f>
        <v/>
      </c>
      <c r="P92" s="14" t="str">
        <f>IF(O92="","",IF(O92=0,0,ROUNDUP(MAX(O92,INDEX(CATALOGO!$N$6:$N$105,MATCH(A92,CATALOGO!$A$6:$A$105,0)))/INDEX(CATALOGO!$O$6:$O$105,MATCH(A92,CATALOGO!$A$6:$A$105,0)),0)*INDEX(CATALOGO!$O$6:$O$105,MATCH(A92,CATALOGO!$A$6:$A$105,0))))</f>
        <v/>
      </c>
      <c r="Q92" s="11" t="str">
        <f>IFERROR(IF(OR(A92="",COUNTIF(CATALOGO!$A$6:$A$105,A92)&lt;&gt;1),"",IF(OR(INDEX(CATALOGO!$H$6:$H$105,MATCH(A92,CATALOGO!$A$6:$A$105,0))="",INDEX(CATALOGO!$I$6:$I$105,MATCH(A92,CATALOGO!$A$6:$A$105,0))="",ABS(INDEX(CATALOGO!$H$6:$H$105,MATCH(A92,CATALOGO!$A$6:$A$105,0)))&gt;1000000000,ABS(INDEX(CATALOGO!$I$6:$I$105,MATCH(A92,CATALOGO!$A$6:$A$105,0)))&gt;1000000000),"",INDEX(CATALOGO!$H$6:$H$105,MATCH(A92,CATALOGO!$A$6:$A$105,0))+INDEX(CATALOGO!$I$6:$I$105,MATCH(A92,CATALOGO!$A$6:$A$105,0)))),"")</f>
        <v/>
      </c>
      <c r="R92" s="9" t="str">
        <f>IF(OR(A92="",I92="",COUNTIF(CATALOGO!$A$6:$A$105,A92)&lt;&gt;1),"",IF(I92=0,0,IF(OR(Q92="",INDEX(CATALOGO!$N$6:$N$105,MATCH(A92,CATALOGO!$A$6:$A$105,0))="",INDEX(CATALOGO!$O$6:$O$105,MATCH(A92,CATALOGO!$A$6:$A$105,0))="",INDEX(CATALOGO!$O$6:$O$105,MATCH(A92,CATALOGO!$A$6:$A$105,0))&lt;=0),"",IF(OR(I92&lt;INDEX(CATALOGO!$N$6:$N$105,MATCH(A92,CATALOGO!$A$6:$A$105,0)),MOD(I92,INDEX(CATALOGO!$O$6:$O$105,MATCH(A92,CATALOGO!$A$6:$A$105,0)))&lt;&gt;0,J92="",J92&lt;=CONFIG!$B$5,J92&gt;CONFIG!$B$5+91),"",I92*Q92))))</f>
        <v/>
      </c>
      <c r="S92" s="12" t="str">
        <f>IF(A92="","",IF(COUNTIF(CATALOGO!$A$6:$A$105,A92)&lt;&gt;1,"SKU NO VALIDO",IF(I92="","CANTIDAD DESCONOCIDA",IF(I92=0,"SIN COMPRA ELEGIDA",IF(OR(I92&lt;0,I92&gt;1000000),"CANTIDAD INVALIDA",IF(OR(INDEX(CATALOGO!$N$6:$N$105,MATCH(A92,CATALOGO!$A$6:$A$105,0))="",INDEX(CATALOGO!$O$6:$O$105,MATCH(A92,CATALOGO!$A$6:$A$105,0))="",INDEX(CATALOGO!$O$6:$O$105,MATCH(A92,CATALOGO!$A$6:$A$105,0))&lt;=0),"CATALOGO A REVISAR",IF(OR(I92&lt;INDEX(CATALOGO!$N$6:$N$105,MATCH(A92,CATALOGO!$A$6:$A$105,0)),MOD(I92,INDEX(CATALOGO!$O$6:$O$105,MATCH(A92,CATALOGO!$A$6:$A$105,0)))&lt;&gt;0),"NO RESPETA MOQ/PACK",IF(J92="","FALTA FECHA PAGO",IF(Q92="","COSTO DESCONOCIDO",IF(OR(J92&lt;=CONFIG!$B$5,J92&gt;CONFIG!$B$5+91),"FUERA DE 91 DIAS",IF(AND(P92&lt;&gt;"",I92&gt;P92),"EN MODELO · SUPERA PROPUESTA","EN MODELO")))))))))))</f>
        <v/>
      </c>
    </row>
    <row r="93" spans="1:19" x14ac:dyDescent="0.45">
      <c r="A93" s="8"/>
      <c r="B93" s="4"/>
      <c r="C93" s="5"/>
      <c r="D93" s="5"/>
      <c r="E93" s="5"/>
      <c r="F93" s="4"/>
      <c r="G93" s="8"/>
      <c r="H93" s="5"/>
      <c r="I93" s="5"/>
      <c r="J93" s="4"/>
      <c r="K93" s="12" t="str">
        <f>IFERROR(IF(A93="","",IF(COUNTIF($A$6:$A$105,A93)&gt;1,"DUPLICADO STOCK",IF(COUNTIF(CATALOGO!$A$6:$A$105,A93)&lt;&gt;1,"SKU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INVALIDA",IF(INDEX(CATALOGO!$F$6:$F$105,MATCH(A93,CATALOGO!$A$6:$A$105,0))&lt;&gt;"ACTIVO",INDEX(CATALOGO!$F$6:$F$105,MATCH(A93,CATALOGO!$A$6:$A$105,0)),IF(OR(B93="",B93&lt;&gt;CONFIG!$B$5),"CONTEO NO VIGENTE",IF(OR(C93="",D93="",E93="",H93=""),"FALTA CAMPO",IF(OR(C93&lt;0,C93&gt;1000000,D93&lt;0,D93&gt;1000000,E93&lt;0,E93&gt;1000000,D93&gt;C93),"REVISAR VALOR",IF(H93&gt;CONFIG!$B$6,"EXPOSICION FUERA DE RANGO",IF(H93&lt;&gt;CONFIG!$B$6,"DISPONIBILIDAD INCOMPLETA",IF(CONFIG!$B$14&lt;&gt;"SI","VENTAS INCOMPLETAS",IF(CONFIG!$B$12&lt;&gt;"SI","POLITICA SIN REVISAR",IF(SUMPRODUCT(--(VENTAS!$B$6:$B$1005=A93),--(VENTAS!$A$6:$A$1005&gt;=CONFIG!$B$5-CONFIG!$B$6+1),--(VENTAS!$A$6:$A$1005&lt;=CONFIG!$B$5),--(VENTAS!$I$6:$I$1005&lt;&gt;""),--(VENTAS!$I$6:$I$1005&lt;&gt;"OK"))&gt;0,"VENTAS A REVISAR",IF(AND(E93&gt;0,OR(F93="",G93&lt;&gt;"SI")),"TRANSITO SIN CONFIRMAR",IF(AND(E93&gt;0,G93="SI",OR(F93&lt;=CONFIG!$B$5,F93&gt;CONFIG!$B$5+INDEX(CATALOGO!$M$6:$M$105,MATCH(A93,CATALOGO!$A$6:$A$105,0)))),"TRANSITO FUERA DEL PLAZO",IF(INDEX(CATALOGO!$T$6:$T$105,MATCH(A93,CATALOGO!$A$6:$A$105,0))&lt;&gt;"OK","CATALOGO A REVISAR",IF(1-INDEX(CATALOGO!$K$6:$K$105,MATCH(A93,CATALOGO!$A$6:$A$105,0))-CONFIG!$B$8&lt;=0,"MARGEN OBJETIVO INVIABLE",IF(INDEX(CATALOGO!$R$6:$R$105,MATCH(A93,CATALOGO!$A$6:$A$105,0))&lt;CONFIG!$B$8,"REVISAR PRECIO O COSTO","ELEGIBLE")))))))))))))))))),"CONFIG INVALIDA")</f>
        <v/>
      </c>
      <c r="L93" s="13" t="str">
        <f t="shared" si="2"/>
        <v/>
      </c>
      <c r="M93" s="12" t="str">
        <f>IFERROR(IF(OR(A93="",CONFIG!$B$14&lt;&gt;"SI",CONFIG!$B$6&lt;1,CONFIG!$B$6&gt;365,CONFIG!$B$6&lt;&gt;INT(CONFIG!$B$6),SUMPRODUCT(--(VENTAS!$B$6:$B$1005=A93),--(VENTAS!$A$6:$A$1005&gt;=CONFIG!$B$5-CONFIG!$B$6+1),--(VENTAS!$A$6:$A$1005&lt;=CONFIG!$B$5),--(VENTAS!$I$6:$I$1005&lt;&gt;""),--(VENTAS!$I$6:$I$1005&lt;&gt;"OK"))&gt;0),"",MAX(0,(SUMIFS(VENTAS!$C$6:$C$1005,VENTAS!$B$6:$B$1005,A93,VENTAS!$A$6:$A$1005,"&gt;="&amp;CONFIG!$B$5-CONFIG!$B$6+1,VENTAS!$A$6:$A$1005,"&lt;="&amp;CONFIG!$B$5)-SUMIFS(VENTAS!$E$6:$E$1005,VENTAS!$B$6:$B$1005,A93,VENTAS!$A$6:$A$1005,"&gt;="&amp;CONFIG!$B$5-CONFIG!$B$6+1,VENTAS!$A$6:$A$1005,"&lt;="&amp;CONFIG!$B$5))/CONFIG!$B$6)),"")</f>
        <v/>
      </c>
      <c r="N93" s="14" t="str">
        <f>IF(K93&lt;&gt;"ELEGIBLE","",IF(AND(E93&gt;0,G93="SI",F93&gt;CONFIG!$B$5,F93&lt;=CONFIG!$B$5+INDEX(CATALOGO!$M$6:$M$105,MATCH(A93,CATALOGO!$A$6:$A$105,0))),E93,0))</f>
        <v/>
      </c>
      <c r="O93" s="14" t="str">
        <f>IF(K93&lt;&gt;"ELEGIBLE","",MAX(0,ROUNDUP(ROUND(M93*(INDEX(CATALOGO!$M$6:$M$105,MATCH(A93,CATALOGO!$A$6:$A$105,0))+CONFIG!$B$7)-L93-N93,10),0)))</f>
        <v/>
      </c>
      <c r="P93" s="14" t="str">
        <f>IF(O93="","",IF(O93=0,0,ROUNDUP(MAX(O93,INDEX(CATALOGO!$N$6:$N$105,MATCH(A93,CATALOGO!$A$6:$A$105,0)))/INDEX(CATALOGO!$O$6:$O$105,MATCH(A93,CATALOGO!$A$6:$A$105,0)),0)*INDEX(CATALOGO!$O$6:$O$105,MATCH(A93,CATALOGO!$A$6:$A$105,0))))</f>
        <v/>
      </c>
      <c r="Q93" s="11" t="str">
        <f>IFERROR(IF(OR(A93="",COUNTIF(CATALOGO!$A$6:$A$105,A93)&lt;&gt;1),"",IF(OR(INDEX(CATALOGO!$H$6:$H$105,MATCH(A93,CATALOGO!$A$6:$A$105,0))="",INDEX(CATALOGO!$I$6:$I$105,MATCH(A93,CATALOGO!$A$6:$A$105,0))="",ABS(INDEX(CATALOGO!$H$6:$H$105,MATCH(A93,CATALOGO!$A$6:$A$105,0)))&gt;1000000000,ABS(INDEX(CATALOGO!$I$6:$I$105,MATCH(A93,CATALOGO!$A$6:$A$105,0)))&gt;1000000000),"",INDEX(CATALOGO!$H$6:$H$105,MATCH(A93,CATALOGO!$A$6:$A$105,0))+INDEX(CATALOGO!$I$6:$I$105,MATCH(A93,CATALOGO!$A$6:$A$105,0)))),"")</f>
        <v/>
      </c>
      <c r="R93" s="9" t="str">
        <f>IF(OR(A93="",I93="",COUNTIF(CATALOGO!$A$6:$A$105,A93)&lt;&gt;1),"",IF(I93=0,0,IF(OR(Q93="",INDEX(CATALOGO!$N$6:$N$105,MATCH(A93,CATALOGO!$A$6:$A$105,0))="",INDEX(CATALOGO!$O$6:$O$105,MATCH(A93,CATALOGO!$A$6:$A$105,0))="",INDEX(CATALOGO!$O$6:$O$105,MATCH(A93,CATALOGO!$A$6:$A$105,0))&lt;=0),"",IF(OR(I93&lt;INDEX(CATALOGO!$N$6:$N$105,MATCH(A93,CATALOGO!$A$6:$A$105,0)),MOD(I93,INDEX(CATALOGO!$O$6:$O$105,MATCH(A93,CATALOGO!$A$6:$A$105,0)))&lt;&gt;0,J93="",J93&lt;=CONFIG!$B$5,J93&gt;CONFIG!$B$5+91),"",I93*Q93))))</f>
        <v/>
      </c>
      <c r="S93" s="12" t="str">
        <f>IF(A93="","",IF(COUNTIF(CATALOGO!$A$6:$A$105,A93)&lt;&gt;1,"SKU NO VALIDO",IF(I93="","CANTIDAD DESCONOCIDA",IF(I93=0,"SIN COMPRA ELEGIDA",IF(OR(I93&lt;0,I93&gt;1000000),"CANTIDAD INVALIDA",IF(OR(INDEX(CATALOGO!$N$6:$N$105,MATCH(A93,CATALOGO!$A$6:$A$105,0))="",INDEX(CATALOGO!$O$6:$O$105,MATCH(A93,CATALOGO!$A$6:$A$105,0))="",INDEX(CATALOGO!$O$6:$O$105,MATCH(A93,CATALOGO!$A$6:$A$105,0))&lt;=0),"CATALOGO A REVISAR",IF(OR(I93&lt;INDEX(CATALOGO!$N$6:$N$105,MATCH(A93,CATALOGO!$A$6:$A$105,0)),MOD(I93,INDEX(CATALOGO!$O$6:$O$105,MATCH(A93,CATALOGO!$A$6:$A$105,0)))&lt;&gt;0),"NO RESPETA MOQ/PACK",IF(J93="","FALTA FECHA PAGO",IF(Q93="","COSTO DESCONOCIDO",IF(OR(J93&lt;=CONFIG!$B$5,J93&gt;CONFIG!$B$5+91),"FUERA DE 91 DIAS",IF(AND(P93&lt;&gt;"",I93&gt;P93),"EN MODELO · SUPERA PROPUESTA","EN MODELO")))))))))))</f>
        <v/>
      </c>
    </row>
    <row r="94" spans="1:19" x14ac:dyDescent="0.45">
      <c r="A94" s="8"/>
      <c r="B94" s="4"/>
      <c r="C94" s="5"/>
      <c r="D94" s="5"/>
      <c r="E94" s="5"/>
      <c r="F94" s="4"/>
      <c r="G94" s="8"/>
      <c r="H94" s="5"/>
      <c r="I94" s="5"/>
      <c r="J94" s="4"/>
      <c r="K94" s="12" t="str">
        <f>IFERROR(IF(A94="","",IF(COUNTIF($A$6:$A$105,A94)&gt;1,"DUPLICADO STOCK",IF(COUNTIF(CATALOGO!$A$6:$A$105,A94)&lt;&gt;1,"SKU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INVALIDA",IF(INDEX(CATALOGO!$F$6:$F$105,MATCH(A94,CATALOGO!$A$6:$A$105,0))&lt;&gt;"ACTIVO",INDEX(CATALOGO!$F$6:$F$105,MATCH(A94,CATALOGO!$A$6:$A$105,0)),IF(OR(B94="",B94&lt;&gt;CONFIG!$B$5),"CONTEO NO VIGENTE",IF(OR(C94="",D94="",E94="",H94=""),"FALTA CAMPO",IF(OR(C94&lt;0,C94&gt;1000000,D94&lt;0,D94&gt;1000000,E94&lt;0,E94&gt;1000000,D94&gt;C94),"REVISAR VALOR",IF(H94&gt;CONFIG!$B$6,"EXPOSICION FUERA DE RANGO",IF(H94&lt;&gt;CONFIG!$B$6,"DISPONIBILIDAD INCOMPLETA",IF(CONFIG!$B$14&lt;&gt;"SI","VENTAS INCOMPLETAS",IF(CONFIG!$B$12&lt;&gt;"SI","POLITICA SIN REVISAR",IF(SUMPRODUCT(--(VENTAS!$B$6:$B$1005=A94),--(VENTAS!$A$6:$A$1005&gt;=CONFIG!$B$5-CONFIG!$B$6+1),--(VENTAS!$A$6:$A$1005&lt;=CONFIG!$B$5),--(VENTAS!$I$6:$I$1005&lt;&gt;""),--(VENTAS!$I$6:$I$1005&lt;&gt;"OK"))&gt;0,"VENTAS A REVISAR",IF(AND(E94&gt;0,OR(F94="",G94&lt;&gt;"SI")),"TRANSITO SIN CONFIRMAR",IF(AND(E94&gt;0,G94="SI",OR(F94&lt;=CONFIG!$B$5,F94&gt;CONFIG!$B$5+INDEX(CATALOGO!$M$6:$M$105,MATCH(A94,CATALOGO!$A$6:$A$105,0)))),"TRANSITO FUERA DEL PLAZO",IF(INDEX(CATALOGO!$T$6:$T$105,MATCH(A94,CATALOGO!$A$6:$A$105,0))&lt;&gt;"OK","CATALOGO A REVISAR",IF(1-INDEX(CATALOGO!$K$6:$K$105,MATCH(A94,CATALOGO!$A$6:$A$105,0))-CONFIG!$B$8&lt;=0,"MARGEN OBJETIVO INVIABLE",IF(INDEX(CATALOGO!$R$6:$R$105,MATCH(A94,CATALOGO!$A$6:$A$105,0))&lt;CONFIG!$B$8,"REVISAR PRECIO O COSTO","ELEGIBLE")))))))))))))))))),"CONFIG INVALIDA")</f>
        <v/>
      </c>
      <c r="L94" s="13" t="str">
        <f t="shared" si="2"/>
        <v/>
      </c>
      <c r="M94" s="12" t="str">
        <f>IFERROR(IF(OR(A94="",CONFIG!$B$14&lt;&gt;"SI",CONFIG!$B$6&lt;1,CONFIG!$B$6&gt;365,CONFIG!$B$6&lt;&gt;INT(CONFIG!$B$6),SUMPRODUCT(--(VENTAS!$B$6:$B$1005=A94),--(VENTAS!$A$6:$A$1005&gt;=CONFIG!$B$5-CONFIG!$B$6+1),--(VENTAS!$A$6:$A$1005&lt;=CONFIG!$B$5),--(VENTAS!$I$6:$I$1005&lt;&gt;""),--(VENTAS!$I$6:$I$1005&lt;&gt;"OK"))&gt;0),"",MAX(0,(SUMIFS(VENTAS!$C$6:$C$1005,VENTAS!$B$6:$B$1005,A94,VENTAS!$A$6:$A$1005,"&gt;="&amp;CONFIG!$B$5-CONFIG!$B$6+1,VENTAS!$A$6:$A$1005,"&lt;="&amp;CONFIG!$B$5)-SUMIFS(VENTAS!$E$6:$E$1005,VENTAS!$B$6:$B$1005,A94,VENTAS!$A$6:$A$1005,"&gt;="&amp;CONFIG!$B$5-CONFIG!$B$6+1,VENTAS!$A$6:$A$1005,"&lt;="&amp;CONFIG!$B$5))/CONFIG!$B$6)),"")</f>
        <v/>
      </c>
      <c r="N94" s="14" t="str">
        <f>IF(K94&lt;&gt;"ELEGIBLE","",IF(AND(E94&gt;0,G94="SI",F94&gt;CONFIG!$B$5,F94&lt;=CONFIG!$B$5+INDEX(CATALOGO!$M$6:$M$105,MATCH(A94,CATALOGO!$A$6:$A$105,0))),E94,0))</f>
        <v/>
      </c>
      <c r="O94" s="14" t="str">
        <f>IF(K94&lt;&gt;"ELEGIBLE","",MAX(0,ROUNDUP(ROUND(M94*(INDEX(CATALOGO!$M$6:$M$105,MATCH(A94,CATALOGO!$A$6:$A$105,0))+CONFIG!$B$7)-L94-N94,10),0)))</f>
        <v/>
      </c>
      <c r="P94" s="14" t="str">
        <f>IF(O94="","",IF(O94=0,0,ROUNDUP(MAX(O94,INDEX(CATALOGO!$N$6:$N$105,MATCH(A94,CATALOGO!$A$6:$A$105,0)))/INDEX(CATALOGO!$O$6:$O$105,MATCH(A94,CATALOGO!$A$6:$A$105,0)),0)*INDEX(CATALOGO!$O$6:$O$105,MATCH(A94,CATALOGO!$A$6:$A$105,0))))</f>
        <v/>
      </c>
      <c r="Q94" s="11" t="str">
        <f>IFERROR(IF(OR(A94="",COUNTIF(CATALOGO!$A$6:$A$105,A94)&lt;&gt;1),"",IF(OR(INDEX(CATALOGO!$H$6:$H$105,MATCH(A94,CATALOGO!$A$6:$A$105,0))="",INDEX(CATALOGO!$I$6:$I$105,MATCH(A94,CATALOGO!$A$6:$A$105,0))="",ABS(INDEX(CATALOGO!$H$6:$H$105,MATCH(A94,CATALOGO!$A$6:$A$105,0)))&gt;1000000000,ABS(INDEX(CATALOGO!$I$6:$I$105,MATCH(A94,CATALOGO!$A$6:$A$105,0)))&gt;1000000000),"",INDEX(CATALOGO!$H$6:$H$105,MATCH(A94,CATALOGO!$A$6:$A$105,0))+INDEX(CATALOGO!$I$6:$I$105,MATCH(A94,CATALOGO!$A$6:$A$105,0)))),"")</f>
        <v/>
      </c>
      <c r="R94" s="9" t="str">
        <f>IF(OR(A94="",I94="",COUNTIF(CATALOGO!$A$6:$A$105,A94)&lt;&gt;1),"",IF(I94=0,0,IF(OR(Q94="",INDEX(CATALOGO!$N$6:$N$105,MATCH(A94,CATALOGO!$A$6:$A$105,0))="",INDEX(CATALOGO!$O$6:$O$105,MATCH(A94,CATALOGO!$A$6:$A$105,0))="",INDEX(CATALOGO!$O$6:$O$105,MATCH(A94,CATALOGO!$A$6:$A$105,0))&lt;=0),"",IF(OR(I94&lt;INDEX(CATALOGO!$N$6:$N$105,MATCH(A94,CATALOGO!$A$6:$A$105,0)),MOD(I94,INDEX(CATALOGO!$O$6:$O$105,MATCH(A94,CATALOGO!$A$6:$A$105,0)))&lt;&gt;0,J94="",J94&lt;=CONFIG!$B$5,J94&gt;CONFIG!$B$5+91),"",I94*Q94))))</f>
        <v/>
      </c>
      <c r="S94" s="12" t="str">
        <f>IF(A94="","",IF(COUNTIF(CATALOGO!$A$6:$A$105,A94)&lt;&gt;1,"SKU NO VALIDO",IF(I94="","CANTIDAD DESCONOCIDA",IF(I94=0,"SIN COMPRA ELEGIDA",IF(OR(I94&lt;0,I94&gt;1000000),"CANTIDAD INVALIDA",IF(OR(INDEX(CATALOGO!$N$6:$N$105,MATCH(A94,CATALOGO!$A$6:$A$105,0))="",INDEX(CATALOGO!$O$6:$O$105,MATCH(A94,CATALOGO!$A$6:$A$105,0))="",INDEX(CATALOGO!$O$6:$O$105,MATCH(A94,CATALOGO!$A$6:$A$105,0))&lt;=0),"CATALOGO A REVISAR",IF(OR(I94&lt;INDEX(CATALOGO!$N$6:$N$105,MATCH(A94,CATALOGO!$A$6:$A$105,0)),MOD(I94,INDEX(CATALOGO!$O$6:$O$105,MATCH(A94,CATALOGO!$A$6:$A$105,0)))&lt;&gt;0),"NO RESPETA MOQ/PACK",IF(J94="","FALTA FECHA PAGO",IF(Q94="","COSTO DESCONOCIDO",IF(OR(J94&lt;=CONFIG!$B$5,J94&gt;CONFIG!$B$5+91),"FUERA DE 91 DIAS",IF(AND(P94&lt;&gt;"",I94&gt;P94),"EN MODELO · SUPERA PROPUESTA","EN MODELO")))))))))))</f>
        <v/>
      </c>
    </row>
    <row r="95" spans="1:19" x14ac:dyDescent="0.45">
      <c r="A95" s="8"/>
      <c r="B95" s="4"/>
      <c r="C95" s="5"/>
      <c r="D95" s="5"/>
      <c r="E95" s="5"/>
      <c r="F95" s="4"/>
      <c r="G95" s="8"/>
      <c r="H95" s="5"/>
      <c r="I95" s="5"/>
      <c r="J95" s="4"/>
      <c r="K95" s="12" t="str">
        <f>IFERROR(IF(A95="","",IF(COUNTIF($A$6:$A$105,A95)&gt;1,"DUPLICADO STOCK",IF(COUNTIF(CATALOGO!$A$6:$A$105,A95)&lt;&gt;1,"SKU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INVALIDA",IF(INDEX(CATALOGO!$F$6:$F$105,MATCH(A95,CATALOGO!$A$6:$A$105,0))&lt;&gt;"ACTIVO",INDEX(CATALOGO!$F$6:$F$105,MATCH(A95,CATALOGO!$A$6:$A$105,0)),IF(OR(B95="",B95&lt;&gt;CONFIG!$B$5),"CONTEO NO VIGENTE",IF(OR(C95="",D95="",E95="",H95=""),"FALTA CAMPO",IF(OR(C95&lt;0,C95&gt;1000000,D95&lt;0,D95&gt;1000000,E95&lt;0,E95&gt;1000000,D95&gt;C95),"REVISAR VALOR",IF(H95&gt;CONFIG!$B$6,"EXPOSICION FUERA DE RANGO",IF(H95&lt;&gt;CONFIG!$B$6,"DISPONIBILIDAD INCOMPLETA",IF(CONFIG!$B$14&lt;&gt;"SI","VENTAS INCOMPLETAS",IF(CONFIG!$B$12&lt;&gt;"SI","POLITICA SIN REVISAR",IF(SUMPRODUCT(--(VENTAS!$B$6:$B$1005=A95),--(VENTAS!$A$6:$A$1005&gt;=CONFIG!$B$5-CONFIG!$B$6+1),--(VENTAS!$A$6:$A$1005&lt;=CONFIG!$B$5),--(VENTAS!$I$6:$I$1005&lt;&gt;""),--(VENTAS!$I$6:$I$1005&lt;&gt;"OK"))&gt;0,"VENTAS A REVISAR",IF(AND(E95&gt;0,OR(F95="",G95&lt;&gt;"SI")),"TRANSITO SIN CONFIRMAR",IF(AND(E95&gt;0,G95="SI",OR(F95&lt;=CONFIG!$B$5,F95&gt;CONFIG!$B$5+INDEX(CATALOGO!$M$6:$M$105,MATCH(A95,CATALOGO!$A$6:$A$105,0)))),"TRANSITO FUERA DEL PLAZO",IF(INDEX(CATALOGO!$T$6:$T$105,MATCH(A95,CATALOGO!$A$6:$A$105,0))&lt;&gt;"OK","CATALOGO A REVISAR",IF(1-INDEX(CATALOGO!$K$6:$K$105,MATCH(A95,CATALOGO!$A$6:$A$105,0))-CONFIG!$B$8&lt;=0,"MARGEN OBJETIVO INVIABLE",IF(INDEX(CATALOGO!$R$6:$R$105,MATCH(A95,CATALOGO!$A$6:$A$105,0))&lt;CONFIG!$B$8,"REVISAR PRECIO O COSTO","ELEGIBLE")))))))))))))))))),"CONFIG INVALIDA")</f>
        <v/>
      </c>
      <c r="L95" s="13" t="str">
        <f t="shared" si="2"/>
        <v/>
      </c>
      <c r="M95" s="12" t="str">
        <f>IFERROR(IF(OR(A95="",CONFIG!$B$14&lt;&gt;"SI",CONFIG!$B$6&lt;1,CONFIG!$B$6&gt;365,CONFIG!$B$6&lt;&gt;INT(CONFIG!$B$6),SUMPRODUCT(--(VENTAS!$B$6:$B$1005=A95),--(VENTAS!$A$6:$A$1005&gt;=CONFIG!$B$5-CONFIG!$B$6+1),--(VENTAS!$A$6:$A$1005&lt;=CONFIG!$B$5),--(VENTAS!$I$6:$I$1005&lt;&gt;""),--(VENTAS!$I$6:$I$1005&lt;&gt;"OK"))&gt;0),"",MAX(0,(SUMIFS(VENTAS!$C$6:$C$1005,VENTAS!$B$6:$B$1005,A95,VENTAS!$A$6:$A$1005,"&gt;="&amp;CONFIG!$B$5-CONFIG!$B$6+1,VENTAS!$A$6:$A$1005,"&lt;="&amp;CONFIG!$B$5)-SUMIFS(VENTAS!$E$6:$E$1005,VENTAS!$B$6:$B$1005,A95,VENTAS!$A$6:$A$1005,"&gt;="&amp;CONFIG!$B$5-CONFIG!$B$6+1,VENTAS!$A$6:$A$1005,"&lt;="&amp;CONFIG!$B$5))/CONFIG!$B$6)),"")</f>
        <v/>
      </c>
      <c r="N95" s="14" t="str">
        <f>IF(K95&lt;&gt;"ELEGIBLE","",IF(AND(E95&gt;0,G95="SI",F95&gt;CONFIG!$B$5,F95&lt;=CONFIG!$B$5+INDEX(CATALOGO!$M$6:$M$105,MATCH(A95,CATALOGO!$A$6:$A$105,0))),E95,0))</f>
        <v/>
      </c>
      <c r="O95" s="14" t="str">
        <f>IF(K95&lt;&gt;"ELEGIBLE","",MAX(0,ROUNDUP(ROUND(M95*(INDEX(CATALOGO!$M$6:$M$105,MATCH(A95,CATALOGO!$A$6:$A$105,0))+CONFIG!$B$7)-L95-N95,10),0)))</f>
        <v/>
      </c>
      <c r="P95" s="14" t="str">
        <f>IF(O95="","",IF(O95=0,0,ROUNDUP(MAX(O95,INDEX(CATALOGO!$N$6:$N$105,MATCH(A95,CATALOGO!$A$6:$A$105,0)))/INDEX(CATALOGO!$O$6:$O$105,MATCH(A95,CATALOGO!$A$6:$A$105,0)),0)*INDEX(CATALOGO!$O$6:$O$105,MATCH(A95,CATALOGO!$A$6:$A$105,0))))</f>
        <v/>
      </c>
      <c r="Q95" s="11" t="str">
        <f>IFERROR(IF(OR(A95="",COUNTIF(CATALOGO!$A$6:$A$105,A95)&lt;&gt;1),"",IF(OR(INDEX(CATALOGO!$H$6:$H$105,MATCH(A95,CATALOGO!$A$6:$A$105,0))="",INDEX(CATALOGO!$I$6:$I$105,MATCH(A95,CATALOGO!$A$6:$A$105,0))="",ABS(INDEX(CATALOGO!$H$6:$H$105,MATCH(A95,CATALOGO!$A$6:$A$105,0)))&gt;1000000000,ABS(INDEX(CATALOGO!$I$6:$I$105,MATCH(A95,CATALOGO!$A$6:$A$105,0)))&gt;1000000000),"",INDEX(CATALOGO!$H$6:$H$105,MATCH(A95,CATALOGO!$A$6:$A$105,0))+INDEX(CATALOGO!$I$6:$I$105,MATCH(A95,CATALOGO!$A$6:$A$105,0)))),"")</f>
        <v/>
      </c>
      <c r="R95" s="9" t="str">
        <f>IF(OR(A95="",I95="",COUNTIF(CATALOGO!$A$6:$A$105,A95)&lt;&gt;1),"",IF(I95=0,0,IF(OR(Q95="",INDEX(CATALOGO!$N$6:$N$105,MATCH(A95,CATALOGO!$A$6:$A$105,0))="",INDEX(CATALOGO!$O$6:$O$105,MATCH(A95,CATALOGO!$A$6:$A$105,0))="",INDEX(CATALOGO!$O$6:$O$105,MATCH(A95,CATALOGO!$A$6:$A$105,0))&lt;=0),"",IF(OR(I95&lt;INDEX(CATALOGO!$N$6:$N$105,MATCH(A95,CATALOGO!$A$6:$A$105,0)),MOD(I95,INDEX(CATALOGO!$O$6:$O$105,MATCH(A95,CATALOGO!$A$6:$A$105,0)))&lt;&gt;0,J95="",J95&lt;=CONFIG!$B$5,J95&gt;CONFIG!$B$5+91),"",I95*Q95))))</f>
        <v/>
      </c>
      <c r="S95" s="12" t="str">
        <f>IF(A95="","",IF(COUNTIF(CATALOGO!$A$6:$A$105,A95)&lt;&gt;1,"SKU NO VALIDO",IF(I95="","CANTIDAD DESCONOCIDA",IF(I95=0,"SIN COMPRA ELEGIDA",IF(OR(I95&lt;0,I95&gt;1000000),"CANTIDAD INVALIDA",IF(OR(INDEX(CATALOGO!$N$6:$N$105,MATCH(A95,CATALOGO!$A$6:$A$105,0))="",INDEX(CATALOGO!$O$6:$O$105,MATCH(A95,CATALOGO!$A$6:$A$105,0))="",INDEX(CATALOGO!$O$6:$O$105,MATCH(A95,CATALOGO!$A$6:$A$105,0))&lt;=0),"CATALOGO A REVISAR",IF(OR(I95&lt;INDEX(CATALOGO!$N$6:$N$105,MATCH(A95,CATALOGO!$A$6:$A$105,0)),MOD(I95,INDEX(CATALOGO!$O$6:$O$105,MATCH(A95,CATALOGO!$A$6:$A$105,0)))&lt;&gt;0),"NO RESPETA MOQ/PACK",IF(J95="","FALTA FECHA PAGO",IF(Q95="","COSTO DESCONOCIDO",IF(OR(J95&lt;=CONFIG!$B$5,J95&gt;CONFIG!$B$5+91),"FUERA DE 91 DIAS",IF(AND(P95&lt;&gt;"",I95&gt;P95),"EN MODELO · SUPERA PROPUESTA","EN MODELO")))))))))))</f>
        <v/>
      </c>
    </row>
    <row r="96" spans="1:19" x14ac:dyDescent="0.45">
      <c r="A96" s="8"/>
      <c r="B96" s="4"/>
      <c r="C96" s="5"/>
      <c r="D96" s="5"/>
      <c r="E96" s="5"/>
      <c r="F96" s="4"/>
      <c r="G96" s="8"/>
      <c r="H96" s="5"/>
      <c r="I96" s="5"/>
      <c r="J96" s="4"/>
      <c r="K96" s="12" t="str">
        <f>IFERROR(IF(A96="","",IF(COUNTIF($A$6:$A$105,A96)&gt;1,"DUPLICADO STOCK",IF(COUNTIF(CATALOGO!$A$6:$A$105,A96)&lt;&gt;1,"SKU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INVALIDA",IF(INDEX(CATALOGO!$F$6:$F$105,MATCH(A96,CATALOGO!$A$6:$A$105,0))&lt;&gt;"ACTIVO",INDEX(CATALOGO!$F$6:$F$105,MATCH(A96,CATALOGO!$A$6:$A$105,0)),IF(OR(B96="",B96&lt;&gt;CONFIG!$B$5),"CONTEO NO VIGENTE",IF(OR(C96="",D96="",E96="",H96=""),"FALTA CAMPO",IF(OR(C96&lt;0,C96&gt;1000000,D96&lt;0,D96&gt;1000000,E96&lt;0,E96&gt;1000000,D96&gt;C96),"REVISAR VALOR",IF(H96&gt;CONFIG!$B$6,"EXPOSICION FUERA DE RANGO",IF(H96&lt;&gt;CONFIG!$B$6,"DISPONIBILIDAD INCOMPLETA",IF(CONFIG!$B$14&lt;&gt;"SI","VENTAS INCOMPLETAS",IF(CONFIG!$B$12&lt;&gt;"SI","POLITICA SIN REVISAR",IF(SUMPRODUCT(--(VENTAS!$B$6:$B$1005=A96),--(VENTAS!$A$6:$A$1005&gt;=CONFIG!$B$5-CONFIG!$B$6+1),--(VENTAS!$A$6:$A$1005&lt;=CONFIG!$B$5),--(VENTAS!$I$6:$I$1005&lt;&gt;""),--(VENTAS!$I$6:$I$1005&lt;&gt;"OK"))&gt;0,"VENTAS A REVISAR",IF(AND(E96&gt;0,OR(F96="",G96&lt;&gt;"SI")),"TRANSITO SIN CONFIRMAR",IF(AND(E96&gt;0,G96="SI",OR(F96&lt;=CONFIG!$B$5,F96&gt;CONFIG!$B$5+INDEX(CATALOGO!$M$6:$M$105,MATCH(A96,CATALOGO!$A$6:$A$105,0)))),"TRANSITO FUERA DEL PLAZO",IF(INDEX(CATALOGO!$T$6:$T$105,MATCH(A96,CATALOGO!$A$6:$A$105,0))&lt;&gt;"OK","CATALOGO A REVISAR",IF(1-INDEX(CATALOGO!$K$6:$K$105,MATCH(A96,CATALOGO!$A$6:$A$105,0))-CONFIG!$B$8&lt;=0,"MARGEN OBJETIVO INVIABLE",IF(INDEX(CATALOGO!$R$6:$R$105,MATCH(A96,CATALOGO!$A$6:$A$105,0))&lt;CONFIG!$B$8,"REVISAR PRECIO O COSTO","ELEGIBLE")))))))))))))))))),"CONFIG INVALIDA")</f>
        <v/>
      </c>
      <c r="L96" s="13" t="str">
        <f t="shared" si="2"/>
        <v/>
      </c>
      <c r="M96" s="12" t="str">
        <f>IFERROR(IF(OR(A96="",CONFIG!$B$14&lt;&gt;"SI",CONFIG!$B$6&lt;1,CONFIG!$B$6&gt;365,CONFIG!$B$6&lt;&gt;INT(CONFIG!$B$6),SUMPRODUCT(--(VENTAS!$B$6:$B$1005=A96),--(VENTAS!$A$6:$A$1005&gt;=CONFIG!$B$5-CONFIG!$B$6+1),--(VENTAS!$A$6:$A$1005&lt;=CONFIG!$B$5),--(VENTAS!$I$6:$I$1005&lt;&gt;""),--(VENTAS!$I$6:$I$1005&lt;&gt;"OK"))&gt;0),"",MAX(0,(SUMIFS(VENTAS!$C$6:$C$1005,VENTAS!$B$6:$B$1005,A96,VENTAS!$A$6:$A$1005,"&gt;="&amp;CONFIG!$B$5-CONFIG!$B$6+1,VENTAS!$A$6:$A$1005,"&lt;="&amp;CONFIG!$B$5)-SUMIFS(VENTAS!$E$6:$E$1005,VENTAS!$B$6:$B$1005,A96,VENTAS!$A$6:$A$1005,"&gt;="&amp;CONFIG!$B$5-CONFIG!$B$6+1,VENTAS!$A$6:$A$1005,"&lt;="&amp;CONFIG!$B$5))/CONFIG!$B$6)),"")</f>
        <v/>
      </c>
      <c r="N96" s="14" t="str">
        <f>IF(K96&lt;&gt;"ELEGIBLE","",IF(AND(E96&gt;0,G96="SI",F96&gt;CONFIG!$B$5,F96&lt;=CONFIG!$B$5+INDEX(CATALOGO!$M$6:$M$105,MATCH(A96,CATALOGO!$A$6:$A$105,0))),E96,0))</f>
        <v/>
      </c>
      <c r="O96" s="14" t="str">
        <f>IF(K96&lt;&gt;"ELEGIBLE","",MAX(0,ROUNDUP(ROUND(M96*(INDEX(CATALOGO!$M$6:$M$105,MATCH(A96,CATALOGO!$A$6:$A$105,0))+CONFIG!$B$7)-L96-N96,10),0)))</f>
        <v/>
      </c>
      <c r="P96" s="14" t="str">
        <f>IF(O96="","",IF(O96=0,0,ROUNDUP(MAX(O96,INDEX(CATALOGO!$N$6:$N$105,MATCH(A96,CATALOGO!$A$6:$A$105,0)))/INDEX(CATALOGO!$O$6:$O$105,MATCH(A96,CATALOGO!$A$6:$A$105,0)),0)*INDEX(CATALOGO!$O$6:$O$105,MATCH(A96,CATALOGO!$A$6:$A$105,0))))</f>
        <v/>
      </c>
      <c r="Q96" s="11" t="str">
        <f>IFERROR(IF(OR(A96="",COUNTIF(CATALOGO!$A$6:$A$105,A96)&lt;&gt;1),"",IF(OR(INDEX(CATALOGO!$H$6:$H$105,MATCH(A96,CATALOGO!$A$6:$A$105,0))="",INDEX(CATALOGO!$I$6:$I$105,MATCH(A96,CATALOGO!$A$6:$A$105,0))="",ABS(INDEX(CATALOGO!$H$6:$H$105,MATCH(A96,CATALOGO!$A$6:$A$105,0)))&gt;1000000000,ABS(INDEX(CATALOGO!$I$6:$I$105,MATCH(A96,CATALOGO!$A$6:$A$105,0)))&gt;1000000000),"",INDEX(CATALOGO!$H$6:$H$105,MATCH(A96,CATALOGO!$A$6:$A$105,0))+INDEX(CATALOGO!$I$6:$I$105,MATCH(A96,CATALOGO!$A$6:$A$105,0)))),"")</f>
        <v/>
      </c>
      <c r="R96" s="9" t="str">
        <f>IF(OR(A96="",I96="",COUNTIF(CATALOGO!$A$6:$A$105,A96)&lt;&gt;1),"",IF(I96=0,0,IF(OR(Q96="",INDEX(CATALOGO!$N$6:$N$105,MATCH(A96,CATALOGO!$A$6:$A$105,0))="",INDEX(CATALOGO!$O$6:$O$105,MATCH(A96,CATALOGO!$A$6:$A$105,0))="",INDEX(CATALOGO!$O$6:$O$105,MATCH(A96,CATALOGO!$A$6:$A$105,0))&lt;=0),"",IF(OR(I96&lt;INDEX(CATALOGO!$N$6:$N$105,MATCH(A96,CATALOGO!$A$6:$A$105,0)),MOD(I96,INDEX(CATALOGO!$O$6:$O$105,MATCH(A96,CATALOGO!$A$6:$A$105,0)))&lt;&gt;0,J96="",J96&lt;=CONFIG!$B$5,J96&gt;CONFIG!$B$5+91),"",I96*Q96))))</f>
        <v/>
      </c>
      <c r="S96" s="12" t="str">
        <f>IF(A96="","",IF(COUNTIF(CATALOGO!$A$6:$A$105,A96)&lt;&gt;1,"SKU NO VALIDO",IF(I96="","CANTIDAD DESCONOCIDA",IF(I96=0,"SIN COMPRA ELEGIDA",IF(OR(I96&lt;0,I96&gt;1000000),"CANTIDAD INVALIDA",IF(OR(INDEX(CATALOGO!$N$6:$N$105,MATCH(A96,CATALOGO!$A$6:$A$105,0))="",INDEX(CATALOGO!$O$6:$O$105,MATCH(A96,CATALOGO!$A$6:$A$105,0))="",INDEX(CATALOGO!$O$6:$O$105,MATCH(A96,CATALOGO!$A$6:$A$105,0))&lt;=0),"CATALOGO A REVISAR",IF(OR(I96&lt;INDEX(CATALOGO!$N$6:$N$105,MATCH(A96,CATALOGO!$A$6:$A$105,0)),MOD(I96,INDEX(CATALOGO!$O$6:$O$105,MATCH(A96,CATALOGO!$A$6:$A$105,0)))&lt;&gt;0),"NO RESPETA MOQ/PACK",IF(J96="","FALTA FECHA PAGO",IF(Q96="","COSTO DESCONOCIDO",IF(OR(J96&lt;=CONFIG!$B$5,J96&gt;CONFIG!$B$5+91),"FUERA DE 91 DIAS",IF(AND(P96&lt;&gt;"",I96&gt;P96),"EN MODELO · SUPERA PROPUESTA","EN MODELO")))))))))))</f>
        <v/>
      </c>
    </row>
    <row r="97" spans="1:19" x14ac:dyDescent="0.45">
      <c r="A97" s="8"/>
      <c r="B97" s="4"/>
      <c r="C97" s="5"/>
      <c r="D97" s="5"/>
      <c r="E97" s="5"/>
      <c r="F97" s="4"/>
      <c r="G97" s="8"/>
      <c r="H97" s="5"/>
      <c r="I97" s="5"/>
      <c r="J97" s="4"/>
      <c r="K97" s="12" t="str">
        <f>IFERROR(IF(A97="","",IF(COUNTIF($A$6:$A$105,A97)&gt;1,"DUPLICADO STOCK",IF(COUNTIF(CATALOGO!$A$6:$A$105,A97)&lt;&gt;1,"SKU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INVALIDA",IF(INDEX(CATALOGO!$F$6:$F$105,MATCH(A97,CATALOGO!$A$6:$A$105,0))&lt;&gt;"ACTIVO",INDEX(CATALOGO!$F$6:$F$105,MATCH(A97,CATALOGO!$A$6:$A$105,0)),IF(OR(B97="",B97&lt;&gt;CONFIG!$B$5),"CONTEO NO VIGENTE",IF(OR(C97="",D97="",E97="",H97=""),"FALTA CAMPO",IF(OR(C97&lt;0,C97&gt;1000000,D97&lt;0,D97&gt;1000000,E97&lt;0,E97&gt;1000000,D97&gt;C97),"REVISAR VALOR",IF(H97&gt;CONFIG!$B$6,"EXPOSICION FUERA DE RANGO",IF(H97&lt;&gt;CONFIG!$B$6,"DISPONIBILIDAD INCOMPLETA",IF(CONFIG!$B$14&lt;&gt;"SI","VENTAS INCOMPLETAS",IF(CONFIG!$B$12&lt;&gt;"SI","POLITICA SIN REVISAR",IF(SUMPRODUCT(--(VENTAS!$B$6:$B$1005=A97),--(VENTAS!$A$6:$A$1005&gt;=CONFIG!$B$5-CONFIG!$B$6+1),--(VENTAS!$A$6:$A$1005&lt;=CONFIG!$B$5),--(VENTAS!$I$6:$I$1005&lt;&gt;""),--(VENTAS!$I$6:$I$1005&lt;&gt;"OK"))&gt;0,"VENTAS A REVISAR",IF(AND(E97&gt;0,OR(F97="",G97&lt;&gt;"SI")),"TRANSITO SIN CONFIRMAR",IF(AND(E97&gt;0,G97="SI",OR(F97&lt;=CONFIG!$B$5,F97&gt;CONFIG!$B$5+INDEX(CATALOGO!$M$6:$M$105,MATCH(A97,CATALOGO!$A$6:$A$105,0)))),"TRANSITO FUERA DEL PLAZO",IF(INDEX(CATALOGO!$T$6:$T$105,MATCH(A97,CATALOGO!$A$6:$A$105,0))&lt;&gt;"OK","CATALOGO A REVISAR",IF(1-INDEX(CATALOGO!$K$6:$K$105,MATCH(A97,CATALOGO!$A$6:$A$105,0))-CONFIG!$B$8&lt;=0,"MARGEN OBJETIVO INVIABLE",IF(INDEX(CATALOGO!$R$6:$R$105,MATCH(A97,CATALOGO!$A$6:$A$105,0))&lt;CONFIG!$B$8,"REVISAR PRECIO O COSTO","ELEGIBLE")))))))))))))))))),"CONFIG INVALIDA")</f>
        <v/>
      </c>
      <c r="L97" s="13" t="str">
        <f t="shared" si="2"/>
        <v/>
      </c>
      <c r="M97" s="12" t="str">
        <f>IFERROR(IF(OR(A97="",CONFIG!$B$14&lt;&gt;"SI",CONFIG!$B$6&lt;1,CONFIG!$B$6&gt;365,CONFIG!$B$6&lt;&gt;INT(CONFIG!$B$6),SUMPRODUCT(--(VENTAS!$B$6:$B$1005=A97),--(VENTAS!$A$6:$A$1005&gt;=CONFIG!$B$5-CONFIG!$B$6+1),--(VENTAS!$A$6:$A$1005&lt;=CONFIG!$B$5),--(VENTAS!$I$6:$I$1005&lt;&gt;""),--(VENTAS!$I$6:$I$1005&lt;&gt;"OK"))&gt;0),"",MAX(0,(SUMIFS(VENTAS!$C$6:$C$1005,VENTAS!$B$6:$B$1005,A97,VENTAS!$A$6:$A$1005,"&gt;="&amp;CONFIG!$B$5-CONFIG!$B$6+1,VENTAS!$A$6:$A$1005,"&lt;="&amp;CONFIG!$B$5)-SUMIFS(VENTAS!$E$6:$E$1005,VENTAS!$B$6:$B$1005,A97,VENTAS!$A$6:$A$1005,"&gt;="&amp;CONFIG!$B$5-CONFIG!$B$6+1,VENTAS!$A$6:$A$1005,"&lt;="&amp;CONFIG!$B$5))/CONFIG!$B$6)),"")</f>
        <v/>
      </c>
      <c r="N97" s="14" t="str">
        <f>IF(K97&lt;&gt;"ELEGIBLE","",IF(AND(E97&gt;0,G97="SI",F97&gt;CONFIG!$B$5,F97&lt;=CONFIG!$B$5+INDEX(CATALOGO!$M$6:$M$105,MATCH(A97,CATALOGO!$A$6:$A$105,0))),E97,0))</f>
        <v/>
      </c>
      <c r="O97" s="14" t="str">
        <f>IF(K97&lt;&gt;"ELEGIBLE","",MAX(0,ROUNDUP(ROUND(M97*(INDEX(CATALOGO!$M$6:$M$105,MATCH(A97,CATALOGO!$A$6:$A$105,0))+CONFIG!$B$7)-L97-N97,10),0)))</f>
        <v/>
      </c>
      <c r="P97" s="14" t="str">
        <f>IF(O97="","",IF(O97=0,0,ROUNDUP(MAX(O97,INDEX(CATALOGO!$N$6:$N$105,MATCH(A97,CATALOGO!$A$6:$A$105,0)))/INDEX(CATALOGO!$O$6:$O$105,MATCH(A97,CATALOGO!$A$6:$A$105,0)),0)*INDEX(CATALOGO!$O$6:$O$105,MATCH(A97,CATALOGO!$A$6:$A$105,0))))</f>
        <v/>
      </c>
      <c r="Q97" s="11" t="str">
        <f>IFERROR(IF(OR(A97="",COUNTIF(CATALOGO!$A$6:$A$105,A97)&lt;&gt;1),"",IF(OR(INDEX(CATALOGO!$H$6:$H$105,MATCH(A97,CATALOGO!$A$6:$A$105,0))="",INDEX(CATALOGO!$I$6:$I$105,MATCH(A97,CATALOGO!$A$6:$A$105,0))="",ABS(INDEX(CATALOGO!$H$6:$H$105,MATCH(A97,CATALOGO!$A$6:$A$105,0)))&gt;1000000000,ABS(INDEX(CATALOGO!$I$6:$I$105,MATCH(A97,CATALOGO!$A$6:$A$105,0)))&gt;1000000000),"",INDEX(CATALOGO!$H$6:$H$105,MATCH(A97,CATALOGO!$A$6:$A$105,0))+INDEX(CATALOGO!$I$6:$I$105,MATCH(A97,CATALOGO!$A$6:$A$105,0)))),"")</f>
        <v/>
      </c>
      <c r="R97" s="9" t="str">
        <f>IF(OR(A97="",I97="",COUNTIF(CATALOGO!$A$6:$A$105,A97)&lt;&gt;1),"",IF(I97=0,0,IF(OR(Q97="",INDEX(CATALOGO!$N$6:$N$105,MATCH(A97,CATALOGO!$A$6:$A$105,0))="",INDEX(CATALOGO!$O$6:$O$105,MATCH(A97,CATALOGO!$A$6:$A$105,0))="",INDEX(CATALOGO!$O$6:$O$105,MATCH(A97,CATALOGO!$A$6:$A$105,0))&lt;=0),"",IF(OR(I97&lt;INDEX(CATALOGO!$N$6:$N$105,MATCH(A97,CATALOGO!$A$6:$A$105,0)),MOD(I97,INDEX(CATALOGO!$O$6:$O$105,MATCH(A97,CATALOGO!$A$6:$A$105,0)))&lt;&gt;0,J97="",J97&lt;=CONFIG!$B$5,J97&gt;CONFIG!$B$5+91),"",I97*Q97))))</f>
        <v/>
      </c>
      <c r="S97" s="12" t="str">
        <f>IF(A97="","",IF(COUNTIF(CATALOGO!$A$6:$A$105,A97)&lt;&gt;1,"SKU NO VALIDO",IF(I97="","CANTIDAD DESCONOCIDA",IF(I97=0,"SIN COMPRA ELEGIDA",IF(OR(I97&lt;0,I97&gt;1000000),"CANTIDAD INVALIDA",IF(OR(INDEX(CATALOGO!$N$6:$N$105,MATCH(A97,CATALOGO!$A$6:$A$105,0))="",INDEX(CATALOGO!$O$6:$O$105,MATCH(A97,CATALOGO!$A$6:$A$105,0))="",INDEX(CATALOGO!$O$6:$O$105,MATCH(A97,CATALOGO!$A$6:$A$105,0))&lt;=0),"CATALOGO A REVISAR",IF(OR(I97&lt;INDEX(CATALOGO!$N$6:$N$105,MATCH(A97,CATALOGO!$A$6:$A$105,0)),MOD(I97,INDEX(CATALOGO!$O$6:$O$105,MATCH(A97,CATALOGO!$A$6:$A$105,0)))&lt;&gt;0),"NO RESPETA MOQ/PACK",IF(J97="","FALTA FECHA PAGO",IF(Q97="","COSTO DESCONOCIDO",IF(OR(J97&lt;=CONFIG!$B$5,J97&gt;CONFIG!$B$5+91),"FUERA DE 91 DIAS",IF(AND(P97&lt;&gt;"",I97&gt;P97),"EN MODELO · SUPERA PROPUESTA","EN MODELO")))))))))))</f>
        <v/>
      </c>
    </row>
    <row r="98" spans="1:19" x14ac:dyDescent="0.45">
      <c r="A98" s="8"/>
      <c r="B98" s="4"/>
      <c r="C98" s="5"/>
      <c r="D98" s="5"/>
      <c r="E98" s="5"/>
      <c r="F98" s="4"/>
      <c r="G98" s="8"/>
      <c r="H98" s="5"/>
      <c r="I98" s="5"/>
      <c r="J98" s="4"/>
      <c r="K98" s="12" t="str">
        <f>IFERROR(IF(A98="","",IF(COUNTIF($A$6:$A$105,A98)&gt;1,"DUPLICADO STOCK",IF(COUNTIF(CATALOGO!$A$6:$A$105,A98)&lt;&gt;1,"SKU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INVALIDA",IF(INDEX(CATALOGO!$F$6:$F$105,MATCH(A98,CATALOGO!$A$6:$A$105,0))&lt;&gt;"ACTIVO",INDEX(CATALOGO!$F$6:$F$105,MATCH(A98,CATALOGO!$A$6:$A$105,0)),IF(OR(B98="",B98&lt;&gt;CONFIG!$B$5),"CONTEO NO VIGENTE",IF(OR(C98="",D98="",E98="",H98=""),"FALTA CAMPO",IF(OR(C98&lt;0,C98&gt;1000000,D98&lt;0,D98&gt;1000000,E98&lt;0,E98&gt;1000000,D98&gt;C98),"REVISAR VALOR",IF(H98&gt;CONFIG!$B$6,"EXPOSICION FUERA DE RANGO",IF(H98&lt;&gt;CONFIG!$B$6,"DISPONIBILIDAD INCOMPLETA",IF(CONFIG!$B$14&lt;&gt;"SI","VENTAS INCOMPLETAS",IF(CONFIG!$B$12&lt;&gt;"SI","POLITICA SIN REVISAR",IF(SUMPRODUCT(--(VENTAS!$B$6:$B$1005=A98),--(VENTAS!$A$6:$A$1005&gt;=CONFIG!$B$5-CONFIG!$B$6+1),--(VENTAS!$A$6:$A$1005&lt;=CONFIG!$B$5),--(VENTAS!$I$6:$I$1005&lt;&gt;""),--(VENTAS!$I$6:$I$1005&lt;&gt;"OK"))&gt;0,"VENTAS A REVISAR",IF(AND(E98&gt;0,OR(F98="",G98&lt;&gt;"SI")),"TRANSITO SIN CONFIRMAR",IF(AND(E98&gt;0,G98="SI",OR(F98&lt;=CONFIG!$B$5,F98&gt;CONFIG!$B$5+INDEX(CATALOGO!$M$6:$M$105,MATCH(A98,CATALOGO!$A$6:$A$105,0)))),"TRANSITO FUERA DEL PLAZO",IF(INDEX(CATALOGO!$T$6:$T$105,MATCH(A98,CATALOGO!$A$6:$A$105,0))&lt;&gt;"OK","CATALOGO A REVISAR",IF(1-INDEX(CATALOGO!$K$6:$K$105,MATCH(A98,CATALOGO!$A$6:$A$105,0))-CONFIG!$B$8&lt;=0,"MARGEN OBJETIVO INVIABLE",IF(INDEX(CATALOGO!$R$6:$R$105,MATCH(A98,CATALOGO!$A$6:$A$105,0))&lt;CONFIG!$B$8,"REVISAR PRECIO O COSTO","ELEGIBLE")))))))))))))))))),"CONFIG INVALIDA")</f>
        <v/>
      </c>
      <c r="L98" s="13" t="str">
        <f t="shared" si="2"/>
        <v/>
      </c>
      <c r="M98" s="12" t="str">
        <f>IFERROR(IF(OR(A98="",CONFIG!$B$14&lt;&gt;"SI",CONFIG!$B$6&lt;1,CONFIG!$B$6&gt;365,CONFIG!$B$6&lt;&gt;INT(CONFIG!$B$6),SUMPRODUCT(--(VENTAS!$B$6:$B$1005=A98),--(VENTAS!$A$6:$A$1005&gt;=CONFIG!$B$5-CONFIG!$B$6+1),--(VENTAS!$A$6:$A$1005&lt;=CONFIG!$B$5),--(VENTAS!$I$6:$I$1005&lt;&gt;""),--(VENTAS!$I$6:$I$1005&lt;&gt;"OK"))&gt;0),"",MAX(0,(SUMIFS(VENTAS!$C$6:$C$1005,VENTAS!$B$6:$B$1005,A98,VENTAS!$A$6:$A$1005,"&gt;="&amp;CONFIG!$B$5-CONFIG!$B$6+1,VENTAS!$A$6:$A$1005,"&lt;="&amp;CONFIG!$B$5)-SUMIFS(VENTAS!$E$6:$E$1005,VENTAS!$B$6:$B$1005,A98,VENTAS!$A$6:$A$1005,"&gt;="&amp;CONFIG!$B$5-CONFIG!$B$6+1,VENTAS!$A$6:$A$1005,"&lt;="&amp;CONFIG!$B$5))/CONFIG!$B$6)),"")</f>
        <v/>
      </c>
      <c r="N98" s="14" t="str">
        <f>IF(K98&lt;&gt;"ELEGIBLE","",IF(AND(E98&gt;0,G98="SI",F98&gt;CONFIG!$B$5,F98&lt;=CONFIG!$B$5+INDEX(CATALOGO!$M$6:$M$105,MATCH(A98,CATALOGO!$A$6:$A$105,0))),E98,0))</f>
        <v/>
      </c>
      <c r="O98" s="14" t="str">
        <f>IF(K98&lt;&gt;"ELEGIBLE","",MAX(0,ROUNDUP(ROUND(M98*(INDEX(CATALOGO!$M$6:$M$105,MATCH(A98,CATALOGO!$A$6:$A$105,0))+CONFIG!$B$7)-L98-N98,10),0)))</f>
        <v/>
      </c>
      <c r="P98" s="14" t="str">
        <f>IF(O98="","",IF(O98=0,0,ROUNDUP(MAX(O98,INDEX(CATALOGO!$N$6:$N$105,MATCH(A98,CATALOGO!$A$6:$A$105,0)))/INDEX(CATALOGO!$O$6:$O$105,MATCH(A98,CATALOGO!$A$6:$A$105,0)),0)*INDEX(CATALOGO!$O$6:$O$105,MATCH(A98,CATALOGO!$A$6:$A$105,0))))</f>
        <v/>
      </c>
      <c r="Q98" s="11" t="str">
        <f>IFERROR(IF(OR(A98="",COUNTIF(CATALOGO!$A$6:$A$105,A98)&lt;&gt;1),"",IF(OR(INDEX(CATALOGO!$H$6:$H$105,MATCH(A98,CATALOGO!$A$6:$A$105,0))="",INDEX(CATALOGO!$I$6:$I$105,MATCH(A98,CATALOGO!$A$6:$A$105,0))="",ABS(INDEX(CATALOGO!$H$6:$H$105,MATCH(A98,CATALOGO!$A$6:$A$105,0)))&gt;1000000000,ABS(INDEX(CATALOGO!$I$6:$I$105,MATCH(A98,CATALOGO!$A$6:$A$105,0)))&gt;1000000000),"",INDEX(CATALOGO!$H$6:$H$105,MATCH(A98,CATALOGO!$A$6:$A$105,0))+INDEX(CATALOGO!$I$6:$I$105,MATCH(A98,CATALOGO!$A$6:$A$105,0)))),"")</f>
        <v/>
      </c>
      <c r="R98" s="9" t="str">
        <f>IF(OR(A98="",I98="",COUNTIF(CATALOGO!$A$6:$A$105,A98)&lt;&gt;1),"",IF(I98=0,0,IF(OR(Q98="",INDEX(CATALOGO!$N$6:$N$105,MATCH(A98,CATALOGO!$A$6:$A$105,0))="",INDEX(CATALOGO!$O$6:$O$105,MATCH(A98,CATALOGO!$A$6:$A$105,0))="",INDEX(CATALOGO!$O$6:$O$105,MATCH(A98,CATALOGO!$A$6:$A$105,0))&lt;=0),"",IF(OR(I98&lt;INDEX(CATALOGO!$N$6:$N$105,MATCH(A98,CATALOGO!$A$6:$A$105,0)),MOD(I98,INDEX(CATALOGO!$O$6:$O$105,MATCH(A98,CATALOGO!$A$6:$A$105,0)))&lt;&gt;0,J98="",J98&lt;=CONFIG!$B$5,J98&gt;CONFIG!$B$5+91),"",I98*Q98))))</f>
        <v/>
      </c>
      <c r="S98" s="12" t="str">
        <f>IF(A98="","",IF(COUNTIF(CATALOGO!$A$6:$A$105,A98)&lt;&gt;1,"SKU NO VALIDO",IF(I98="","CANTIDAD DESCONOCIDA",IF(I98=0,"SIN COMPRA ELEGIDA",IF(OR(I98&lt;0,I98&gt;1000000),"CANTIDAD INVALIDA",IF(OR(INDEX(CATALOGO!$N$6:$N$105,MATCH(A98,CATALOGO!$A$6:$A$105,0))="",INDEX(CATALOGO!$O$6:$O$105,MATCH(A98,CATALOGO!$A$6:$A$105,0))="",INDEX(CATALOGO!$O$6:$O$105,MATCH(A98,CATALOGO!$A$6:$A$105,0))&lt;=0),"CATALOGO A REVISAR",IF(OR(I98&lt;INDEX(CATALOGO!$N$6:$N$105,MATCH(A98,CATALOGO!$A$6:$A$105,0)),MOD(I98,INDEX(CATALOGO!$O$6:$O$105,MATCH(A98,CATALOGO!$A$6:$A$105,0)))&lt;&gt;0),"NO RESPETA MOQ/PACK",IF(J98="","FALTA FECHA PAGO",IF(Q98="","COSTO DESCONOCIDO",IF(OR(J98&lt;=CONFIG!$B$5,J98&gt;CONFIG!$B$5+91),"FUERA DE 91 DIAS",IF(AND(P98&lt;&gt;"",I98&gt;P98),"EN MODELO · SUPERA PROPUESTA","EN MODELO")))))))))))</f>
        <v/>
      </c>
    </row>
    <row r="99" spans="1:19" x14ac:dyDescent="0.45">
      <c r="A99" s="8"/>
      <c r="B99" s="4"/>
      <c r="C99" s="5"/>
      <c r="D99" s="5"/>
      <c r="E99" s="5"/>
      <c r="F99" s="4"/>
      <c r="G99" s="8"/>
      <c r="H99" s="5"/>
      <c r="I99" s="5"/>
      <c r="J99" s="4"/>
      <c r="K99" s="12" t="str">
        <f>IFERROR(IF(A99="","",IF(COUNTIF($A$6:$A$105,A99)&gt;1,"DUPLICADO STOCK",IF(COUNTIF(CATALOGO!$A$6:$A$105,A99)&lt;&gt;1,"SKU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INVALIDA",IF(INDEX(CATALOGO!$F$6:$F$105,MATCH(A99,CATALOGO!$A$6:$A$105,0))&lt;&gt;"ACTIVO",INDEX(CATALOGO!$F$6:$F$105,MATCH(A99,CATALOGO!$A$6:$A$105,0)),IF(OR(B99="",B99&lt;&gt;CONFIG!$B$5),"CONTEO NO VIGENTE",IF(OR(C99="",D99="",E99="",H99=""),"FALTA CAMPO",IF(OR(C99&lt;0,C99&gt;1000000,D99&lt;0,D99&gt;1000000,E99&lt;0,E99&gt;1000000,D99&gt;C99),"REVISAR VALOR",IF(H99&gt;CONFIG!$B$6,"EXPOSICION FUERA DE RANGO",IF(H99&lt;&gt;CONFIG!$B$6,"DISPONIBILIDAD INCOMPLETA",IF(CONFIG!$B$14&lt;&gt;"SI","VENTAS INCOMPLETAS",IF(CONFIG!$B$12&lt;&gt;"SI","POLITICA SIN REVISAR",IF(SUMPRODUCT(--(VENTAS!$B$6:$B$1005=A99),--(VENTAS!$A$6:$A$1005&gt;=CONFIG!$B$5-CONFIG!$B$6+1),--(VENTAS!$A$6:$A$1005&lt;=CONFIG!$B$5),--(VENTAS!$I$6:$I$1005&lt;&gt;""),--(VENTAS!$I$6:$I$1005&lt;&gt;"OK"))&gt;0,"VENTAS A REVISAR",IF(AND(E99&gt;0,OR(F99="",G99&lt;&gt;"SI")),"TRANSITO SIN CONFIRMAR",IF(AND(E99&gt;0,G99="SI",OR(F99&lt;=CONFIG!$B$5,F99&gt;CONFIG!$B$5+INDEX(CATALOGO!$M$6:$M$105,MATCH(A99,CATALOGO!$A$6:$A$105,0)))),"TRANSITO FUERA DEL PLAZO",IF(INDEX(CATALOGO!$T$6:$T$105,MATCH(A99,CATALOGO!$A$6:$A$105,0))&lt;&gt;"OK","CATALOGO A REVISAR",IF(1-INDEX(CATALOGO!$K$6:$K$105,MATCH(A99,CATALOGO!$A$6:$A$105,0))-CONFIG!$B$8&lt;=0,"MARGEN OBJETIVO INVIABLE",IF(INDEX(CATALOGO!$R$6:$R$105,MATCH(A99,CATALOGO!$A$6:$A$105,0))&lt;CONFIG!$B$8,"REVISAR PRECIO O COSTO","ELEGIBLE")))))))))))))))))),"CONFIG INVALIDA")</f>
        <v/>
      </c>
      <c r="L99" s="13" t="str">
        <f t="shared" si="2"/>
        <v/>
      </c>
      <c r="M99" s="12" t="str">
        <f>IFERROR(IF(OR(A99="",CONFIG!$B$14&lt;&gt;"SI",CONFIG!$B$6&lt;1,CONFIG!$B$6&gt;365,CONFIG!$B$6&lt;&gt;INT(CONFIG!$B$6),SUMPRODUCT(--(VENTAS!$B$6:$B$1005=A99),--(VENTAS!$A$6:$A$1005&gt;=CONFIG!$B$5-CONFIG!$B$6+1),--(VENTAS!$A$6:$A$1005&lt;=CONFIG!$B$5),--(VENTAS!$I$6:$I$1005&lt;&gt;""),--(VENTAS!$I$6:$I$1005&lt;&gt;"OK"))&gt;0),"",MAX(0,(SUMIFS(VENTAS!$C$6:$C$1005,VENTAS!$B$6:$B$1005,A99,VENTAS!$A$6:$A$1005,"&gt;="&amp;CONFIG!$B$5-CONFIG!$B$6+1,VENTAS!$A$6:$A$1005,"&lt;="&amp;CONFIG!$B$5)-SUMIFS(VENTAS!$E$6:$E$1005,VENTAS!$B$6:$B$1005,A99,VENTAS!$A$6:$A$1005,"&gt;="&amp;CONFIG!$B$5-CONFIG!$B$6+1,VENTAS!$A$6:$A$1005,"&lt;="&amp;CONFIG!$B$5))/CONFIG!$B$6)),"")</f>
        <v/>
      </c>
      <c r="N99" s="14" t="str">
        <f>IF(K99&lt;&gt;"ELEGIBLE","",IF(AND(E99&gt;0,G99="SI",F99&gt;CONFIG!$B$5,F99&lt;=CONFIG!$B$5+INDEX(CATALOGO!$M$6:$M$105,MATCH(A99,CATALOGO!$A$6:$A$105,0))),E99,0))</f>
        <v/>
      </c>
      <c r="O99" s="14" t="str">
        <f>IF(K99&lt;&gt;"ELEGIBLE","",MAX(0,ROUNDUP(ROUND(M99*(INDEX(CATALOGO!$M$6:$M$105,MATCH(A99,CATALOGO!$A$6:$A$105,0))+CONFIG!$B$7)-L99-N99,10),0)))</f>
        <v/>
      </c>
      <c r="P99" s="14" t="str">
        <f>IF(O99="","",IF(O99=0,0,ROUNDUP(MAX(O99,INDEX(CATALOGO!$N$6:$N$105,MATCH(A99,CATALOGO!$A$6:$A$105,0)))/INDEX(CATALOGO!$O$6:$O$105,MATCH(A99,CATALOGO!$A$6:$A$105,0)),0)*INDEX(CATALOGO!$O$6:$O$105,MATCH(A99,CATALOGO!$A$6:$A$105,0))))</f>
        <v/>
      </c>
      <c r="Q99" s="11" t="str">
        <f>IFERROR(IF(OR(A99="",COUNTIF(CATALOGO!$A$6:$A$105,A99)&lt;&gt;1),"",IF(OR(INDEX(CATALOGO!$H$6:$H$105,MATCH(A99,CATALOGO!$A$6:$A$105,0))="",INDEX(CATALOGO!$I$6:$I$105,MATCH(A99,CATALOGO!$A$6:$A$105,0))="",ABS(INDEX(CATALOGO!$H$6:$H$105,MATCH(A99,CATALOGO!$A$6:$A$105,0)))&gt;1000000000,ABS(INDEX(CATALOGO!$I$6:$I$105,MATCH(A99,CATALOGO!$A$6:$A$105,0)))&gt;1000000000),"",INDEX(CATALOGO!$H$6:$H$105,MATCH(A99,CATALOGO!$A$6:$A$105,0))+INDEX(CATALOGO!$I$6:$I$105,MATCH(A99,CATALOGO!$A$6:$A$105,0)))),"")</f>
        <v/>
      </c>
      <c r="R99" s="9" t="str">
        <f>IF(OR(A99="",I99="",COUNTIF(CATALOGO!$A$6:$A$105,A99)&lt;&gt;1),"",IF(I99=0,0,IF(OR(Q99="",INDEX(CATALOGO!$N$6:$N$105,MATCH(A99,CATALOGO!$A$6:$A$105,0))="",INDEX(CATALOGO!$O$6:$O$105,MATCH(A99,CATALOGO!$A$6:$A$105,0))="",INDEX(CATALOGO!$O$6:$O$105,MATCH(A99,CATALOGO!$A$6:$A$105,0))&lt;=0),"",IF(OR(I99&lt;INDEX(CATALOGO!$N$6:$N$105,MATCH(A99,CATALOGO!$A$6:$A$105,0)),MOD(I99,INDEX(CATALOGO!$O$6:$O$105,MATCH(A99,CATALOGO!$A$6:$A$105,0)))&lt;&gt;0,J99="",J99&lt;=CONFIG!$B$5,J99&gt;CONFIG!$B$5+91),"",I99*Q99))))</f>
        <v/>
      </c>
      <c r="S99" s="12" t="str">
        <f>IF(A99="","",IF(COUNTIF(CATALOGO!$A$6:$A$105,A99)&lt;&gt;1,"SKU NO VALIDO",IF(I99="","CANTIDAD DESCONOCIDA",IF(I99=0,"SIN COMPRA ELEGIDA",IF(OR(I99&lt;0,I99&gt;1000000),"CANTIDAD INVALIDA",IF(OR(INDEX(CATALOGO!$N$6:$N$105,MATCH(A99,CATALOGO!$A$6:$A$105,0))="",INDEX(CATALOGO!$O$6:$O$105,MATCH(A99,CATALOGO!$A$6:$A$105,0))="",INDEX(CATALOGO!$O$6:$O$105,MATCH(A99,CATALOGO!$A$6:$A$105,0))&lt;=0),"CATALOGO A REVISAR",IF(OR(I99&lt;INDEX(CATALOGO!$N$6:$N$105,MATCH(A99,CATALOGO!$A$6:$A$105,0)),MOD(I99,INDEX(CATALOGO!$O$6:$O$105,MATCH(A99,CATALOGO!$A$6:$A$105,0)))&lt;&gt;0),"NO RESPETA MOQ/PACK",IF(J99="","FALTA FECHA PAGO",IF(Q99="","COSTO DESCONOCIDO",IF(OR(J99&lt;=CONFIG!$B$5,J99&gt;CONFIG!$B$5+91),"FUERA DE 91 DIAS",IF(AND(P99&lt;&gt;"",I99&gt;P99),"EN MODELO · SUPERA PROPUESTA","EN MODELO")))))))))))</f>
        <v/>
      </c>
    </row>
    <row r="100" spans="1:19" x14ac:dyDescent="0.45">
      <c r="A100" s="8"/>
      <c r="B100" s="4"/>
      <c r="C100" s="5"/>
      <c r="D100" s="5"/>
      <c r="E100" s="5"/>
      <c r="F100" s="4"/>
      <c r="G100" s="8"/>
      <c r="H100" s="5"/>
      <c r="I100" s="5"/>
      <c r="J100" s="4"/>
      <c r="K100" s="12" t="str">
        <f>IFERROR(IF(A100="","",IF(COUNTIF($A$6:$A$105,A100)&gt;1,"DUPLICADO STOCK",IF(COUNTIF(CATALOGO!$A$6:$A$105,A100)&lt;&gt;1,"SKU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INVALIDA",IF(INDEX(CATALOGO!$F$6:$F$105,MATCH(A100,CATALOGO!$A$6:$A$105,0))&lt;&gt;"ACTIVO",INDEX(CATALOGO!$F$6:$F$105,MATCH(A100,CATALOGO!$A$6:$A$105,0)),IF(OR(B100="",B100&lt;&gt;CONFIG!$B$5),"CONTEO NO VIGENTE",IF(OR(C100="",D100="",E100="",H100=""),"FALTA CAMPO",IF(OR(C100&lt;0,C100&gt;1000000,D100&lt;0,D100&gt;1000000,E100&lt;0,E100&gt;1000000,D100&gt;C100),"REVISAR VALOR",IF(H100&gt;CONFIG!$B$6,"EXPOSICION FUERA DE RANGO",IF(H100&lt;&gt;CONFIG!$B$6,"DISPONIBILIDAD INCOMPLETA",IF(CONFIG!$B$14&lt;&gt;"SI","VENTAS INCOMPLETAS",IF(CONFIG!$B$12&lt;&gt;"SI","POLITICA SIN REVISAR",IF(SUMPRODUCT(--(VENTAS!$B$6:$B$1005=A100),--(VENTAS!$A$6:$A$1005&gt;=CONFIG!$B$5-CONFIG!$B$6+1),--(VENTAS!$A$6:$A$1005&lt;=CONFIG!$B$5),--(VENTAS!$I$6:$I$1005&lt;&gt;""),--(VENTAS!$I$6:$I$1005&lt;&gt;"OK"))&gt;0,"VENTAS A REVISAR",IF(AND(E100&gt;0,OR(F100="",G100&lt;&gt;"SI")),"TRANSITO SIN CONFIRMAR",IF(AND(E100&gt;0,G100="SI",OR(F100&lt;=CONFIG!$B$5,F100&gt;CONFIG!$B$5+INDEX(CATALOGO!$M$6:$M$105,MATCH(A100,CATALOGO!$A$6:$A$105,0)))),"TRANSITO FUERA DEL PLAZO",IF(INDEX(CATALOGO!$T$6:$T$105,MATCH(A100,CATALOGO!$A$6:$A$105,0))&lt;&gt;"OK","CATALOGO A REVISAR",IF(1-INDEX(CATALOGO!$K$6:$K$105,MATCH(A100,CATALOGO!$A$6:$A$105,0))-CONFIG!$B$8&lt;=0,"MARGEN OBJETIVO INVIABLE",IF(INDEX(CATALOGO!$R$6:$R$105,MATCH(A100,CATALOGO!$A$6:$A$105,0))&lt;CONFIG!$B$8,"REVISAR PRECIO O COSTO","ELEGIBLE")))))))))))))))))),"CONFIG INVALIDA")</f>
        <v/>
      </c>
      <c r="L100" s="13" t="str">
        <f t="shared" si="2"/>
        <v/>
      </c>
      <c r="M100" s="12" t="str">
        <f>IFERROR(IF(OR(A100="",CONFIG!$B$14&lt;&gt;"SI",CONFIG!$B$6&lt;1,CONFIG!$B$6&gt;365,CONFIG!$B$6&lt;&gt;INT(CONFIG!$B$6),SUMPRODUCT(--(VENTAS!$B$6:$B$1005=A100),--(VENTAS!$A$6:$A$1005&gt;=CONFIG!$B$5-CONFIG!$B$6+1),--(VENTAS!$A$6:$A$1005&lt;=CONFIG!$B$5),--(VENTAS!$I$6:$I$1005&lt;&gt;""),--(VENTAS!$I$6:$I$1005&lt;&gt;"OK"))&gt;0),"",MAX(0,(SUMIFS(VENTAS!$C$6:$C$1005,VENTAS!$B$6:$B$1005,A100,VENTAS!$A$6:$A$1005,"&gt;="&amp;CONFIG!$B$5-CONFIG!$B$6+1,VENTAS!$A$6:$A$1005,"&lt;="&amp;CONFIG!$B$5)-SUMIFS(VENTAS!$E$6:$E$1005,VENTAS!$B$6:$B$1005,A100,VENTAS!$A$6:$A$1005,"&gt;="&amp;CONFIG!$B$5-CONFIG!$B$6+1,VENTAS!$A$6:$A$1005,"&lt;="&amp;CONFIG!$B$5))/CONFIG!$B$6)),"")</f>
        <v/>
      </c>
      <c r="N100" s="14" t="str">
        <f>IF(K100&lt;&gt;"ELEGIBLE","",IF(AND(E100&gt;0,G100="SI",F100&gt;CONFIG!$B$5,F100&lt;=CONFIG!$B$5+INDEX(CATALOGO!$M$6:$M$105,MATCH(A100,CATALOGO!$A$6:$A$105,0))),E100,0))</f>
        <v/>
      </c>
      <c r="O100" s="14" t="str">
        <f>IF(K100&lt;&gt;"ELEGIBLE","",MAX(0,ROUNDUP(ROUND(M100*(INDEX(CATALOGO!$M$6:$M$105,MATCH(A100,CATALOGO!$A$6:$A$105,0))+CONFIG!$B$7)-L100-N100,10),0)))</f>
        <v/>
      </c>
      <c r="P100" s="14" t="str">
        <f>IF(O100="","",IF(O100=0,0,ROUNDUP(MAX(O100,INDEX(CATALOGO!$N$6:$N$105,MATCH(A100,CATALOGO!$A$6:$A$105,0)))/INDEX(CATALOGO!$O$6:$O$105,MATCH(A100,CATALOGO!$A$6:$A$105,0)),0)*INDEX(CATALOGO!$O$6:$O$105,MATCH(A100,CATALOGO!$A$6:$A$105,0))))</f>
        <v/>
      </c>
      <c r="Q100" s="11" t="str">
        <f>IFERROR(IF(OR(A100="",COUNTIF(CATALOGO!$A$6:$A$105,A100)&lt;&gt;1),"",IF(OR(INDEX(CATALOGO!$H$6:$H$105,MATCH(A100,CATALOGO!$A$6:$A$105,0))="",INDEX(CATALOGO!$I$6:$I$105,MATCH(A100,CATALOGO!$A$6:$A$105,0))="",ABS(INDEX(CATALOGO!$H$6:$H$105,MATCH(A100,CATALOGO!$A$6:$A$105,0)))&gt;1000000000,ABS(INDEX(CATALOGO!$I$6:$I$105,MATCH(A100,CATALOGO!$A$6:$A$105,0)))&gt;1000000000),"",INDEX(CATALOGO!$H$6:$H$105,MATCH(A100,CATALOGO!$A$6:$A$105,0))+INDEX(CATALOGO!$I$6:$I$105,MATCH(A100,CATALOGO!$A$6:$A$105,0)))),"")</f>
        <v/>
      </c>
      <c r="R100" s="9" t="str">
        <f>IF(OR(A100="",I100="",COUNTIF(CATALOGO!$A$6:$A$105,A100)&lt;&gt;1),"",IF(I100=0,0,IF(OR(Q100="",INDEX(CATALOGO!$N$6:$N$105,MATCH(A100,CATALOGO!$A$6:$A$105,0))="",INDEX(CATALOGO!$O$6:$O$105,MATCH(A100,CATALOGO!$A$6:$A$105,0))="",INDEX(CATALOGO!$O$6:$O$105,MATCH(A100,CATALOGO!$A$6:$A$105,0))&lt;=0),"",IF(OR(I100&lt;INDEX(CATALOGO!$N$6:$N$105,MATCH(A100,CATALOGO!$A$6:$A$105,0)),MOD(I100,INDEX(CATALOGO!$O$6:$O$105,MATCH(A100,CATALOGO!$A$6:$A$105,0)))&lt;&gt;0,J100="",J100&lt;=CONFIG!$B$5,J100&gt;CONFIG!$B$5+91),"",I100*Q100))))</f>
        <v/>
      </c>
      <c r="S100" s="12" t="str">
        <f>IF(A100="","",IF(COUNTIF(CATALOGO!$A$6:$A$105,A100)&lt;&gt;1,"SKU NO VALIDO",IF(I100="","CANTIDAD DESCONOCIDA",IF(I100=0,"SIN COMPRA ELEGIDA",IF(OR(I100&lt;0,I100&gt;1000000),"CANTIDAD INVALIDA",IF(OR(INDEX(CATALOGO!$N$6:$N$105,MATCH(A100,CATALOGO!$A$6:$A$105,0))="",INDEX(CATALOGO!$O$6:$O$105,MATCH(A100,CATALOGO!$A$6:$A$105,0))="",INDEX(CATALOGO!$O$6:$O$105,MATCH(A100,CATALOGO!$A$6:$A$105,0))&lt;=0),"CATALOGO A REVISAR",IF(OR(I100&lt;INDEX(CATALOGO!$N$6:$N$105,MATCH(A100,CATALOGO!$A$6:$A$105,0)),MOD(I100,INDEX(CATALOGO!$O$6:$O$105,MATCH(A100,CATALOGO!$A$6:$A$105,0)))&lt;&gt;0),"NO RESPETA MOQ/PACK",IF(J100="","FALTA FECHA PAGO",IF(Q100="","COSTO DESCONOCIDO",IF(OR(J100&lt;=CONFIG!$B$5,J100&gt;CONFIG!$B$5+91),"FUERA DE 91 DIAS",IF(AND(P100&lt;&gt;"",I100&gt;P100),"EN MODELO · SUPERA PROPUESTA","EN MODELO")))))))))))</f>
        <v/>
      </c>
    </row>
    <row r="101" spans="1:19" x14ac:dyDescent="0.45">
      <c r="A101" s="8"/>
      <c r="B101" s="4"/>
      <c r="C101" s="5"/>
      <c r="D101" s="5"/>
      <c r="E101" s="5"/>
      <c r="F101" s="4"/>
      <c r="G101" s="8"/>
      <c r="H101" s="5"/>
      <c r="I101" s="5"/>
      <c r="J101" s="4"/>
      <c r="K101" s="12" t="str">
        <f>IFERROR(IF(A101="","",IF(COUNTIF($A$6:$A$105,A101)&gt;1,"DUPLICADO STOCK",IF(COUNTIF(CATALOGO!$A$6:$A$105,A101)&lt;&gt;1,"SKU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INVALIDA",IF(INDEX(CATALOGO!$F$6:$F$105,MATCH(A101,CATALOGO!$A$6:$A$105,0))&lt;&gt;"ACTIVO",INDEX(CATALOGO!$F$6:$F$105,MATCH(A101,CATALOGO!$A$6:$A$105,0)),IF(OR(B101="",B101&lt;&gt;CONFIG!$B$5),"CONTEO NO VIGENTE",IF(OR(C101="",D101="",E101="",H101=""),"FALTA CAMPO",IF(OR(C101&lt;0,C101&gt;1000000,D101&lt;0,D101&gt;1000000,E101&lt;0,E101&gt;1000000,D101&gt;C101),"REVISAR VALOR",IF(H101&gt;CONFIG!$B$6,"EXPOSICION FUERA DE RANGO",IF(H101&lt;&gt;CONFIG!$B$6,"DISPONIBILIDAD INCOMPLETA",IF(CONFIG!$B$14&lt;&gt;"SI","VENTAS INCOMPLETAS",IF(CONFIG!$B$12&lt;&gt;"SI","POLITICA SIN REVISAR",IF(SUMPRODUCT(--(VENTAS!$B$6:$B$1005=A101),--(VENTAS!$A$6:$A$1005&gt;=CONFIG!$B$5-CONFIG!$B$6+1),--(VENTAS!$A$6:$A$1005&lt;=CONFIG!$B$5),--(VENTAS!$I$6:$I$1005&lt;&gt;""),--(VENTAS!$I$6:$I$1005&lt;&gt;"OK"))&gt;0,"VENTAS A REVISAR",IF(AND(E101&gt;0,OR(F101="",G101&lt;&gt;"SI")),"TRANSITO SIN CONFIRMAR",IF(AND(E101&gt;0,G101="SI",OR(F101&lt;=CONFIG!$B$5,F101&gt;CONFIG!$B$5+INDEX(CATALOGO!$M$6:$M$105,MATCH(A101,CATALOGO!$A$6:$A$105,0)))),"TRANSITO FUERA DEL PLAZO",IF(INDEX(CATALOGO!$T$6:$T$105,MATCH(A101,CATALOGO!$A$6:$A$105,0))&lt;&gt;"OK","CATALOGO A REVISAR",IF(1-INDEX(CATALOGO!$K$6:$K$105,MATCH(A101,CATALOGO!$A$6:$A$105,0))-CONFIG!$B$8&lt;=0,"MARGEN OBJETIVO INVIABLE",IF(INDEX(CATALOGO!$R$6:$R$105,MATCH(A101,CATALOGO!$A$6:$A$105,0))&lt;CONFIG!$B$8,"REVISAR PRECIO O COSTO","ELEGIBLE")))))))))))))))))),"CONFIG INVALIDA")</f>
        <v/>
      </c>
      <c r="L101" s="13" t="str">
        <f t="shared" si="2"/>
        <v/>
      </c>
      <c r="M101" s="12" t="str">
        <f>IFERROR(IF(OR(A101="",CONFIG!$B$14&lt;&gt;"SI",CONFIG!$B$6&lt;1,CONFIG!$B$6&gt;365,CONFIG!$B$6&lt;&gt;INT(CONFIG!$B$6),SUMPRODUCT(--(VENTAS!$B$6:$B$1005=A101),--(VENTAS!$A$6:$A$1005&gt;=CONFIG!$B$5-CONFIG!$B$6+1),--(VENTAS!$A$6:$A$1005&lt;=CONFIG!$B$5),--(VENTAS!$I$6:$I$1005&lt;&gt;""),--(VENTAS!$I$6:$I$1005&lt;&gt;"OK"))&gt;0),"",MAX(0,(SUMIFS(VENTAS!$C$6:$C$1005,VENTAS!$B$6:$B$1005,A101,VENTAS!$A$6:$A$1005,"&gt;="&amp;CONFIG!$B$5-CONFIG!$B$6+1,VENTAS!$A$6:$A$1005,"&lt;="&amp;CONFIG!$B$5)-SUMIFS(VENTAS!$E$6:$E$1005,VENTAS!$B$6:$B$1005,A101,VENTAS!$A$6:$A$1005,"&gt;="&amp;CONFIG!$B$5-CONFIG!$B$6+1,VENTAS!$A$6:$A$1005,"&lt;="&amp;CONFIG!$B$5))/CONFIG!$B$6)),"")</f>
        <v/>
      </c>
      <c r="N101" s="14" t="str">
        <f>IF(K101&lt;&gt;"ELEGIBLE","",IF(AND(E101&gt;0,G101="SI",F101&gt;CONFIG!$B$5,F101&lt;=CONFIG!$B$5+INDEX(CATALOGO!$M$6:$M$105,MATCH(A101,CATALOGO!$A$6:$A$105,0))),E101,0))</f>
        <v/>
      </c>
      <c r="O101" s="14" t="str">
        <f>IF(K101&lt;&gt;"ELEGIBLE","",MAX(0,ROUNDUP(ROUND(M101*(INDEX(CATALOGO!$M$6:$M$105,MATCH(A101,CATALOGO!$A$6:$A$105,0))+CONFIG!$B$7)-L101-N101,10),0)))</f>
        <v/>
      </c>
      <c r="P101" s="14" t="str">
        <f>IF(O101="","",IF(O101=0,0,ROUNDUP(MAX(O101,INDEX(CATALOGO!$N$6:$N$105,MATCH(A101,CATALOGO!$A$6:$A$105,0)))/INDEX(CATALOGO!$O$6:$O$105,MATCH(A101,CATALOGO!$A$6:$A$105,0)),0)*INDEX(CATALOGO!$O$6:$O$105,MATCH(A101,CATALOGO!$A$6:$A$105,0))))</f>
        <v/>
      </c>
      <c r="Q101" s="11" t="str">
        <f>IFERROR(IF(OR(A101="",COUNTIF(CATALOGO!$A$6:$A$105,A101)&lt;&gt;1),"",IF(OR(INDEX(CATALOGO!$H$6:$H$105,MATCH(A101,CATALOGO!$A$6:$A$105,0))="",INDEX(CATALOGO!$I$6:$I$105,MATCH(A101,CATALOGO!$A$6:$A$105,0))="",ABS(INDEX(CATALOGO!$H$6:$H$105,MATCH(A101,CATALOGO!$A$6:$A$105,0)))&gt;1000000000,ABS(INDEX(CATALOGO!$I$6:$I$105,MATCH(A101,CATALOGO!$A$6:$A$105,0)))&gt;1000000000),"",INDEX(CATALOGO!$H$6:$H$105,MATCH(A101,CATALOGO!$A$6:$A$105,0))+INDEX(CATALOGO!$I$6:$I$105,MATCH(A101,CATALOGO!$A$6:$A$105,0)))),"")</f>
        <v/>
      </c>
      <c r="R101" s="9" t="str">
        <f>IF(OR(A101="",I101="",COUNTIF(CATALOGO!$A$6:$A$105,A101)&lt;&gt;1),"",IF(I101=0,0,IF(OR(Q101="",INDEX(CATALOGO!$N$6:$N$105,MATCH(A101,CATALOGO!$A$6:$A$105,0))="",INDEX(CATALOGO!$O$6:$O$105,MATCH(A101,CATALOGO!$A$6:$A$105,0))="",INDEX(CATALOGO!$O$6:$O$105,MATCH(A101,CATALOGO!$A$6:$A$105,0))&lt;=0),"",IF(OR(I101&lt;INDEX(CATALOGO!$N$6:$N$105,MATCH(A101,CATALOGO!$A$6:$A$105,0)),MOD(I101,INDEX(CATALOGO!$O$6:$O$105,MATCH(A101,CATALOGO!$A$6:$A$105,0)))&lt;&gt;0,J101="",J101&lt;=CONFIG!$B$5,J101&gt;CONFIG!$B$5+91),"",I101*Q101))))</f>
        <v/>
      </c>
      <c r="S101" s="12" t="str">
        <f>IF(A101="","",IF(COUNTIF(CATALOGO!$A$6:$A$105,A101)&lt;&gt;1,"SKU NO VALIDO",IF(I101="","CANTIDAD DESCONOCIDA",IF(I101=0,"SIN COMPRA ELEGIDA",IF(OR(I101&lt;0,I101&gt;1000000),"CANTIDAD INVALIDA",IF(OR(INDEX(CATALOGO!$N$6:$N$105,MATCH(A101,CATALOGO!$A$6:$A$105,0))="",INDEX(CATALOGO!$O$6:$O$105,MATCH(A101,CATALOGO!$A$6:$A$105,0))="",INDEX(CATALOGO!$O$6:$O$105,MATCH(A101,CATALOGO!$A$6:$A$105,0))&lt;=0),"CATALOGO A REVISAR",IF(OR(I101&lt;INDEX(CATALOGO!$N$6:$N$105,MATCH(A101,CATALOGO!$A$6:$A$105,0)),MOD(I101,INDEX(CATALOGO!$O$6:$O$105,MATCH(A101,CATALOGO!$A$6:$A$105,0)))&lt;&gt;0),"NO RESPETA MOQ/PACK",IF(J101="","FALTA FECHA PAGO",IF(Q101="","COSTO DESCONOCIDO",IF(OR(J101&lt;=CONFIG!$B$5,J101&gt;CONFIG!$B$5+91),"FUERA DE 91 DIAS",IF(AND(P101&lt;&gt;"",I101&gt;P101),"EN MODELO · SUPERA PROPUESTA","EN MODELO")))))))))))</f>
        <v/>
      </c>
    </row>
    <row r="102" spans="1:19" x14ac:dyDescent="0.45">
      <c r="A102" s="8"/>
      <c r="B102" s="4"/>
      <c r="C102" s="5"/>
      <c r="D102" s="5"/>
      <c r="E102" s="5"/>
      <c r="F102" s="4"/>
      <c r="G102" s="8"/>
      <c r="H102" s="5"/>
      <c r="I102" s="5"/>
      <c r="J102" s="4"/>
      <c r="K102" s="12" t="str">
        <f>IFERROR(IF(A102="","",IF(COUNTIF($A$6:$A$105,A102)&gt;1,"DUPLICADO STOCK",IF(COUNTIF(CATALOGO!$A$6:$A$105,A102)&lt;&gt;1,"SKU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INVALIDA",IF(INDEX(CATALOGO!$F$6:$F$105,MATCH(A102,CATALOGO!$A$6:$A$105,0))&lt;&gt;"ACTIVO",INDEX(CATALOGO!$F$6:$F$105,MATCH(A102,CATALOGO!$A$6:$A$105,0)),IF(OR(B102="",B102&lt;&gt;CONFIG!$B$5),"CONTEO NO VIGENTE",IF(OR(C102="",D102="",E102="",H102=""),"FALTA CAMPO",IF(OR(C102&lt;0,C102&gt;1000000,D102&lt;0,D102&gt;1000000,E102&lt;0,E102&gt;1000000,D102&gt;C102),"REVISAR VALOR",IF(H102&gt;CONFIG!$B$6,"EXPOSICION FUERA DE RANGO",IF(H102&lt;&gt;CONFIG!$B$6,"DISPONIBILIDAD INCOMPLETA",IF(CONFIG!$B$14&lt;&gt;"SI","VENTAS INCOMPLETAS",IF(CONFIG!$B$12&lt;&gt;"SI","POLITICA SIN REVISAR",IF(SUMPRODUCT(--(VENTAS!$B$6:$B$1005=A102),--(VENTAS!$A$6:$A$1005&gt;=CONFIG!$B$5-CONFIG!$B$6+1),--(VENTAS!$A$6:$A$1005&lt;=CONFIG!$B$5),--(VENTAS!$I$6:$I$1005&lt;&gt;""),--(VENTAS!$I$6:$I$1005&lt;&gt;"OK"))&gt;0,"VENTAS A REVISAR",IF(AND(E102&gt;0,OR(F102="",G102&lt;&gt;"SI")),"TRANSITO SIN CONFIRMAR",IF(AND(E102&gt;0,G102="SI",OR(F102&lt;=CONFIG!$B$5,F102&gt;CONFIG!$B$5+INDEX(CATALOGO!$M$6:$M$105,MATCH(A102,CATALOGO!$A$6:$A$105,0)))),"TRANSITO FUERA DEL PLAZO",IF(INDEX(CATALOGO!$T$6:$T$105,MATCH(A102,CATALOGO!$A$6:$A$105,0))&lt;&gt;"OK","CATALOGO A REVISAR",IF(1-INDEX(CATALOGO!$K$6:$K$105,MATCH(A102,CATALOGO!$A$6:$A$105,0))-CONFIG!$B$8&lt;=0,"MARGEN OBJETIVO INVIABLE",IF(INDEX(CATALOGO!$R$6:$R$105,MATCH(A102,CATALOGO!$A$6:$A$105,0))&lt;CONFIG!$B$8,"REVISAR PRECIO O COSTO","ELEGIBLE")))))))))))))))))),"CONFIG INVALIDA")</f>
        <v/>
      </c>
      <c r="L102" s="13" t="str">
        <f t="shared" si="2"/>
        <v/>
      </c>
      <c r="M102" s="12" t="str">
        <f>IFERROR(IF(OR(A102="",CONFIG!$B$14&lt;&gt;"SI",CONFIG!$B$6&lt;1,CONFIG!$B$6&gt;365,CONFIG!$B$6&lt;&gt;INT(CONFIG!$B$6),SUMPRODUCT(--(VENTAS!$B$6:$B$1005=A102),--(VENTAS!$A$6:$A$1005&gt;=CONFIG!$B$5-CONFIG!$B$6+1),--(VENTAS!$A$6:$A$1005&lt;=CONFIG!$B$5),--(VENTAS!$I$6:$I$1005&lt;&gt;""),--(VENTAS!$I$6:$I$1005&lt;&gt;"OK"))&gt;0),"",MAX(0,(SUMIFS(VENTAS!$C$6:$C$1005,VENTAS!$B$6:$B$1005,A102,VENTAS!$A$6:$A$1005,"&gt;="&amp;CONFIG!$B$5-CONFIG!$B$6+1,VENTAS!$A$6:$A$1005,"&lt;="&amp;CONFIG!$B$5)-SUMIFS(VENTAS!$E$6:$E$1005,VENTAS!$B$6:$B$1005,A102,VENTAS!$A$6:$A$1005,"&gt;="&amp;CONFIG!$B$5-CONFIG!$B$6+1,VENTAS!$A$6:$A$1005,"&lt;="&amp;CONFIG!$B$5))/CONFIG!$B$6)),"")</f>
        <v/>
      </c>
      <c r="N102" s="14" t="str">
        <f>IF(K102&lt;&gt;"ELEGIBLE","",IF(AND(E102&gt;0,G102="SI",F102&gt;CONFIG!$B$5,F102&lt;=CONFIG!$B$5+INDEX(CATALOGO!$M$6:$M$105,MATCH(A102,CATALOGO!$A$6:$A$105,0))),E102,0))</f>
        <v/>
      </c>
      <c r="O102" s="14" t="str">
        <f>IF(K102&lt;&gt;"ELEGIBLE","",MAX(0,ROUNDUP(ROUND(M102*(INDEX(CATALOGO!$M$6:$M$105,MATCH(A102,CATALOGO!$A$6:$A$105,0))+CONFIG!$B$7)-L102-N102,10),0)))</f>
        <v/>
      </c>
      <c r="P102" s="14" t="str">
        <f>IF(O102="","",IF(O102=0,0,ROUNDUP(MAX(O102,INDEX(CATALOGO!$N$6:$N$105,MATCH(A102,CATALOGO!$A$6:$A$105,0)))/INDEX(CATALOGO!$O$6:$O$105,MATCH(A102,CATALOGO!$A$6:$A$105,0)),0)*INDEX(CATALOGO!$O$6:$O$105,MATCH(A102,CATALOGO!$A$6:$A$105,0))))</f>
        <v/>
      </c>
      <c r="Q102" s="11" t="str">
        <f>IFERROR(IF(OR(A102="",COUNTIF(CATALOGO!$A$6:$A$105,A102)&lt;&gt;1),"",IF(OR(INDEX(CATALOGO!$H$6:$H$105,MATCH(A102,CATALOGO!$A$6:$A$105,0))="",INDEX(CATALOGO!$I$6:$I$105,MATCH(A102,CATALOGO!$A$6:$A$105,0))="",ABS(INDEX(CATALOGO!$H$6:$H$105,MATCH(A102,CATALOGO!$A$6:$A$105,0)))&gt;1000000000,ABS(INDEX(CATALOGO!$I$6:$I$105,MATCH(A102,CATALOGO!$A$6:$A$105,0)))&gt;1000000000),"",INDEX(CATALOGO!$H$6:$H$105,MATCH(A102,CATALOGO!$A$6:$A$105,0))+INDEX(CATALOGO!$I$6:$I$105,MATCH(A102,CATALOGO!$A$6:$A$105,0)))),"")</f>
        <v/>
      </c>
      <c r="R102" s="9" t="str">
        <f>IF(OR(A102="",I102="",COUNTIF(CATALOGO!$A$6:$A$105,A102)&lt;&gt;1),"",IF(I102=0,0,IF(OR(Q102="",INDEX(CATALOGO!$N$6:$N$105,MATCH(A102,CATALOGO!$A$6:$A$105,0))="",INDEX(CATALOGO!$O$6:$O$105,MATCH(A102,CATALOGO!$A$6:$A$105,0))="",INDEX(CATALOGO!$O$6:$O$105,MATCH(A102,CATALOGO!$A$6:$A$105,0))&lt;=0),"",IF(OR(I102&lt;INDEX(CATALOGO!$N$6:$N$105,MATCH(A102,CATALOGO!$A$6:$A$105,0)),MOD(I102,INDEX(CATALOGO!$O$6:$O$105,MATCH(A102,CATALOGO!$A$6:$A$105,0)))&lt;&gt;0,J102="",J102&lt;=CONFIG!$B$5,J102&gt;CONFIG!$B$5+91),"",I102*Q102))))</f>
        <v/>
      </c>
      <c r="S102" s="12" t="str">
        <f>IF(A102="","",IF(COUNTIF(CATALOGO!$A$6:$A$105,A102)&lt;&gt;1,"SKU NO VALIDO",IF(I102="","CANTIDAD DESCONOCIDA",IF(I102=0,"SIN COMPRA ELEGIDA",IF(OR(I102&lt;0,I102&gt;1000000),"CANTIDAD INVALIDA",IF(OR(INDEX(CATALOGO!$N$6:$N$105,MATCH(A102,CATALOGO!$A$6:$A$105,0))="",INDEX(CATALOGO!$O$6:$O$105,MATCH(A102,CATALOGO!$A$6:$A$105,0))="",INDEX(CATALOGO!$O$6:$O$105,MATCH(A102,CATALOGO!$A$6:$A$105,0))&lt;=0),"CATALOGO A REVISAR",IF(OR(I102&lt;INDEX(CATALOGO!$N$6:$N$105,MATCH(A102,CATALOGO!$A$6:$A$105,0)),MOD(I102,INDEX(CATALOGO!$O$6:$O$105,MATCH(A102,CATALOGO!$A$6:$A$105,0)))&lt;&gt;0),"NO RESPETA MOQ/PACK",IF(J102="","FALTA FECHA PAGO",IF(Q102="","COSTO DESCONOCIDO",IF(OR(J102&lt;=CONFIG!$B$5,J102&gt;CONFIG!$B$5+91),"FUERA DE 91 DIAS",IF(AND(P102&lt;&gt;"",I102&gt;P102),"EN MODELO · SUPERA PROPUESTA","EN MODELO")))))))))))</f>
        <v/>
      </c>
    </row>
    <row r="103" spans="1:19" x14ac:dyDescent="0.45">
      <c r="A103" s="8"/>
      <c r="B103" s="4"/>
      <c r="C103" s="5"/>
      <c r="D103" s="5"/>
      <c r="E103" s="5"/>
      <c r="F103" s="4"/>
      <c r="G103" s="8"/>
      <c r="H103" s="5"/>
      <c r="I103" s="5"/>
      <c r="J103" s="4"/>
      <c r="K103" s="12" t="str">
        <f>IFERROR(IF(A103="","",IF(COUNTIF($A$6:$A$105,A103)&gt;1,"DUPLICADO STOCK",IF(COUNTIF(CATALOGO!$A$6:$A$105,A103)&lt;&gt;1,"SKU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INVALIDA",IF(INDEX(CATALOGO!$F$6:$F$105,MATCH(A103,CATALOGO!$A$6:$A$105,0))&lt;&gt;"ACTIVO",INDEX(CATALOGO!$F$6:$F$105,MATCH(A103,CATALOGO!$A$6:$A$105,0)),IF(OR(B103="",B103&lt;&gt;CONFIG!$B$5),"CONTEO NO VIGENTE",IF(OR(C103="",D103="",E103="",H103=""),"FALTA CAMPO",IF(OR(C103&lt;0,C103&gt;1000000,D103&lt;0,D103&gt;1000000,E103&lt;0,E103&gt;1000000,D103&gt;C103),"REVISAR VALOR",IF(H103&gt;CONFIG!$B$6,"EXPOSICION FUERA DE RANGO",IF(H103&lt;&gt;CONFIG!$B$6,"DISPONIBILIDAD INCOMPLETA",IF(CONFIG!$B$14&lt;&gt;"SI","VENTAS INCOMPLETAS",IF(CONFIG!$B$12&lt;&gt;"SI","POLITICA SIN REVISAR",IF(SUMPRODUCT(--(VENTAS!$B$6:$B$1005=A103),--(VENTAS!$A$6:$A$1005&gt;=CONFIG!$B$5-CONFIG!$B$6+1),--(VENTAS!$A$6:$A$1005&lt;=CONFIG!$B$5),--(VENTAS!$I$6:$I$1005&lt;&gt;""),--(VENTAS!$I$6:$I$1005&lt;&gt;"OK"))&gt;0,"VENTAS A REVISAR",IF(AND(E103&gt;0,OR(F103="",G103&lt;&gt;"SI")),"TRANSITO SIN CONFIRMAR",IF(AND(E103&gt;0,G103="SI",OR(F103&lt;=CONFIG!$B$5,F103&gt;CONFIG!$B$5+INDEX(CATALOGO!$M$6:$M$105,MATCH(A103,CATALOGO!$A$6:$A$105,0)))),"TRANSITO FUERA DEL PLAZO",IF(INDEX(CATALOGO!$T$6:$T$105,MATCH(A103,CATALOGO!$A$6:$A$105,0))&lt;&gt;"OK","CATALOGO A REVISAR",IF(1-INDEX(CATALOGO!$K$6:$K$105,MATCH(A103,CATALOGO!$A$6:$A$105,0))-CONFIG!$B$8&lt;=0,"MARGEN OBJETIVO INVIABLE",IF(INDEX(CATALOGO!$R$6:$R$105,MATCH(A103,CATALOGO!$A$6:$A$105,0))&lt;CONFIG!$B$8,"REVISAR PRECIO O COSTO","ELEGIBLE")))))))))))))))))),"CONFIG INVALIDA")</f>
        <v/>
      </c>
      <c r="L103" s="13" t="str">
        <f t="shared" si="2"/>
        <v/>
      </c>
      <c r="M103" s="12" t="str">
        <f>IFERROR(IF(OR(A103="",CONFIG!$B$14&lt;&gt;"SI",CONFIG!$B$6&lt;1,CONFIG!$B$6&gt;365,CONFIG!$B$6&lt;&gt;INT(CONFIG!$B$6),SUMPRODUCT(--(VENTAS!$B$6:$B$1005=A103),--(VENTAS!$A$6:$A$1005&gt;=CONFIG!$B$5-CONFIG!$B$6+1),--(VENTAS!$A$6:$A$1005&lt;=CONFIG!$B$5),--(VENTAS!$I$6:$I$1005&lt;&gt;""),--(VENTAS!$I$6:$I$1005&lt;&gt;"OK"))&gt;0),"",MAX(0,(SUMIFS(VENTAS!$C$6:$C$1005,VENTAS!$B$6:$B$1005,A103,VENTAS!$A$6:$A$1005,"&gt;="&amp;CONFIG!$B$5-CONFIG!$B$6+1,VENTAS!$A$6:$A$1005,"&lt;="&amp;CONFIG!$B$5)-SUMIFS(VENTAS!$E$6:$E$1005,VENTAS!$B$6:$B$1005,A103,VENTAS!$A$6:$A$1005,"&gt;="&amp;CONFIG!$B$5-CONFIG!$B$6+1,VENTAS!$A$6:$A$1005,"&lt;="&amp;CONFIG!$B$5))/CONFIG!$B$6)),"")</f>
        <v/>
      </c>
      <c r="N103" s="14" t="str">
        <f>IF(K103&lt;&gt;"ELEGIBLE","",IF(AND(E103&gt;0,G103="SI",F103&gt;CONFIG!$B$5,F103&lt;=CONFIG!$B$5+INDEX(CATALOGO!$M$6:$M$105,MATCH(A103,CATALOGO!$A$6:$A$105,0))),E103,0))</f>
        <v/>
      </c>
      <c r="O103" s="14" t="str">
        <f>IF(K103&lt;&gt;"ELEGIBLE","",MAX(0,ROUNDUP(ROUND(M103*(INDEX(CATALOGO!$M$6:$M$105,MATCH(A103,CATALOGO!$A$6:$A$105,0))+CONFIG!$B$7)-L103-N103,10),0)))</f>
        <v/>
      </c>
      <c r="P103" s="14" t="str">
        <f>IF(O103="","",IF(O103=0,0,ROUNDUP(MAX(O103,INDEX(CATALOGO!$N$6:$N$105,MATCH(A103,CATALOGO!$A$6:$A$105,0)))/INDEX(CATALOGO!$O$6:$O$105,MATCH(A103,CATALOGO!$A$6:$A$105,0)),0)*INDEX(CATALOGO!$O$6:$O$105,MATCH(A103,CATALOGO!$A$6:$A$105,0))))</f>
        <v/>
      </c>
      <c r="Q103" s="11" t="str">
        <f>IFERROR(IF(OR(A103="",COUNTIF(CATALOGO!$A$6:$A$105,A103)&lt;&gt;1),"",IF(OR(INDEX(CATALOGO!$H$6:$H$105,MATCH(A103,CATALOGO!$A$6:$A$105,0))="",INDEX(CATALOGO!$I$6:$I$105,MATCH(A103,CATALOGO!$A$6:$A$105,0))="",ABS(INDEX(CATALOGO!$H$6:$H$105,MATCH(A103,CATALOGO!$A$6:$A$105,0)))&gt;1000000000,ABS(INDEX(CATALOGO!$I$6:$I$105,MATCH(A103,CATALOGO!$A$6:$A$105,0)))&gt;1000000000),"",INDEX(CATALOGO!$H$6:$H$105,MATCH(A103,CATALOGO!$A$6:$A$105,0))+INDEX(CATALOGO!$I$6:$I$105,MATCH(A103,CATALOGO!$A$6:$A$105,0)))),"")</f>
        <v/>
      </c>
      <c r="R103" s="9" t="str">
        <f>IF(OR(A103="",I103="",COUNTIF(CATALOGO!$A$6:$A$105,A103)&lt;&gt;1),"",IF(I103=0,0,IF(OR(Q103="",INDEX(CATALOGO!$N$6:$N$105,MATCH(A103,CATALOGO!$A$6:$A$105,0))="",INDEX(CATALOGO!$O$6:$O$105,MATCH(A103,CATALOGO!$A$6:$A$105,0))="",INDEX(CATALOGO!$O$6:$O$105,MATCH(A103,CATALOGO!$A$6:$A$105,0))&lt;=0),"",IF(OR(I103&lt;INDEX(CATALOGO!$N$6:$N$105,MATCH(A103,CATALOGO!$A$6:$A$105,0)),MOD(I103,INDEX(CATALOGO!$O$6:$O$105,MATCH(A103,CATALOGO!$A$6:$A$105,0)))&lt;&gt;0,J103="",J103&lt;=CONFIG!$B$5,J103&gt;CONFIG!$B$5+91),"",I103*Q103))))</f>
        <v/>
      </c>
      <c r="S103" s="12" t="str">
        <f>IF(A103="","",IF(COUNTIF(CATALOGO!$A$6:$A$105,A103)&lt;&gt;1,"SKU NO VALIDO",IF(I103="","CANTIDAD DESCONOCIDA",IF(I103=0,"SIN COMPRA ELEGIDA",IF(OR(I103&lt;0,I103&gt;1000000),"CANTIDAD INVALIDA",IF(OR(INDEX(CATALOGO!$N$6:$N$105,MATCH(A103,CATALOGO!$A$6:$A$105,0))="",INDEX(CATALOGO!$O$6:$O$105,MATCH(A103,CATALOGO!$A$6:$A$105,0))="",INDEX(CATALOGO!$O$6:$O$105,MATCH(A103,CATALOGO!$A$6:$A$105,0))&lt;=0),"CATALOGO A REVISAR",IF(OR(I103&lt;INDEX(CATALOGO!$N$6:$N$105,MATCH(A103,CATALOGO!$A$6:$A$105,0)),MOD(I103,INDEX(CATALOGO!$O$6:$O$105,MATCH(A103,CATALOGO!$A$6:$A$105,0)))&lt;&gt;0),"NO RESPETA MOQ/PACK",IF(J103="","FALTA FECHA PAGO",IF(Q103="","COSTO DESCONOCIDO",IF(OR(J103&lt;=CONFIG!$B$5,J103&gt;CONFIG!$B$5+91),"FUERA DE 91 DIAS",IF(AND(P103&lt;&gt;"",I103&gt;P103),"EN MODELO · SUPERA PROPUESTA","EN MODELO")))))))))))</f>
        <v/>
      </c>
    </row>
    <row r="104" spans="1:19" x14ac:dyDescent="0.45">
      <c r="A104" s="8"/>
      <c r="B104" s="4"/>
      <c r="C104" s="5"/>
      <c r="D104" s="5"/>
      <c r="E104" s="5"/>
      <c r="F104" s="4"/>
      <c r="G104" s="8"/>
      <c r="H104" s="5"/>
      <c r="I104" s="5"/>
      <c r="J104" s="4"/>
      <c r="K104" s="12" t="str">
        <f>IFERROR(IF(A104="","",IF(COUNTIF($A$6:$A$105,A104)&gt;1,"DUPLICADO STOCK",IF(COUNTIF(CATALOGO!$A$6:$A$105,A104)&lt;&gt;1,"SKU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INVALIDA",IF(INDEX(CATALOGO!$F$6:$F$105,MATCH(A104,CATALOGO!$A$6:$A$105,0))&lt;&gt;"ACTIVO",INDEX(CATALOGO!$F$6:$F$105,MATCH(A104,CATALOGO!$A$6:$A$105,0)),IF(OR(B104="",B104&lt;&gt;CONFIG!$B$5),"CONTEO NO VIGENTE",IF(OR(C104="",D104="",E104="",H104=""),"FALTA CAMPO",IF(OR(C104&lt;0,C104&gt;1000000,D104&lt;0,D104&gt;1000000,E104&lt;0,E104&gt;1000000,D104&gt;C104),"REVISAR VALOR",IF(H104&gt;CONFIG!$B$6,"EXPOSICION FUERA DE RANGO",IF(H104&lt;&gt;CONFIG!$B$6,"DISPONIBILIDAD INCOMPLETA",IF(CONFIG!$B$14&lt;&gt;"SI","VENTAS INCOMPLETAS",IF(CONFIG!$B$12&lt;&gt;"SI","POLITICA SIN REVISAR",IF(SUMPRODUCT(--(VENTAS!$B$6:$B$1005=A104),--(VENTAS!$A$6:$A$1005&gt;=CONFIG!$B$5-CONFIG!$B$6+1),--(VENTAS!$A$6:$A$1005&lt;=CONFIG!$B$5),--(VENTAS!$I$6:$I$1005&lt;&gt;""),--(VENTAS!$I$6:$I$1005&lt;&gt;"OK"))&gt;0,"VENTAS A REVISAR",IF(AND(E104&gt;0,OR(F104="",G104&lt;&gt;"SI")),"TRANSITO SIN CONFIRMAR",IF(AND(E104&gt;0,G104="SI",OR(F104&lt;=CONFIG!$B$5,F104&gt;CONFIG!$B$5+INDEX(CATALOGO!$M$6:$M$105,MATCH(A104,CATALOGO!$A$6:$A$105,0)))),"TRANSITO FUERA DEL PLAZO",IF(INDEX(CATALOGO!$T$6:$T$105,MATCH(A104,CATALOGO!$A$6:$A$105,0))&lt;&gt;"OK","CATALOGO A REVISAR",IF(1-INDEX(CATALOGO!$K$6:$K$105,MATCH(A104,CATALOGO!$A$6:$A$105,0))-CONFIG!$B$8&lt;=0,"MARGEN OBJETIVO INVIABLE",IF(INDEX(CATALOGO!$R$6:$R$105,MATCH(A104,CATALOGO!$A$6:$A$105,0))&lt;CONFIG!$B$8,"REVISAR PRECIO O COSTO","ELEGIBLE")))))))))))))))))),"CONFIG INVALIDA")</f>
        <v/>
      </c>
      <c r="L104" s="13" t="str">
        <f t="shared" si="2"/>
        <v/>
      </c>
      <c r="M104" s="12" t="str">
        <f>IFERROR(IF(OR(A104="",CONFIG!$B$14&lt;&gt;"SI",CONFIG!$B$6&lt;1,CONFIG!$B$6&gt;365,CONFIG!$B$6&lt;&gt;INT(CONFIG!$B$6),SUMPRODUCT(--(VENTAS!$B$6:$B$1005=A104),--(VENTAS!$A$6:$A$1005&gt;=CONFIG!$B$5-CONFIG!$B$6+1),--(VENTAS!$A$6:$A$1005&lt;=CONFIG!$B$5),--(VENTAS!$I$6:$I$1005&lt;&gt;""),--(VENTAS!$I$6:$I$1005&lt;&gt;"OK"))&gt;0),"",MAX(0,(SUMIFS(VENTAS!$C$6:$C$1005,VENTAS!$B$6:$B$1005,A104,VENTAS!$A$6:$A$1005,"&gt;="&amp;CONFIG!$B$5-CONFIG!$B$6+1,VENTAS!$A$6:$A$1005,"&lt;="&amp;CONFIG!$B$5)-SUMIFS(VENTAS!$E$6:$E$1005,VENTAS!$B$6:$B$1005,A104,VENTAS!$A$6:$A$1005,"&gt;="&amp;CONFIG!$B$5-CONFIG!$B$6+1,VENTAS!$A$6:$A$1005,"&lt;="&amp;CONFIG!$B$5))/CONFIG!$B$6)),"")</f>
        <v/>
      </c>
      <c r="N104" s="14" t="str">
        <f>IF(K104&lt;&gt;"ELEGIBLE","",IF(AND(E104&gt;0,G104="SI",F104&gt;CONFIG!$B$5,F104&lt;=CONFIG!$B$5+INDEX(CATALOGO!$M$6:$M$105,MATCH(A104,CATALOGO!$A$6:$A$105,0))),E104,0))</f>
        <v/>
      </c>
      <c r="O104" s="14" t="str">
        <f>IF(K104&lt;&gt;"ELEGIBLE","",MAX(0,ROUNDUP(ROUND(M104*(INDEX(CATALOGO!$M$6:$M$105,MATCH(A104,CATALOGO!$A$6:$A$105,0))+CONFIG!$B$7)-L104-N104,10),0)))</f>
        <v/>
      </c>
      <c r="P104" s="14" t="str">
        <f>IF(O104="","",IF(O104=0,0,ROUNDUP(MAX(O104,INDEX(CATALOGO!$N$6:$N$105,MATCH(A104,CATALOGO!$A$6:$A$105,0)))/INDEX(CATALOGO!$O$6:$O$105,MATCH(A104,CATALOGO!$A$6:$A$105,0)),0)*INDEX(CATALOGO!$O$6:$O$105,MATCH(A104,CATALOGO!$A$6:$A$105,0))))</f>
        <v/>
      </c>
      <c r="Q104" s="11" t="str">
        <f>IFERROR(IF(OR(A104="",COUNTIF(CATALOGO!$A$6:$A$105,A104)&lt;&gt;1),"",IF(OR(INDEX(CATALOGO!$H$6:$H$105,MATCH(A104,CATALOGO!$A$6:$A$105,0))="",INDEX(CATALOGO!$I$6:$I$105,MATCH(A104,CATALOGO!$A$6:$A$105,0))="",ABS(INDEX(CATALOGO!$H$6:$H$105,MATCH(A104,CATALOGO!$A$6:$A$105,0)))&gt;1000000000,ABS(INDEX(CATALOGO!$I$6:$I$105,MATCH(A104,CATALOGO!$A$6:$A$105,0)))&gt;1000000000),"",INDEX(CATALOGO!$H$6:$H$105,MATCH(A104,CATALOGO!$A$6:$A$105,0))+INDEX(CATALOGO!$I$6:$I$105,MATCH(A104,CATALOGO!$A$6:$A$105,0)))),"")</f>
        <v/>
      </c>
      <c r="R104" s="9" t="str">
        <f>IF(OR(A104="",I104="",COUNTIF(CATALOGO!$A$6:$A$105,A104)&lt;&gt;1),"",IF(I104=0,0,IF(OR(Q104="",INDEX(CATALOGO!$N$6:$N$105,MATCH(A104,CATALOGO!$A$6:$A$105,0))="",INDEX(CATALOGO!$O$6:$O$105,MATCH(A104,CATALOGO!$A$6:$A$105,0))="",INDEX(CATALOGO!$O$6:$O$105,MATCH(A104,CATALOGO!$A$6:$A$105,0))&lt;=0),"",IF(OR(I104&lt;INDEX(CATALOGO!$N$6:$N$105,MATCH(A104,CATALOGO!$A$6:$A$105,0)),MOD(I104,INDEX(CATALOGO!$O$6:$O$105,MATCH(A104,CATALOGO!$A$6:$A$105,0)))&lt;&gt;0,J104="",J104&lt;=CONFIG!$B$5,J104&gt;CONFIG!$B$5+91),"",I104*Q104))))</f>
        <v/>
      </c>
      <c r="S104" s="12" t="str">
        <f>IF(A104="","",IF(COUNTIF(CATALOGO!$A$6:$A$105,A104)&lt;&gt;1,"SKU NO VALIDO",IF(I104="","CANTIDAD DESCONOCIDA",IF(I104=0,"SIN COMPRA ELEGIDA",IF(OR(I104&lt;0,I104&gt;1000000),"CANTIDAD INVALIDA",IF(OR(INDEX(CATALOGO!$N$6:$N$105,MATCH(A104,CATALOGO!$A$6:$A$105,0))="",INDEX(CATALOGO!$O$6:$O$105,MATCH(A104,CATALOGO!$A$6:$A$105,0))="",INDEX(CATALOGO!$O$6:$O$105,MATCH(A104,CATALOGO!$A$6:$A$105,0))&lt;=0),"CATALOGO A REVISAR",IF(OR(I104&lt;INDEX(CATALOGO!$N$6:$N$105,MATCH(A104,CATALOGO!$A$6:$A$105,0)),MOD(I104,INDEX(CATALOGO!$O$6:$O$105,MATCH(A104,CATALOGO!$A$6:$A$105,0)))&lt;&gt;0),"NO RESPETA MOQ/PACK",IF(J104="","FALTA FECHA PAGO",IF(Q104="","COSTO DESCONOCIDO",IF(OR(J104&lt;=CONFIG!$B$5,J104&gt;CONFIG!$B$5+91),"FUERA DE 91 DIAS",IF(AND(P104&lt;&gt;"",I104&gt;P104),"EN MODELO · SUPERA PROPUESTA","EN MODELO")))))))))))</f>
        <v/>
      </c>
    </row>
    <row r="105" spans="1:19" x14ac:dyDescent="0.45">
      <c r="A105" s="8"/>
      <c r="B105" s="4"/>
      <c r="C105" s="5"/>
      <c r="D105" s="5"/>
      <c r="E105" s="5"/>
      <c r="F105" s="4"/>
      <c r="G105" s="8"/>
      <c r="H105" s="5"/>
      <c r="I105" s="5"/>
      <c r="J105" s="4"/>
      <c r="K105" s="12" t="str">
        <f>IFERROR(IF(A105="","",IF(COUNTIF($A$6:$A$105,A105)&gt;1,"DUPLICADO STOCK",IF(COUNTIF(CATALOGO!$A$6:$A$105,A105)&lt;&gt;1,"SKU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INVALIDA",IF(INDEX(CATALOGO!$F$6:$F$105,MATCH(A105,CATALOGO!$A$6:$A$105,0))&lt;&gt;"ACTIVO",INDEX(CATALOGO!$F$6:$F$105,MATCH(A105,CATALOGO!$A$6:$A$105,0)),IF(OR(B105="",B105&lt;&gt;CONFIG!$B$5),"CONTEO NO VIGENTE",IF(OR(C105="",D105="",E105="",H105=""),"FALTA CAMPO",IF(OR(C105&lt;0,C105&gt;1000000,D105&lt;0,D105&gt;1000000,E105&lt;0,E105&gt;1000000,D105&gt;C105),"REVISAR VALOR",IF(H105&gt;CONFIG!$B$6,"EXPOSICION FUERA DE RANGO",IF(H105&lt;&gt;CONFIG!$B$6,"DISPONIBILIDAD INCOMPLETA",IF(CONFIG!$B$14&lt;&gt;"SI","VENTAS INCOMPLETAS",IF(CONFIG!$B$12&lt;&gt;"SI","POLITICA SIN REVISAR",IF(SUMPRODUCT(--(VENTAS!$B$6:$B$1005=A105),--(VENTAS!$A$6:$A$1005&gt;=CONFIG!$B$5-CONFIG!$B$6+1),--(VENTAS!$A$6:$A$1005&lt;=CONFIG!$B$5),--(VENTAS!$I$6:$I$1005&lt;&gt;""),--(VENTAS!$I$6:$I$1005&lt;&gt;"OK"))&gt;0,"VENTAS A REVISAR",IF(AND(E105&gt;0,OR(F105="",G105&lt;&gt;"SI")),"TRANSITO SIN CONFIRMAR",IF(AND(E105&gt;0,G105="SI",OR(F105&lt;=CONFIG!$B$5,F105&gt;CONFIG!$B$5+INDEX(CATALOGO!$M$6:$M$105,MATCH(A105,CATALOGO!$A$6:$A$105,0)))),"TRANSITO FUERA DEL PLAZO",IF(INDEX(CATALOGO!$T$6:$T$105,MATCH(A105,CATALOGO!$A$6:$A$105,0))&lt;&gt;"OK","CATALOGO A REVISAR",IF(1-INDEX(CATALOGO!$K$6:$K$105,MATCH(A105,CATALOGO!$A$6:$A$105,0))-CONFIG!$B$8&lt;=0,"MARGEN OBJETIVO INVIABLE",IF(INDEX(CATALOGO!$R$6:$R$105,MATCH(A105,CATALOGO!$A$6:$A$105,0))&lt;CONFIG!$B$8,"REVISAR PRECIO O COSTO","ELEGIBLE")))))))))))))))))),"CONFIG INVALIDA")</f>
        <v/>
      </c>
      <c r="L105" s="13" t="str">
        <f t="shared" si="2"/>
        <v/>
      </c>
      <c r="M105" s="12" t="str">
        <f>IFERROR(IF(OR(A105="",CONFIG!$B$14&lt;&gt;"SI",CONFIG!$B$6&lt;1,CONFIG!$B$6&gt;365,CONFIG!$B$6&lt;&gt;INT(CONFIG!$B$6),SUMPRODUCT(--(VENTAS!$B$6:$B$1005=A105),--(VENTAS!$A$6:$A$1005&gt;=CONFIG!$B$5-CONFIG!$B$6+1),--(VENTAS!$A$6:$A$1005&lt;=CONFIG!$B$5),--(VENTAS!$I$6:$I$1005&lt;&gt;""),--(VENTAS!$I$6:$I$1005&lt;&gt;"OK"))&gt;0),"",MAX(0,(SUMIFS(VENTAS!$C$6:$C$1005,VENTAS!$B$6:$B$1005,A105,VENTAS!$A$6:$A$1005,"&gt;="&amp;CONFIG!$B$5-CONFIG!$B$6+1,VENTAS!$A$6:$A$1005,"&lt;="&amp;CONFIG!$B$5)-SUMIFS(VENTAS!$E$6:$E$1005,VENTAS!$B$6:$B$1005,A105,VENTAS!$A$6:$A$1005,"&gt;="&amp;CONFIG!$B$5-CONFIG!$B$6+1,VENTAS!$A$6:$A$1005,"&lt;="&amp;CONFIG!$B$5))/CONFIG!$B$6)),"")</f>
        <v/>
      </c>
      <c r="N105" s="14" t="str">
        <f>IF(K105&lt;&gt;"ELEGIBLE","",IF(AND(E105&gt;0,G105="SI",F105&gt;CONFIG!$B$5,F105&lt;=CONFIG!$B$5+INDEX(CATALOGO!$M$6:$M$105,MATCH(A105,CATALOGO!$A$6:$A$105,0))),E105,0))</f>
        <v/>
      </c>
      <c r="O105" s="14" t="str">
        <f>IF(K105&lt;&gt;"ELEGIBLE","",MAX(0,ROUNDUP(ROUND(M105*(INDEX(CATALOGO!$M$6:$M$105,MATCH(A105,CATALOGO!$A$6:$A$105,0))+CONFIG!$B$7)-L105-N105,10),0)))</f>
        <v/>
      </c>
      <c r="P105" s="14" t="str">
        <f>IF(O105="","",IF(O105=0,0,ROUNDUP(MAX(O105,INDEX(CATALOGO!$N$6:$N$105,MATCH(A105,CATALOGO!$A$6:$A$105,0)))/INDEX(CATALOGO!$O$6:$O$105,MATCH(A105,CATALOGO!$A$6:$A$105,0)),0)*INDEX(CATALOGO!$O$6:$O$105,MATCH(A105,CATALOGO!$A$6:$A$105,0))))</f>
        <v/>
      </c>
      <c r="Q105" s="11" t="str">
        <f>IFERROR(IF(OR(A105="",COUNTIF(CATALOGO!$A$6:$A$105,A105)&lt;&gt;1),"",IF(OR(INDEX(CATALOGO!$H$6:$H$105,MATCH(A105,CATALOGO!$A$6:$A$105,0))="",INDEX(CATALOGO!$I$6:$I$105,MATCH(A105,CATALOGO!$A$6:$A$105,0))="",ABS(INDEX(CATALOGO!$H$6:$H$105,MATCH(A105,CATALOGO!$A$6:$A$105,0)))&gt;1000000000,ABS(INDEX(CATALOGO!$I$6:$I$105,MATCH(A105,CATALOGO!$A$6:$A$105,0)))&gt;1000000000),"",INDEX(CATALOGO!$H$6:$H$105,MATCH(A105,CATALOGO!$A$6:$A$105,0))+INDEX(CATALOGO!$I$6:$I$105,MATCH(A105,CATALOGO!$A$6:$A$105,0)))),"")</f>
        <v/>
      </c>
      <c r="R105" s="9" t="str">
        <f>IF(OR(A105="",I105="",COUNTIF(CATALOGO!$A$6:$A$105,A105)&lt;&gt;1),"",IF(I105=0,0,IF(OR(Q105="",INDEX(CATALOGO!$N$6:$N$105,MATCH(A105,CATALOGO!$A$6:$A$105,0))="",INDEX(CATALOGO!$O$6:$O$105,MATCH(A105,CATALOGO!$A$6:$A$105,0))="",INDEX(CATALOGO!$O$6:$O$105,MATCH(A105,CATALOGO!$A$6:$A$105,0))&lt;=0),"",IF(OR(I105&lt;INDEX(CATALOGO!$N$6:$N$105,MATCH(A105,CATALOGO!$A$6:$A$105,0)),MOD(I105,INDEX(CATALOGO!$O$6:$O$105,MATCH(A105,CATALOGO!$A$6:$A$105,0)))&lt;&gt;0,J105="",J105&lt;=CONFIG!$B$5,J105&gt;CONFIG!$B$5+91),"",I105*Q105))))</f>
        <v/>
      </c>
      <c r="S105" s="12" t="str">
        <f>IF(A105="","",IF(COUNTIF(CATALOGO!$A$6:$A$105,A105)&lt;&gt;1,"SKU NO VALIDO",IF(I105="","CANTIDAD DESCONOCIDA",IF(I105=0,"SIN COMPRA ELEGIDA",IF(OR(I105&lt;0,I105&gt;1000000),"CANTIDAD INVALIDA",IF(OR(INDEX(CATALOGO!$N$6:$N$105,MATCH(A105,CATALOGO!$A$6:$A$105,0))="",INDEX(CATALOGO!$O$6:$O$105,MATCH(A105,CATALOGO!$A$6:$A$105,0))="",INDEX(CATALOGO!$O$6:$O$105,MATCH(A105,CATALOGO!$A$6:$A$105,0))&lt;=0),"CATALOGO A REVISAR",IF(OR(I105&lt;INDEX(CATALOGO!$N$6:$N$105,MATCH(A105,CATALOGO!$A$6:$A$105,0)),MOD(I105,INDEX(CATALOGO!$O$6:$O$105,MATCH(A105,CATALOGO!$A$6:$A$105,0)))&lt;&gt;0),"NO RESPETA MOQ/PACK",IF(J105="","FALTA FECHA PAGO",IF(Q105="","COSTO DESCONOCIDO",IF(OR(J105&lt;=CONFIG!$B$5,J105&gt;CONFIG!$B$5+91),"FUERA DE 91 DIAS",IF(AND(P105&lt;&gt;"",I105&gt;P105),"EN MODELO · SUPERA PROPUESTA","EN MODELO")))))))))))</f>
        <v/>
      </c>
    </row>
  </sheetData>
  <sheetProtection sheet="1" objects="1" scenarios="1" formatColumns="0" sort="0" autoFilter="0"/>
  <mergeCells count="2">
    <mergeCell ref="A1:S1"/>
    <mergeCell ref="A2:S2"/>
  </mergeCells>
  <conditionalFormatting sqref="K6:K105">
    <cfRule type="notContainsText" dxfId="4" priority="1" operator="notContains" text="ELEGIBLE">
      <formula>ISERROR(SEARCH("ELEGIBLE",K6))</formula>
    </cfRule>
  </conditionalFormatting>
  <conditionalFormatting sqref="S6:S105">
    <cfRule type="containsText" dxfId="3" priority="2" operator="containsText" text="FALTA">
      <formula>NOT(ISERROR(SEARCH("FALTA",S6)))</formula>
    </cfRule>
  </conditionalFormatting>
  <dataValidations count="5">
    <dataValidation type="list" allowBlank="1" showInputMessage="1" showErrorMessage="1" sqref="A6:A105" xr:uid="{00000000-0002-0000-0400-000000000000}">
      <formula1>SKU_LIST</formula1>
    </dataValidation>
    <dataValidation type="date" allowBlank="1" showInputMessage="1" showErrorMessage="1" sqref="B6:B105 J6:J105 F6:F105" xr:uid="{00000000-0002-0000-0400-000001000000}">
      <formula1>0</formula1>
      <formula2>73415</formula2>
    </dataValidation>
    <dataValidation type="whole" allowBlank="1" showInputMessage="1" showErrorMessage="1" sqref="C6:E105 I6:I105" xr:uid="{00000000-0002-0000-0400-000004000000}">
      <formula1>0</formula1>
      <formula2>1000000</formula2>
    </dataValidation>
    <dataValidation type="list" allowBlank="1" showInputMessage="1" showErrorMessage="1" sqref="G6:G105" xr:uid="{00000000-0002-0000-0400-000005000000}">
      <formula1>"SI,NO"</formula1>
    </dataValidation>
    <dataValidation type="whole" allowBlank="1" showInputMessage="1" showErrorMessage="1" sqref="H6:H105" xr:uid="{00000000-0002-0000-0400-000006000000}">
      <formula1>0</formula1>
      <formula2>365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B68"/>
    <pageSetUpPr fitToPage="1"/>
  </sheetPr>
  <dimension ref="A1:F25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6.73046875" customWidth="1"/>
    <col min="2" max="2" width="15.73046875" customWidth="1"/>
    <col min="3" max="3" width="28.73046875" customWidth="1"/>
    <col min="4" max="4" width="21.73046875" customWidth="1"/>
    <col min="5" max="5" width="24.73046875" customWidth="1"/>
    <col min="6" max="6" width="22.73046875" customWidth="1"/>
  </cols>
  <sheetData>
    <row r="1" spans="1:6" ht="30" customHeight="1" x14ac:dyDescent="0.45">
      <c r="A1" s="21" t="s">
        <v>151</v>
      </c>
      <c r="B1" s="21"/>
      <c r="C1" s="21"/>
      <c r="D1" s="21"/>
      <c r="E1" s="21"/>
      <c r="F1" s="21"/>
    </row>
    <row r="2" spans="1:6" ht="32" customHeight="1" x14ac:dyDescent="0.45">
      <c r="A2" s="22" t="s">
        <v>152</v>
      </c>
      <c r="B2" s="22"/>
      <c r="C2" s="22"/>
      <c r="D2" s="22"/>
      <c r="E2" s="22"/>
      <c r="F2" s="22"/>
    </row>
    <row r="5" spans="1:6" x14ac:dyDescent="0.45">
      <c r="A5" t="s">
        <v>95</v>
      </c>
      <c r="B5" t="s">
        <v>153</v>
      </c>
      <c r="C5" t="s">
        <v>45</v>
      </c>
      <c r="D5" t="s">
        <v>154</v>
      </c>
      <c r="E5" t="s">
        <v>101</v>
      </c>
      <c r="F5" t="s">
        <v>62</v>
      </c>
    </row>
    <row r="6" spans="1:6" x14ac:dyDescent="0.45">
      <c r="A6" s="4">
        <v>46289</v>
      </c>
      <c r="B6" s="8" t="s">
        <v>155</v>
      </c>
      <c r="C6" s="8" t="s">
        <v>156</v>
      </c>
      <c r="D6" s="7">
        <v>15000</v>
      </c>
      <c r="E6" s="8" t="s">
        <v>157</v>
      </c>
      <c r="F6" s="12" t="str">
        <f>IFERROR(IF(COUNTA(A6:E6)=0,"",IF(OR(A6="",B6="",C6="",D6=""),"FALTA CAMPO",IF(AND(B6&lt;&gt;"ENTRADA",B6&lt;&gt;"SALIDA"),"DIRECCION INVALIDA",IF(OR(D6&lt;=0,ABS(D6)&gt;1000000000,ROUND(D6,2)&lt;&gt;D6),"MONTO INVALIDO",IF(OR(A6&lt;DATE(1900,1,1),A6&gt;DATE(2100,12,31),A6&lt;=CONFIG!$B$5,A6&gt;CONFIG!$B$5+91),"FUERA DE HORIZONTE","OK"))))),"MONTO INVALIDO")</f>
        <v>OK</v>
      </c>
    </row>
    <row r="7" spans="1:6" x14ac:dyDescent="0.45">
      <c r="A7" s="4">
        <v>46291</v>
      </c>
      <c r="B7" s="8" t="s">
        <v>158</v>
      </c>
      <c r="C7" s="8" t="s">
        <v>159</v>
      </c>
      <c r="D7" s="7">
        <v>18000</v>
      </c>
      <c r="E7" s="8" t="s">
        <v>160</v>
      </c>
      <c r="F7" s="12" t="str">
        <f>IFERROR(IF(COUNTA(A7:E7)=0,"",IF(OR(A7="",B7="",C7="",D7=""),"FALTA CAMPO",IF(AND(B7&lt;&gt;"ENTRADA",B7&lt;&gt;"SALIDA"),"DIRECCION INVALIDA",IF(OR(D7&lt;=0,ABS(D7)&gt;1000000000,ROUND(D7,2)&lt;&gt;D7),"MONTO INVALIDO",IF(OR(A7&lt;DATE(1900,1,1),A7&gt;DATE(2100,12,31),A7&lt;=CONFIG!$B$5,A7&gt;CONFIG!$B$5+91),"FUERA DE HORIZONTE","OK"))))),"MONTO INVALIDO")</f>
        <v>OK</v>
      </c>
    </row>
    <row r="8" spans="1:6" x14ac:dyDescent="0.45">
      <c r="A8" s="4">
        <v>46296</v>
      </c>
      <c r="B8" s="8" t="s">
        <v>155</v>
      </c>
      <c r="C8" s="8" t="s">
        <v>156</v>
      </c>
      <c r="D8" s="7">
        <v>12000</v>
      </c>
      <c r="E8" s="8" t="s">
        <v>161</v>
      </c>
      <c r="F8" s="12" t="str">
        <f>IFERROR(IF(COUNTA(A8:E8)=0,"",IF(OR(A8="",B8="",C8="",D8=""),"FALTA CAMPO",IF(AND(B8&lt;&gt;"ENTRADA",B8&lt;&gt;"SALIDA"),"DIRECCION INVALIDA",IF(OR(D8&lt;=0,ABS(D8)&gt;1000000000,ROUND(D8,2)&lt;&gt;D8),"MONTO INVALIDO",IF(OR(A8&lt;DATE(1900,1,1),A8&gt;DATE(2100,12,31),A8&lt;=CONFIG!$B$5,A8&gt;CONFIG!$B$5+91),"FUERA DE HORIZONTE","OK"))))),"MONTO INVALIDO")</f>
        <v>OK</v>
      </c>
    </row>
    <row r="9" spans="1:6" x14ac:dyDescent="0.45">
      <c r="A9" s="4">
        <v>46299</v>
      </c>
      <c r="B9" s="8" t="s">
        <v>158</v>
      </c>
      <c r="C9" s="8" t="s">
        <v>159</v>
      </c>
      <c r="D9" s="7">
        <v>14000</v>
      </c>
      <c r="E9" s="8" t="s">
        <v>162</v>
      </c>
      <c r="F9" s="12" t="str">
        <f>IFERROR(IF(COUNTA(A9:E9)=0,"",IF(OR(A9="",B9="",C9="",D9=""),"FALTA CAMPO",IF(AND(B9&lt;&gt;"ENTRADA",B9&lt;&gt;"SALIDA"),"DIRECCION INVALIDA",IF(OR(D9&lt;=0,ABS(D9)&gt;1000000000,ROUND(D9,2)&lt;&gt;D9),"MONTO INVALIDO",IF(OR(A9&lt;DATE(1900,1,1),A9&gt;DATE(2100,12,31),A9&lt;=CONFIG!$B$5,A9&gt;CONFIG!$B$5+91),"FUERA DE HORIZONTE","OK"))))),"MONTO INVALIDO")</f>
        <v>OK</v>
      </c>
    </row>
    <row r="10" spans="1:6" x14ac:dyDescent="0.45">
      <c r="A10" s="4">
        <v>46306</v>
      </c>
      <c r="B10" s="8" t="s">
        <v>158</v>
      </c>
      <c r="C10" s="8" t="s">
        <v>163</v>
      </c>
      <c r="D10" s="7">
        <v>6000</v>
      </c>
      <c r="E10" s="8" t="s">
        <v>164</v>
      </c>
      <c r="F10" s="12" t="str">
        <f>IFERROR(IF(COUNTA(A10:E10)=0,"",IF(OR(A10="",B10="",C10="",D10=""),"FALTA CAMPO",IF(AND(B10&lt;&gt;"ENTRADA",B10&lt;&gt;"SALIDA"),"DIRECCION INVALIDA",IF(OR(D10&lt;=0,ABS(D10)&gt;1000000000,ROUND(D10,2)&lt;&gt;D10),"MONTO INVALIDO",IF(OR(A10&lt;DATE(1900,1,1),A10&gt;DATE(2100,12,31),A10&lt;=CONFIG!$B$5,A10&gt;CONFIG!$B$5+91),"FUERA DE HORIZONTE","OK"))))),"MONTO INVALIDO")</f>
        <v>OK</v>
      </c>
    </row>
    <row r="11" spans="1:6" x14ac:dyDescent="0.45">
      <c r="A11" s="4">
        <v>46317</v>
      </c>
      <c r="B11" s="8" t="s">
        <v>155</v>
      </c>
      <c r="C11" s="8" t="s">
        <v>156</v>
      </c>
      <c r="D11" s="7">
        <v>9000</v>
      </c>
      <c r="E11" s="8" t="s">
        <v>165</v>
      </c>
      <c r="F11" s="12" t="str">
        <f>IFERROR(IF(COUNTA(A11:E11)=0,"",IF(OR(A11="",B11="",C11="",D11=""),"FALTA CAMPO",IF(AND(B11&lt;&gt;"ENTRADA",B11&lt;&gt;"SALIDA"),"DIRECCION INVALIDA",IF(OR(D11&lt;=0,ABS(D11)&gt;1000000000,ROUND(D11,2)&lt;&gt;D11),"MONTO INVALIDO",IF(OR(A11&lt;DATE(1900,1,1),A11&gt;DATE(2100,12,31),A11&lt;=CONFIG!$B$5,A11&gt;CONFIG!$B$5+91),"FUERA DE HORIZONTE","OK"))))),"MONTO INVALIDO")</f>
        <v>OK</v>
      </c>
    </row>
    <row r="12" spans="1:6" x14ac:dyDescent="0.45">
      <c r="A12" s="4">
        <v>46324</v>
      </c>
      <c r="B12" s="8" t="s">
        <v>158</v>
      </c>
      <c r="C12" s="8" t="s">
        <v>159</v>
      </c>
      <c r="D12" s="7">
        <v>11000</v>
      </c>
      <c r="E12" s="8" t="s">
        <v>166</v>
      </c>
      <c r="F12" s="12" t="str">
        <f>IFERROR(IF(COUNTA(A12:E12)=0,"",IF(OR(A12="",B12="",C12="",D12=""),"FALTA CAMPO",IF(AND(B12&lt;&gt;"ENTRADA",B12&lt;&gt;"SALIDA"),"DIRECCION INVALIDA",IF(OR(D12&lt;=0,ABS(D12)&gt;1000000000,ROUND(D12,2)&lt;&gt;D12),"MONTO INVALIDO",IF(OR(A12&lt;DATE(1900,1,1),A12&gt;DATE(2100,12,31),A12&lt;=CONFIG!$B$5,A12&gt;CONFIG!$B$5+91),"FUERA DE HORIZONTE","OK"))))),"MONTO INVALIDO")</f>
        <v>OK</v>
      </c>
    </row>
    <row r="13" spans="1:6" x14ac:dyDescent="0.45">
      <c r="A13" s="4">
        <v>46340</v>
      </c>
      <c r="B13" s="8" t="s">
        <v>158</v>
      </c>
      <c r="C13" s="8" t="s">
        <v>159</v>
      </c>
      <c r="D13" s="7">
        <v>8000</v>
      </c>
      <c r="E13" s="8" t="s">
        <v>167</v>
      </c>
      <c r="F13" s="12" t="str">
        <f>IFERROR(IF(COUNTA(A13:E13)=0,"",IF(OR(A13="",B13="",C13="",D13=""),"FALTA CAMPO",IF(AND(B13&lt;&gt;"ENTRADA",B13&lt;&gt;"SALIDA"),"DIRECCION INVALIDA",IF(OR(D13&lt;=0,ABS(D13)&gt;1000000000,ROUND(D13,2)&lt;&gt;D13),"MONTO INVALIDO",IF(OR(A13&lt;DATE(1900,1,1),A13&gt;DATE(2100,12,31),A13&lt;=CONFIG!$B$5,A13&gt;CONFIG!$B$5+91),"FUERA DE HORIZONTE","OK"))))),"MONTO INVALIDO")</f>
        <v>OK</v>
      </c>
    </row>
    <row r="14" spans="1:6" x14ac:dyDescent="0.45">
      <c r="A14" s="4">
        <v>46364</v>
      </c>
      <c r="B14" s="8" t="s">
        <v>158</v>
      </c>
      <c r="C14" s="8" t="s">
        <v>159</v>
      </c>
      <c r="D14" s="7">
        <v>2000</v>
      </c>
      <c r="E14" s="8" t="s">
        <v>168</v>
      </c>
      <c r="F14" s="12" t="str">
        <f>IFERROR(IF(COUNTA(A14:E14)=0,"",IF(OR(A14="",B14="",C14="",D14=""),"FALTA CAMPO",IF(AND(B14&lt;&gt;"ENTRADA",B14&lt;&gt;"SALIDA"),"DIRECCION INVALIDA",IF(OR(D14&lt;=0,ABS(D14)&gt;1000000000,ROUND(D14,2)&lt;&gt;D14),"MONTO INVALIDO",IF(OR(A14&lt;DATE(1900,1,1),A14&gt;DATE(2100,12,31),A14&lt;=CONFIG!$B$5,A14&gt;CONFIG!$B$5+91),"FUERA DE HORIZONTE","OK"))))),"MONTO INVALIDO")</f>
        <v>OK</v>
      </c>
    </row>
    <row r="15" spans="1:6" x14ac:dyDescent="0.45">
      <c r="A15" s="4"/>
      <c r="B15" s="8"/>
      <c r="C15" s="8"/>
      <c r="D15" s="7"/>
      <c r="E15" s="8"/>
      <c r="F15" s="12" t="str">
        <f>IFERROR(IF(COUNTA(A15:E15)=0,"",IF(OR(A15="",B15="",C15="",D15=""),"FALTA CAMPO",IF(AND(B15&lt;&gt;"ENTRADA",B15&lt;&gt;"SALIDA"),"DIRECCION INVALIDA",IF(OR(D15&lt;=0,ABS(D15)&gt;1000000000,ROUND(D15,2)&lt;&gt;D15),"MONTO INVALIDO",IF(OR(A15&lt;DATE(1900,1,1),A15&gt;DATE(2100,12,31),A15&lt;=CONFIG!$B$5,A15&gt;CONFIG!$B$5+91),"FUERA DE HORIZONTE","OK"))))),"MONTO INVALIDO")</f>
        <v/>
      </c>
    </row>
    <row r="16" spans="1:6" x14ac:dyDescent="0.45">
      <c r="A16" s="4"/>
      <c r="B16" s="8"/>
      <c r="C16" s="8"/>
      <c r="D16" s="7"/>
      <c r="E16" s="8"/>
      <c r="F16" s="12" t="str">
        <f>IFERROR(IF(COUNTA(A16:E16)=0,"",IF(OR(A16="",B16="",C16="",D16=""),"FALTA CAMPO",IF(AND(B16&lt;&gt;"ENTRADA",B16&lt;&gt;"SALIDA"),"DIRECCION INVALIDA",IF(OR(D16&lt;=0,ABS(D16)&gt;1000000000,ROUND(D16,2)&lt;&gt;D16),"MONTO INVALIDO",IF(OR(A16&lt;DATE(1900,1,1),A16&gt;DATE(2100,12,31),A16&lt;=CONFIG!$B$5,A16&gt;CONFIG!$B$5+91),"FUERA DE HORIZONTE","OK"))))),"MONTO INVALIDO")</f>
        <v/>
      </c>
    </row>
    <row r="17" spans="1:6" x14ac:dyDescent="0.45">
      <c r="A17" s="4"/>
      <c r="B17" s="8"/>
      <c r="C17" s="8"/>
      <c r="D17" s="7"/>
      <c r="E17" s="8"/>
      <c r="F17" s="12" t="str">
        <f>IFERROR(IF(COUNTA(A17:E17)=0,"",IF(OR(A17="",B17="",C17="",D17=""),"FALTA CAMPO",IF(AND(B17&lt;&gt;"ENTRADA",B17&lt;&gt;"SALIDA"),"DIRECCION INVALIDA",IF(OR(D17&lt;=0,ABS(D17)&gt;1000000000,ROUND(D17,2)&lt;&gt;D17),"MONTO INVALIDO",IF(OR(A17&lt;DATE(1900,1,1),A17&gt;DATE(2100,12,31),A17&lt;=CONFIG!$B$5,A17&gt;CONFIG!$B$5+91),"FUERA DE HORIZONTE","OK"))))),"MONTO INVALIDO")</f>
        <v/>
      </c>
    </row>
    <row r="18" spans="1:6" x14ac:dyDescent="0.45">
      <c r="A18" s="4"/>
      <c r="B18" s="8"/>
      <c r="C18" s="8"/>
      <c r="D18" s="7"/>
      <c r="E18" s="8"/>
      <c r="F18" s="12" t="str">
        <f>IFERROR(IF(COUNTA(A18:E18)=0,"",IF(OR(A18="",B18="",C18="",D18=""),"FALTA CAMPO",IF(AND(B18&lt;&gt;"ENTRADA",B18&lt;&gt;"SALIDA"),"DIRECCION INVALIDA",IF(OR(D18&lt;=0,ABS(D18)&gt;1000000000,ROUND(D18,2)&lt;&gt;D18),"MONTO INVALIDO",IF(OR(A18&lt;DATE(1900,1,1),A18&gt;DATE(2100,12,31),A18&lt;=CONFIG!$B$5,A18&gt;CONFIG!$B$5+91),"FUERA DE HORIZONTE","OK"))))),"MONTO INVALIDO")</f>
        <v/>
      </c>
    </row>
    <row r="19" spans="1:6" x14ac:dyDescent="0.45">
      <c r="A19" s="4"/>
      <c r="B19" s="8"/>
      <c r="C19" s="8"/>
      <c r="D19" s="7"/>
      <c r="E19" s="8"/>
      <c r="F19" s="12" t="str">
        <f>IFERROR(IF(COUNTA(A19:E19)=0,"",IF(OR(A19="",B19="",C19="",D19=""),"FALTA CAMPO",IF(AND(B19&lt;&gt;"ENTRADA",B19&lt;&gt;"SALIDA"),"DIRECCION INVALIDA",IF(OR(D19&lt;=0,ABS(D19)&gt;1000000000,ROUND(D19,2)&lt;&gt;D19),"MONTO INVALIDO",IF(OR(A19&lt;DATE(1900,1,1),A19&gt;DATE(2100,12,31),A19&lt;=CONFIG!$B$5,A19&gt;CONFIG!$B$5+91),"FUERA DE HORIZONTE","OK"))))),"MONTO INVALIDO")</f>
        <v/>
      </c>
    </row>
    <row r="20" spans="1:6" x14ac:dyDescent="0.45">
      <c r="A20" s="4"/>
      <c r="B20" s="8"/>
      <c r="C20" s="8"/>
      <c r="D20" s="7"/>
      <c r="E20" s="8"/>
      <c r="F20" s="12" t="str">
        <f>IFERROR(IF(COUNTA(A20:E20)=0,"",IF(OR(A20="",B20="",C20="",D20=""),"FALTA CAMPO",IF(AND(B20&lt;&gt;"ENTRADA",B20&lt;&gt;"SALIDA"),"DIRECCION INVALIDA",IF(OR(D20&lt;=0,ABS(D20)&gt;1000000000,ROUND(D20,2)&lt;&gt;D20),"MONTO INVALIDO",IF(OR(A20&lt;DATE(1900,1,1),A20&gt;DATE(2100,12,31),A20&lt;=CONFIG!$B$5,A20&gt;CONFIG!$B$5+91),"FUERA DE HORIZONTE","OK"))))),"MONTO INVALIDO")</f>
        <v/>
      </c>
    </row>
    <row r="21" spans="1:6" x14ac:dyDescent="0.45">
      <c r="A21" s="4"/>
      <c r="B21" s="8"/>
      <c r="C21" s="8"/>
      <c r="D21" s="7"/>
      <c r="E21" s="8"/>
      <c r="F21" s="12" t="str">
        <f>IFERROR(IF(COUNTA(A21:E21)=0,"",IF(OR(A21="",B21="",C21="",D21=""),"FALTA CAMPO",IF(AND(B21&lt;&gt;"ENTRADA",B21&lt;&gt;"SALIDA"),"DIRECCION INVALIDA",IF(OR(D21&lt;=0,ABS(D21)&gt;1000000000,ROUND(D21,2)&lt;&gt;D21),"MONTO INVALIDO",IF(OR(A21&lt;DATE(1900,1,1),A21&gt;DATE(2100,12,31),A21&lt;=CONFIG!$B$5,A21&gt;CONFIG!$B$5+91),"FUERA DE HORIZONTE","OK"))))),"MONTO INVALIDO")</f>
        <v/>
      </c>
    </row>
    <row r="22" spans="1:6" x14ac:dyDescent="0.45">
      <c r="A22" s="4"/>
      <c r="B22" s="8"/>
      <c r="C22" s="8"/>
      <c r="D22" s="7"/>
      <c r="E22" s="8"/>
      <c r="F22" s="12" t="str">
        <f>IFERROR(IF(COUNTA(A22:E22)=0,"",IF(OR(A22="",B22="",C22="",D22=""),"FALTA CAMPO",IF(AND(B22&lt;&gt;"ENTRADA",B22&lt;&gt;"SALIDA"),"DIRECCION INVALIDA",IF(OR(D22&lt;=0,ABS(D22)&gt;1000000000,ROUND(D22,2)&lt;&gt;D22),"MONTO INVALIDO",IF(OR(A22&lt;DATE(1900,1,1),A22&gt;DATE(2100,12,31),A22&lt;=CONFIG!$B$5,A22&gt;CONFIG!$B$5+91),"FUERA DE HORIZONTE","OK"))))),"MONTO INVALIDO")</f>
        <v/>
      </c>
    </row>
    <row r="23" spans="1:6" x14ac:dyDescent="0.45">
      <c r="A23" s="4"/>
      <c r="B23" s="8"/>
      <c r="C23" s="8"/>
      <c r="D23" s="7"/>
      <c r="E23" s="8"/>
      <c r="F23" s="12" t="str">
        <f>IFERROR(IF(COUNTA(A23:E23)=0,"",IF(OR(A23="",B23="",C23="",D23=""),"FALTA CAMPO",IF(AND(B23&lt;&gt;"ENTRADA",B23&lt;&gt;"SALIDA"),"DIRECCION INVALIDA",IF(OR(D23&lt;=0,ABS(D23)&gt;1000000000,ROUND(D23,2)&lt;&gt;D23),"MONTO INVALIDO",IF(OR(A23&lt;DATE(1900,1,1),A23&gt;DATE(2100,12,31),A23&lt;=CONFIG!$B$5,A23&gt;CONFIG!$B$5+91),"FUERA DE HORIZONTE","OK"))))),"MONTO INVALIDO")</f>
        <v/>
      </c>
    </row>
    <row r="24" spans="1:6" x14ac:dyDescent="0.45">
      <c r="A24" s="4"/>
      <c r="B24" s="8"/>
      <c r="C24" s="8"/>
      <c r="D24" s="7"/>
      <c r="E24" s="8"/>
      <c r="F24" s="12" t="str">
        <f>IFERROR(IF(COUNTA(A24:E24)=0,"",IF(OR(A24="",B24="",C24="",D24=""),"FALTA CAMPO",IF(AND(B24&lt;&gt;"ENTRADA",B24&lt;&gt;"SALIDA"),"DIRECCION INVALIDA",IF(OR(D24&lt;=0,ABS(D24)&gt;1000000000,ROUND(D24,2)&lt;&gt;D24),"MONTO INVALIDO",IF(OR(A24&lt;DATE(1900,1,1),A24&gt;DATE(2100,12,31),A24&lt;=CONFIG!$B$5,A24&gt;CONFIG!$B$5+91),"FUERA DE HORIZONTE","OK"))))),"MONTO INVALIDO")</f>
        <v/>
      </c>
    </row>
    <row r="25" spans="1:6" x14ac:dyDescent="0.45">
      <c r="A25" s="4"/>
      <c r="B25" s="8"/>
      <c r="C25" s="8"/>
      <c r="D25" s="7"/>
      <c r="E25" s="8"/>
      <c r="F25" s="12" t="str">
        <f>IFERROR(IF(COUNTA(A25:E25)=0,"",IF(OR(A25="",B25="",C25="",D25=""),"FALTA CAMPO",IF(AND(B25&lt;&gt;"ENTRADA",B25&lt;&gt;"SALIDA"),"DIRECCION INVALIDA",IF(OR(D25&lt;=0,ABS(D25)&gt;1000000000,ROUND(D25,2)&lt;&gt;D25),"MONTO INVALIDO",IF(OR(A25&lt;DATE(1900,1,1),A25&gt;DATE(2100,12,31),A25&lt;=CONFIG!$B$5,A25&gt;CONFIG!$B$5+91),"FUERA DE HORIZONTE","OK"))))),"MONTO INVALIDO")</f>
        <v/>
      </c>
    </row>
    <row r="26" spans="1:6" x14ac:dyDescent="0.45">
      <c r="A26" s="4"/>
      <c r="B26" s="8"/>
      <c r="C26" s="8"/>
      <c r="D26" s="7"/>
      <c r="E26" s="8"/>
      <c r="F26" s="12" t="str">
        <f>IFERROR(IF(COUNTA(A26:E26)=0,"",IF(OR(A26="",B26="",C26="",D26=""),"FALTA CAMPO",IF(AND(B26&lt;&gt;"ENTRADA",B26&lt;&gt;"SALIDA"),"DIRECCION INVALIDA",IF(OR(D26&lt;=0,ABS(D26)&gt;1000000000,ROUND(D26,2)&lt;&gt;D26),"MONTO INVALIDO",IF(OR(A26&lt;DATE(1900,1,1),A26&gt;DATE(2100,12,31),A26&lt;=CONFIG!$B$5,A26&gt;CONFIG!$B$5+91),"FUERA DE HORIZONTE","OK"))))),"MONTO INVALIDO")</f>
        <v/>
      </c>
    </row>
    <row r="27" spans="1:6" x14ac:dyDescent="0.45">
      <c r="A27" s="4"/>
      <c r="B27" s="8"/>
      <c r="C27" s="8"/>
      <c r="D27" s="7"/>
      <c r="E27" s="8"/>
      <c r="F27" s="12" t="str">
        <f>IFERROR(IF(COUNTA(A27:E27)=0,"",IF(OR(A27="",B27="",C27="",D27=""),"FALTA CAMPO",IF(AND(B27&lt;&gt;"ENTRADA",B27&lt;&gt;"SALIDA"),"DIRECCION INVALIDA",IF(OR(D27&lt;=0,ABS(D27)&gt;1000000000,ROUND(D27,2)&lt;&gt;D27),"MONTO INVALIDO",IF(OR(A27&lt;DATE(1900,1,1),A27&gt;DATE(2100,12,31),A27&lt;=CONFIG!$B$5,A27&gt;CONFIG!$B$5+91),"FUERA DE HORIZONTE","OK"))))),"MONTO INVALIDO")</f>
        <v/>
      </c>
    </row>
    <row r="28" spans="1:6" x14ac:dyDescent="0.45">
      <c r="A28" s="4"/>
      <c r="B28" s="8"/>
      <c r="C28" s="8"/>
      <c r="D28" s="7"/>
      <c r="E28" s="8"/>
      <c r="F28" s="12" t="str">
        <f>IFERROR(IF(COUNTA(A28:E28)=0,"",IF(OR(A28="",B28="",C28="",D28=""),"FALTA CAMPO",IF(AND(B28&lt;&gt;"ENTRADA",B28&lt;&gt;"SALIDA"),"DIRECCION INVALIDA",IF(OR(D28&lt;=0,ABS(D28)&gt;1000000000,ROUND(D28,2)&lt;&gt;D28),"MONTO INVALIDO",IF(OR(A28&lt;DATE(1900,1,1),A28&gt;DATE(2100,12,31),A28&lt;=CONFIG!$B$5,A28&gt;CONFIG!$B$5+91),"FUERA DE HORIZONTE","OK"))))),"MONTO INVALIDO")</f>
        <v/>
      </c>
    </row>
    <row r="29" spans="1:6" x14ac:dyDescent="0.45">
      <c r="A29" s="4"/>
      <c r="B29" s="8"/>
      <c r="C29" s="8"/>
      <c r="D29" s="7"/>
      <c r="E29" s="8"/>
      <c r="F29" s="12" t="str">
        <f>IFERROR(IF(COUNTA(A29:E29)=0,"",IF(OR(A29="",B29="",C29="",D29=""),"FALTA CAMPO",IF(AND(B29&lt;&gt;"ENTRADA",B29&lt;&gt;"SALIDA"),"DIRECCION INVALIDA",IF(OR(D29&lt;=0,ABS(D29)&gt;1000000000,ROUND(D29,2)&lt;&gt;D29),"MONTO INVALIDO",IF(OR(A29&lt;DATE(1900,1,1),A29&gt;DATE(2100,12,31),A29&lt;=CONFIG!$B$5,A29&gt;CONFIG!$B$5+91),"FUERA DE HORIZONTE","OK"))))),"MONTO INVALIDO")</f>
        <v/>
      </c>
    </row>
    <row r="30" spans="1:6" x14ac:dyDescent="0.45">
      <c r="A30" s="4"/>
      <c r="B30" s="8"/>
      <c r="C30" s="8"/>
      <c r="D30" s="7"/>
      <c r="E30" s="8"/>
      <c r="F30" s="12" t="str">
        <f>IFERROR(IF(COUNTA(A30:E30)=0,"",IF(OR(A30="",B30="",C30="",D30=""),"FALTA CAMPO",IF(AND(B30&lt;&gt;"ENTRADA",B30&lt;&gt;"SALIDA"),"DIRECCION INVALIDA",IF(OR(D30&lt;=0,ABS(D30)&gt;1000000000,ROUND(D30,2)&lt;&gt;D30),"MONTO INVALIDO",IF(OR(A30&lt;DATE(1900,1,1),A30&gt;DATE(2100,12,31),A30&lt;=CONFIG!$B$5,A30&gt;CONFIG!$B$5+91),"FUERA DE HORIZONTE","OK"))))),"MONTO INVALIDO")</f>
        <v/>
      </c>
    </row>
    <row r="31" spans="1:6" x14ac:dyDescent="0.45">
      <c r="A31" s="4"/>
      <c r="B31" s="8"/>
      <c r="C31" s="8"/>
      <c r="D31" s="7"/>
      <c r="E31" s="8"/>
      <c r="F31" s="12" t="str">
        <f>IFERROR(IF(COUNTA(A31:E31)=0,"",IF(OR(A31="",B31="",C31="",D31=""),"FALTA CAMPO",IF(AND(B31&lt;&gt;"ENTRADA",B31&lt;&gt;"SALIDA"),"DIRECCION INVALIDA",IF(OR(D31&lt;=0,ABS(D31)&gt;1000000000,ROUND(D31,2)&lt;&gt;D31),"MONTO INVALIDO",IF(OR(A31&lt;DATE(1900,1,1),A31&gt;DATE(2100,12,31),A31&lt;=CONFIG!$B$5,A31&gt;CONFIG!$B$5+91),"FUERA DE HORIZONTE","OK"))))),"MONTO INVALIDO")</f>
        <v/>
      </c>
    </row>
    <row r="32" spans="1:6" x14ac:dyDescent="0.45">
      <c r="A32" s="4"/>
      <c r="B32" s="8"/>
      <c r="C32" s="8"/>
      <c r="D32" s="7"/>
      <c r="E32" s="8"/>
      <c r="F32" s="12" t="str">
        <f>IFERROR(IF(COUNTA(A32:E32)=0,"",IF(OR(A32="",B32="",C32="",D32=""),"FALTA CAMPO",IF(AND(B32&lt;&gt;"ENTRADA",B32&lt;&gt;"SALIDA"),"DIRECCION INVALIDA",IF(OR(D32&lt;=0,ABS(D32)&gt;1000000000,ROUND(D32,2)&lt;&gt;D32),"MONTO INVALIDO",IF(OR(A32&lt;DATE(1900,1,1),A32&gt;DATE(2100,12,31),A32&lt;=CONFIG!$B$5,A32&gt;CONFIG!$B$5+91),"FUERA DE HORIZONTE","OK"))))),"MONTO INVALIDO")</f>
        <v/>
      </c>
    </row>
    <row r="33" spans="1:6" x14ac:dyDescent="0.45">
      <c r="A33" s="4"/>
      <c r="B33" s="8"/>
      <c r="C33" s="8"/>
      <c r="D33" s="7"/>
      <c r="E33" s="8"/>
      <c r="F33" s="12" t="str">
        <f>IFERROR(IF(COUNTA(A33:E33)=0,"",IF(OR(A33="",B33="",C33="",D33=""),"FALTA CAMPO",IF(AND(B33&lt;&gt;"ENTRADA",B33&lt;&gt;"SALIDA"),"DIRECCION INVALIDA",IF(OR(D33&lt;=0,ABS(D33)&gt;1000000000,ROUND(D33,2)&lt;&gt;D33),"MONTO INVALIDO",IF(OR(A33&lt;DATE(1900,1,1),A33&gt;DATE(2100,12,31),A33&lt;=CONFIG!$B$5,A33&gt;CONFIG!$B$5+91),"FUERA DE HORIZONTE","OK"))))),"MONTO INVALIDO")</f>
        <v/>
      </c>
    </row>
    <row r="34" spans="1:6" x14ac:dyDescent="0.45">
      <c r="A34" s="4"/>
      <c r="B34" s="8"/>
      <c r="C34" s="8"/>
      <c r="D34" s="7"/>
      <c r="E34" s="8"/>
      <c r="F34" s="12" t="str">
        <f>IFERROR(IF(COUNTA(A34:E34)=0,"",IF(OR(A34="",B34="",C34="",D34=""),"FALTA CAMPO",IF(AND(B34&lt;&gt;"ENTRADA",B34&lt;&gt;"SALIDA"),"DIRECCION INVALIDA",IF(OR(D34&lt;=0,ABS(D34)&gt;1000000000,ROUND(D34,2)&lt;&gt;D34),"MONTO INVALIDO",IF(OR(A34&lt;DATE(1900,1,1),A34&gt;DATE(2100,12,31),A34&lt;=CONFIG!$B$5,A34&gt;CONFIG!$B$5+91),"FUERA DE HORIZONTE","OK"))))),"MONTO INVALIDO")</f>
        <v/>
      </c>
    </row>
    <row r="35" spans="1:6" x14ac:dyDescent="0.45">
      <c r="A35" s="4"/>
      <c r="B35" s="8"/>
      <c r="C35" s="8"/>
      <c r="D35" s="7"/>
      <c r="E35" s="8"/>
      <c r="F35" s="12" t="str">
        <f>IFERROR(IF(COUNTA(A35:E35)=0,"",IF(OR(A35="",B35="",C35="",D35=""),"FALTA CAMPO",IF(AND(B35&lt;&gt;"ENTRADA",B35&lt;&gt;"SALIDA"),"DIRECCION INVALIDA",IF(OR(D35&lt;=0,ABS(D35)&gt;1000000000,ROUND(D35,2)&lt;&gt;D35),"MONTO INVALIDO",IF(OR(A35&lt;DATE(1900,1,1),A35&gt;DATE(2100,12,31),A35&lt;=CONFIG!$B$5,A35&gt;CONFIG!$B$5+91),"FUERA DE HORIZONTE","OK"))))),"MONTO INVALIDO")</f>
        <v/>
      </c>
    </row>
    <row r="36" spans="1:6" x14ac:dyDescent="0.45">
      <c r="A36" s="4"/>
      <c r="B36" s="8"/>
      <c r="C36" s="8"/>
      <c r="D36" s="7"/>
      <c r="E36" s="8"/>
      <c r="F36" s="12" t="str">
        <f>IFERROR(IF(COUNTA(A36:E36)=0,"",IF(OR(A36="",B36="",C36="",D36=""),"FALTA CAMPO",IF(AND(B36&lt;&gt;"ENTRADA",B36&lt;&gt;"SALIDA"),"DIRECCION INVALIDA",IF(OR(D36&lt;=0,ABS(D36)&gt;1000000000,ROUND(D36,2)&lt;&gt;D36),"MONTO INVALIDO",IF(OR(A36&lt;DATE(1900,1,1),A36&gt;DATE(2100,12,31),A36&lt;=CONFIG!$B$5,A36&gt;CONFIG!$B$5+91),"FUERA DE HORIZONTE","OK"))))),"MONTO INVALIDO")</f>
        <v/>
      </c>
    </row>
    <row r="37" spans="1:6" x14ac:dyDescent="0.45">
      <c r="A37" s="4"/>
      <c r="B37" s="8"/>
      <c r="C37" s="8"/>
      <c r="D37" s="7"/>
      <c r="E37" s="8"/>
      <c r="F37" s="12" t="str">
        <f>IFERROR(IF(COUNTA(A37:E37)=0,"",IF(OR(A37="",B37="",C37="",D37=""),"FALTA CAMPO",IF(AND(B37&lt;&gt;"ENTRADA",B37&lt;&gt;"SALIDA"),"DIRECCION INVALIDA",IF(OR(D37&lt;=0,ABS(D37)&gt;1000000000,ROUND(D37,2)&lt;&gt;D37),"MONTO INVALIDO",IF(OR(A37&lt;DATE(1900,1,1),A37&gt;DATE(2100,12,31),A37&lt;=CONFIG!$B$5,A37&gt;CONFIG!$B$5+91),"FUERA DE HORIZONTE","OK"))))),"MONTO INVALIDO")</f>
        <v/>
      </c>
    </row>
    <row r="38" spans="1:6" x14ac:dyDescent="0.45">
      <c r="A38" s="4"/>
      <c r="B38" s="8"/>
      <c r="C38" s="8"/>
      <c r="D38" s="7"/>
      <c r="E38" s="8"/>
      <c r="F38" s="12" t="str">
        <f>IFERROR(IF(COUNTA(A38:E38)=0,"",IF(OR(A38="",B38="",C38="",D38=""),"FALTA CAMPO",IF(AND(B38&lt;&gt;"ENTRADA",B38&lt;&gt;"SALIDA"),"DIRECCION INVALIDA",IF(OR(D38&lt;=0,ABS(D38)&gt;1000000000,ROUND(D38,2)&lt;&gt;D38),"MONTO INVALIDO",IF(OR(A38&lt;DATE(1900,1,1),A38&gt;DATE(2100,12,31),A38&lt;=CONFIG!$B$5,A38&gt;CONFIG!$B$5+91),"FUERA DE HORIZONTE","OK"))))),"MONTO INVALIDO")</f>
        <v/>
      </c>
    </row>
    <row r="39" spans="1:6" x14ac:dyDescent="0.45">
      <c r="A39" s="4"/>
      <c r="B39" s="8"/>
      <c r="C39" s="8"/>
      <c r="D39" s="7"/>
      <c r="E39" s="8"/>
      <c r="F39" s="12" t="str">
        <f>IFERROR(IF(COUNTA(A39:E39)=0,"",IF(OR(A39="",B39="",C39="",D39=""),"FALTA CAMPO",IF(AND(B39&lt;&gt;"ENTRADA",B39&lt;&gt;"SALIDA"),"DIRECCION INVALIDA",IF(OR(D39&lt;=0,ABS(D39)&gt;1000000000,ROUND(D39,2)&lt;&gt;D39),"MONTO INVALIDO",IF(OR(A39&lt;DATE(1900,1,1),A39&gt;DATE(2100,12,31),A39&lt;=CONFIG!$B$5,A39&gt;CONFIG!$B$5+91),"FUERA DE HORIZONTE","OK"))))),"MONTO INVALIDO")</f>
        <v/>
      </c>
    </row>
    <row r="40" spans="1:6" x14ac:dyDescent="0.45">
      <c r="A40" s="4"/>
      <c r="B40" s="8"/>
      <c r="C40" s="8"/>
      <c r="D40" s="7"/>
      <c r="E40" s="8"/>
      <c r="F40" s="12" t="str">
        <f>IFERROR(IF(COUNTA(A40:E40)=0,"",IF(OR(A40="",B40="",C40="",D40=""),"FALTA CAMPO",IF(AND(B40&lt;&gt;"ENTRADA",B40&lt;&gt;"SALIDA"),"DIRECCION INVALIDA",IF(OR(D40&lt;=0,ABS(D40)&gt;1000000000,ROUND(D40,2)&lt;&gt;D40),"MONTO INVALIDO",IF(OR(A40&lt;DATE(1900,1,1),A40&gt;DATE(2100,12,31),A40&lt;=CONFIG!$B$5,A40&gt;CONFIG!$B$5+91),"FUERA DE HORIZONTE","OK"))))),"MONTO INVALIDO")</f>
        <v/>
      </c>
    </row>
    <row r="41" spans="1:6" x14ac:dyDescent="0.45">
      <c r="A41" s="4"/>
      <c r="B41" s="8"/>
      <c r="C41" s="8"/>
      <c r="D41" s="7"/>
      <c r="E41" s="8"/>
      <c r="F41" s="12" t="str">
        <f>IFERROR(IF(COUNTA(A41:E41)=0,"",IF(OR(A41="",B41="",C41="",D41=""),"FALTA CAMPO",IF(AND(B41&lt;&gt;"ENTRADA",B41&lt;&gt;"SALIDA"),"DIRECCION INVALIDA",IF(OR(D41&lt;=0,ABS(D41)&gt;1000000000,ROUND(D41,2)&lt;&gt;D41),"MONTO INVALIDO",IF(OR(A41&lt;DATE(1900,1,1),A41&gt;DATE(2100,12,31),A41&lt;=CONFIG!$B$5,A41&gt;CONFIG!$B$5+91),"FUERA DE HORIZONTE","OK"))))),"MONTO INVALIDO")</f>
        <v/>
      </c>
    </row>
    <row r="42" spans="1:6" x14ac:dyDescent="0.45">
      <c r="A42" s="4"/>
      <c r="B42" s="8"/>
      <c r="C42" s="8"/>
      <c r="D42" s="7"/>
      <c r="E42" s="8"/>
      <c r="F42" s="12" t="str">
        <f>IFERROR(IF(COUNTA(A42:E42)=0,"",IF(OR(A42="",B42="",C42="",D42=""),"FALTA CAMPO",IF(AND(B42&lt;&gt;"ENTRADA",B42&lt;&gt;"SALIDA"),"DIRECCION INVALIDA",IF(OR(D42&lt;=0,ABS(D42)&gt;1000000000,ROUND(D42,2)&lt;&gt;D42),"MONTO INVALIDO",IF(OR(A42&lt;DATE(1900,1,1),A42&gt;DATE(2100,12,31),A42&lt;=CONFIG!$B$5,A42&gt;CONFIG!$B$5+91),"FUERA DE HORIZONTE","OK"))))),"MONTO INVALIDO")</f>
        <v/>
      </c>
    </row>
    <row r="43" spans="1:6" x14ac:dyDescent="0.45">
      <c r="A43" s="4"/>
      <c r="B43" s="8"/>
      <c r="C43" s="8"/>
      <c r="D43" s="7"/>
      <c r="E43" s="8"/>
      <c r="F43" s="12" t="str">
        <f>IFERROR(IF(COUNTA(A43:E43)=0,"",IF(OR(A43="",B43="",C43="",D43=""),"FALTA CAMPO",IF(AND(B43&lt;&gt;"ENTRADA",B43&lt;&gt;"SALIDA"),"DIRECCION INVALIDA",IF(OR(D43&lt;=0,ABS(D43)&gt;1000000000,ROUND(D43,2)&lt;&gt;D43),"MONTO INVALIDO",IF(OR(A43&lt;DATE(1900,1,1),A43&gt;DATE(2100,12,31),A43&lt;=CONFIG!$B$5,A43&gt;CONFIG!$B$5+91),"FUERA DE HORIZONTE","OK"))))),"MONTO INVALIDO")</f>
        <v/>
      </c>
    </row>
    <row r="44" spans="1:6" x14ac:dyDescent="0.45">
      <c r="A44" s="4"/>
      <c r="B44" s="8"/>
      <c r="C44" s="8"/>
      <c r="D44" s="7"/>
      <c r="E44" s="8"/>
      <c r="F44" s="12" t="str">
        <f>IFERROR(IF(COUNTA(A44:E44)=0,"",IF(OR(A44="",B44="",C44="",D44=""),"FALTA CAMPO",IF(AND(B44&lt;&gt;"ENTRADA",B44&lt;&gt;"SALIDA"),"DIRECCION INVALIDA",IF(OR(D44&lt;=0,ABS(D44)&gt;1000000000,ROUND(D44,2)&lt;&gt;D44),"MONTO INVALIDO",IF(OR(A44&lt;DATE(1900,1,1),A44&gt;DATE(2100,12,31),A44&lt;=CONFIG!$B$5,A44&gt;CONFIG!$B$5+91),"FUERA DE HORIZONTE","OK"))))),"MONTO INVALIDO")</f>
        <v/>
      </c>
    </row>
    <row r="45" spans="1:6" x14ac:dyDescent="0.45">
      <c r="A45" s="4"/>
      <c r="B45" s="8"/>
      <c r="C45" s="8"/>
      <c r="D45" s="7"/>
      <c r="E45" s="8"/>
      <c r="F45" s="12" t="str">
        <f>IFERROR(IF(COUNTA(A45:E45)=0,"",IF(OR(A45="",B45="",C45="",D45=""),"FALTA CAMPO",IF(AND(B45&lt;&gt;"ENTRADA",B45&lt;&gt;"SALIDA"),"DIRECCION INVALIDA",IF(OR(D45&lt;=0,ABS(D45)&gt;1000000000,ROUND(D45,2)&lt;&gt;D45),"MONTO INVALIDO",IF(OR(A45&lt;DATE(1900,1,1),A45&gt;DATE(2100,12,31),A45&lt;=CONFIG!$B$5,A45&gt;CONFIG!$B$5+91),"FUERA DE HORIZONTE","OK"))))),"MONTO INVALIDO")</f>
        <v/>
      </c>
    </row>
    <row r="46" spans="1:6" x14ac:dyDescent="0.45">
      <c r="A46" s="4"/>
      <c r="B46" s="8"/>
      <c r="C46" s="8"/>
      <c r="D46" s="7"/>
      <c r="E46" s="8"/>
      <c r="F46" s="12" t="str">
        <f>IFERROR(IF(COUNTA(A46:E46)=0,"",IF(OR(A46="",B46="",C46="",D46=""),"FALTA CAMPO",IF(AND(B46&lt;&gt;"ENTRADA",B46&lt;&gt;"SALIDA"),"DIRECCION INVALIDA",IF(OR(D46&lt;=0,ABS(D46)&gt;1000000000,ROUND(D46,2)&lt;&gt;D46),"MONTO INVALIDO",IF(OR(A46&lt;DATE(1900,1,1),A46&gt;DATE(2100,12,31),A46&lt;=CONFIG!$B$5,A46&gt;CONFIG!$B$5+91),"FUERA DE HORIZONTE","OK"))))),"MONTO INVALIDO")</f>
        <v/>
      </c>
    </row>
    <row r="47" spans="1:6" x14ac:dyDescent="0.45">
      <c r="A47" s="4"/>
      <c r="B47" s="8"/>
      <c r="C47" s="8"/>
      <c r="D47" s="7"/>
      <c r="E47" s="8"/>
      <c r="F47" s="12" t="str">
        <f>IFERROR(IF(COUNTA(A47:E47)=0,"",IF(OR(A47="",B47="",C47="",D47=""),"FALTA CAMPO",IF(AND(B47&lt;&gt;"ENTRADA",B47&lt;&gt;"SALIDA"),"DIRECCION INVALIDA",IF(OR(D47&lt;=0,ABS(D47)&gt;1000000000,ROUND(D47,2)&lt;&gt;D47),"MONTO INVALIDO",IF(OR(A47&lt;DATE(1900,1,1),A47&gt;DATE(2100,12,31),A47&lt;=CONFIG!$B$5,A47&gt;CONFIG!$B$5+91),"FUERA DE HORIZONTE","OK"))))),"MONTO INVALIDO")</f>
        <v/>
      </c>
    </row>
    <row r="48" spans="1:6" x14ac:dyDescent="0.45">
      <c r="A48" s="4"/>
      <c r="B48" s="8"/>
      <c r="C48" s="8"/>
      <c r="D48" s="7"/>
      <c r="E48" s="8"/>
      <c r="F48" s="12" t="str">
        <f>IFERROR(IF(COUNTA(A48:E48)=0,"",IF(OR(A48="",B48="",C48="",D48=""),"FALTA CAMPO",IF(AND(B48&lt;&gt;"ENTRADA",B48&lt;&gt;"SALIDA"),"DIRECCION INVALIDA",IF(OR(D48&lt;=0,ABS(D48)&gt;1000000000,ROUND(D48,2)&lt;&gt;D48),"MONTO INVALIDO",IF(OR(A48&lt;DATE(1900,1,1),A48&gt;DATE(2100,12,31),A48&lt;=CONFIG!$B$5,A48&gt;CONFIG!$B$5+91),"FUERA DE HORIZONTE","OK"))))),"MONTO INVALIDO")</f>
        <v/>
      </c>
    </row>
    <row r="49" spans="1:6" x14ac:dyDescent="0.45">
      <c r="A49" s="4"/>
      <c r="B49" s="8"/>
      <c r="C49" s="8"/>
      <c r="D49" s="7"/>
      <c r="E49" s="8"/>
      <c r="F49" s="12" t="str">
        <f>IFERROR(IF(COUNTA(A49:E49)=0,"",IF(OR(A49="",B49="",C49="",D49=""),"FALTA CAMPO",IF(AND(B49&lt;&gt;"ENTRADA",B49&lt;&gt;"SALIDA"),"DIRECCION INVALIDA",IF(OR(D49&lt;=0,ABS(D49)&gt;1000000000,ROUND(D49,2)&lt;&gt;D49),"MONTO INVALIDO",IF(OR(A49&lt;DATE(1900,1,1),A49&gt;DATE(2100,12,31),A49&lt;=CONFIG!$B$5,A49&gt;CONFIG!$B$5+91),"FUERA DE HORIZONTE","OK"))))),"MONTO INVALIDO")</f>
        <v/>
      </c>
    </row>
    <row r="50" spans="1:6" x14ac:dyDescent="0.45">
      <c r="A50" s="4"/>
      <c r="B50" s="8"/>
      <c r="C50" s="8"/>
      <c r="D50" s="7"/>
      <c r="E50" s="8"/>
      <c r="F50" s="12" t="str">
        <f>IFERROR(IF(COUNTA(A50:E50)=0,"",IF(OR(A50="",B50="",C50="",D50=""),"FALTA CAMPO",IF(AND(B50&lt;&gt;"ENTRADA",B50&lt;&gt;"SALIDA"),"DIRECCION INVALIDA",IF(OR(D50&lt;=0,ABS(D50)&gt;1000000000,ROUND(D50,2)&lt;&gt;D50),"MONTO INVALIDO",IF(OR(A50&lt;DATE(1900,1,1),A50&gt;DATE(2100,12,31),A50&lt;=CONFIG!$B$5,A50&gt;CONFIG!$B$5+91),"FUERA DE HORIZONTE","OK"))))),"MONTO INVALIDO")</f>
        <v/>
      </c>
    </row>
    <row r="51" spans="1:6" x14ac:dyDescent="0.45">
      <c r="A51" s="4"/>
      <c r="B51" s="8"/>
      <c r="C51" s="8"/>
      <c r="D51" s="7"/>
      <c r="E51" s="8"/>
      <c r="F51" s="12" t="str">
        <f>IFERROR(IF(COUNTA(A51:E51)=0,"",IF(OR(A51="",B51="",C51="",D51=""),"FALTA CAMPO",IF(AND(B51&lt;&gt;"ENTRADA",B51&lt;&gt;"SALIDA"),"DIRECCION INVALIDA",IF(OR(D51&lt;=0,ABS(D51)&gt;1000000000,ROUND(D51,2)&lt;&gt;D51),"MONTO INVALIDO",IF(OR(A51&lt;DATE(1900,1,1),A51&gt;DATE(2100,12,31),A51&lt;=CONFIG!$B$5,A51&gt;CONFIG!$B$5+91),"FUERA DE HORIZONTE","OK"))))),"MONTO INVALIDO")</f>
        <v/>
      </c>
    </row>
    <row r="52" spans="1:6" x14ac:dyDescent="0.45">
      <c r="A52" s="4"/>
      <c r="B52" s="8"/>
      <c r="C52" s="8"/>
      <c r="D52" s="7"/>
      <c r="E52" s="8"/>
      <c r="F52" s="12" t="str">
        <f>IFERROR(IF(COUNTA(A52:E52)=0,"",IF(OR(A52="",B52="",C52="",D52=""),"FALTA CAMPO",IF(AND(B52&lt;&gt;"ENTRADA",B52&lt;&gt;"SALIDA"),"DIRECCION INVALIDA",IF(OR(D52&lt;=0,ABS(D52)&gt;1000000000,ROUND(D52,2)&lt;&gt;D52),"MONTO INVALIDO",IF(OR(A52&lt;DATE(1900,1,1),A52&gt;DATE(2100,12,31),A52&lt;=CONFIG!$B$5,A52&gt;CONFIG!$B$5+91),"FUERA DE HORIZONTE","OK"))))),"MONTO INVALIDO")</f>
        <v/>
      </c>
    </row>
    <row r="53" spans="1:6" x14ac:dyDescent="0.45">
      <c r="A53" s="4"/>
      <c r="B53" s="8"/>
      <c r="C53" s="8"/>
      <c r="D53" s="7"/>
      <c r="E53" s="8"/>
      <c r="F53" s="12" t="str">
        <f>IFERROR(IF(COUNTA(A53:E53)=0,"",IF(OR(A53="",B53="",C53="",D53=""),"FALTA CAMPO",IF(AND(B53&lt;&gt;"ENTRADA",B53&lt;&gt;"SALIDA"),"DIRECCION INVALIDA",IF(OR(D53&lt;=0,ABS(D53)&gt;1000000000,ROUND(D53,2)&lt;&gt;D53),"MONTO INVALIDO",IF(OR(A53&lt;DATE(1900,1,1),A53&gt;DATE(2100,12,31),A53&lt;=CONFIG!$B$5,A53&gt;CONFIG!$B$5+91),"FUERA DE HORIZONTE","OK"))))),"MONTO INVALIDO")</f>
        <v/>
      </c>
    </row>
    <row r="54" spans="1:6" x14ac:dyDescent="0.45">
      <c r="A54" s="4"/>
      <c r="B54" s="8"/>
      <c r="C54" s="8"/>
      <c r="D54" s="7"/>
      <c r="E54" s="8"/>
      <c r="F54" s="12" t="str">
        <f>IFERROR(IF(COUNTA(A54:E54)=0,"",IF(OR(A54="",B54="",C54="",D54=""),"FALTA CAMPO",IF(AND(B54&lt;&gt;"ENTRADA",B54&lt;&gt;"SALIDA"),"DIRECCION INVALIDA",IF(OR(D54&lt;=0,ABS(D54)&gt;1000000000,ROUND(D54,2)&lt;&gt;D54),"MONTO INVALIDO",IF(OR(A54&lt;DATE(1900,1,1),A54&gt;DATE(2100,12,31),A54&lt;=CONFIG!$B$5,A54&gt;CONFIG!$B$5+91),"FUERA DE HORIZONTE","OK"))))),"MONTO INVALIDO")</f>
        <v/>
      </c>
    </row>
    <row r="55" spans="1:6" x14ac:dyDescent="0.45">
      <c r="A55" s="4"/>
      <c r="B55" s="8"/>
      <c r="C55" s="8"/>
      <c r="D55" s="7"/>
      <c r="E55" s="8"/>
      <c r="F55" s="12" t="str">
        <f>IFERROR(IF(COUNTA(A55:E55)=0,"",IF(OR(A55="",B55="",C55="",D55=""),"FALTA CAMPO",IF(AND(B55&lt;&gt;"ENTRADA",B55&lt;&gt;"SALIDA"),"DIRECCION INVALIDA",IF(OR(D55&lt;=0,ABS(D55)&gt;1000000000,ROUND(D55,2)&lt;&gt;D55),"MONTO INVALIDO",IF(OR(A55&lt;DATE(1900,1,1),A55&gt;DATE(2100,12,31),A55&lt;=CONFIG!$B$5,A55&gt;CONFIG!$B$5+91),"FUERA DE HORIZONTE","OK"))))),"MONTO INVALIDO")</f>
        <v/>
      </c>
    </row>
    <row r="56" spans="1:6" x14ac:dyDescent="0.45">
      <c r="A56" s="4"/>
      <c r="B56" s="8"/>
      <c r="C56" s="8"/>
      <c r="D56" s="7"/>
      <c r="E56" s="8"/>
      <c r="F56" s="12" t="str">
        <f>IFERROR(IF(COUNTA(A56:E56)=0,"",IF(OR(A56="",B56="",C56="",D56=""),"FALTA CAMPO",IF(AND(B56&lt;&gt;"ENTRADA",B56&lt;&gt;"SALIDA"),"DIRECCION INVALIDA",IF(OR(D56&lt;=0,ABS(D56)&gt;1000000000,ROUND(D56,2)&lt;&gt;D56),"MONTO INVALIDO",IF(OR(A56&lt;DATE(1900,1,1),A56&gt;DATE(2100,12,31),A56&lt;=CONFIG!$B$5,A56&gt;CONFIG!$B$5+91),"FUERA DE HORIZONTE","OK"))))),"MONTO INVALIDO")</f>
        <v/>
      </c>
    </row>
    <row r="57" spans="1:6" x14ac:dyDescent="0.45">
      <c r="A57" s="4"/>
      <c r="B57" s="8"/>
      <c r="C57" s="8"/>
      <c r="D57" s="7"/>
      <c r="E57" s="8"/>
      <c r="F57" s="12" t="str">
        <f>IFERROR(IF(COUNTA(A57:E57)=0,"",IF(OR(A57="",B57="",C57="",D57=""),"FALTA CAMPO",IF(AND(B57&lt;&gt;"ENTRADA",B57&lt;&gt;"SALIDA"),"DIRECCION INVALIDA",IF(OR(D57&lt;=0,ABS(D57)&gt;1000000000,ROUND(D57,2)&lt;&gt;D57),"MONTO INVALIDO",IF(OR(A57&lt;DATE(1900,1,1),A57&gt;DATE(2100,12,31),A57&lt;=CONFIG!$B$5,A57&gt;CONFIG!$B$5+91),"FUERA DE HORIZONTE","OK"))))),"MONTO INVALIDO")</f>
        <v/>
      </c>
    </row>
    <row r="58" spans="1:6" x14ac:dyDescent="0.45">
      <c r="A58" s="4"/>
      <c r="B58" s="8"/>
      <c r="C58" s="8"/>
      <c r="D58" s="7"/>
      <c r="E58" s="8"/>
      <c r="F58" s="12" t="str">
        <f>IFERROR(IF(COUNTA(A58:E58)=0,"",IF(OR(A58="",B58="",C58="",D58=""),"FALTA CAMPO",IF(AND(B58&lt;&gt;"ENTRADA",B58&lt;&gt;"SALIDA"),"DIRECCION INVALIDA",IF(OR(D58&lt;=0,ABS(D58)&gt;1000000000,ROUND(D58,2)&lt;&gt;D58),"MONTO INVALIDO",IF(OR(A58&lt;DATE(1900,1,1),A58&gt;DATE(2100,12,31),A58&lt;=CONFIG!$B$5,A58&gt;CONFIG!$B$5+91),"FUERA DE HORIZONTE","OK"))))),"MONTO INVALIDO")</f>
        <v/>
      </c>
    </row>
    <row r="59" spans="1:6" x14ac:dyDescent="0.45">
      <c r="A59" s="4"/>
      <c r="B59" s="8"/>
      <c r="C59" s="8"/>
      <c r="D59" s="7"/>
      <c r="E59" s="8"/>
      <c r="F59" s="12" t="str">
        <f>IFERROR(IF(COUNTA(A59:E59)=0,"",IF(OR(A59="",B59="",C59="",D59=""),"FALTA CAMPO",IF(AND(B59&lt;&gt;"ENTRADA",B59&lt;&gt;"SALIDA"),"DIRECCION INVALIDA",IF(OR(D59&lt;=0,ABS(D59)&gt;1000000000,ROUND(D59,2)&lt;&gt;D59),"MONTO INVALIDO",IF(OR(A59&lt;DATE(1900,1,1),A59&gt;DATE(2100,12,31),A59&lt;=CONFIG!$B$5,A59&gt;CONFIG!$B$5+91),"FUERA DE HORIZONTE","OK"))))),"MONTO INVALIDO")</f>
        <v/>
      </c>
    </row>
    <row r="60" spans="1:6" x14ac:dyDescent="0.45">
      <c r="A60" s="4"/>
      <c r="B60" s="8"/>
      <c r="C60" s="8"/>
      <c r="D60" s="7"/>
      <c r="E60" s="8"/>
      <c r="F60" s="12" t="str">
        <f>IFERROR(IF(COUNTA(A60:E60)=0,"",IF(OR(A60="",B60="",C60="",D60=""),"FALTA CAMPO",IF(AND(B60&lt;&gt;"ENTRADA",B60&lt;&gt;"SALIDA"),"DIRECCION INVALIDA",IF(OR(D60&lt;=0,ABS(D60)&gt;1000000000,ROUND(D60,2)&lt;&gt;D60),"MONTO INVALIDO",IF(OR(A60&lt;DATE(1900,1,1),A60&gt;DATE(2100,12,31),A60&lt;=CONFIG!$B$5,A60&gt;CONFIG!$B$5+91),"FUERA DE HORIZONTE","OK"))))),"MONTO INVALIDO")</f>
        <v/>
      </c>
    </row>
    <row r="61" spans="1:6" x14ac:dyDescent="0.45">
      <c r="A61" s="4"/>
      <c r="B61" s="8"/>
      <c r="C61" s="8"/>
      <c r="D61" s="7"/>
      <c r="E61" s="8"/>
      <c r="F61" s="12" t="str">
        <f>IFERROR(IF(COUNTA(A61:E61)=0,"",IF(OR(A61="",B61="",C61="",D61=""),"FALTA CAMPO",IF(AND(B61&lt;&gt;"ENTRADA",B61&lt;&gt;"SALIDA"),"DIRECCION INVALIDA",IF(OR(D61&lt;=0,ABS(D61)&gt;1000000000,ROUND(D61,2)&lt;&gt;D61),"MONTO INVALIDO",IF(OR(A61&lt;DATE(1900,1,1),A61&gt;DATE(2100,12,31),A61&lt;=CONFIG!$B$5,A61&gt;CONFIG!$B$5+91),"FUERA DE HORIZONTE","OK"))))),"MONTO INVALIDO")</f>
        <v/>
      </c>
    </row>
    <row r="62" spans="1:6" x14ac:dyDescent="0.45">
      <c r="A62" s="4"/>
      <c r="B62" s="8"/>
      <c r="C62" s="8"/>
      <c r="D62" s="7"/>
      <c r="E62" s="8"/>
      <c r="F62" s="12" t="str">
        <f>IFERROR(IF(COUNTA(A62:E62)=0,"",IF(OR(A62="",B62="",C62="",D62=""),"FALTA CAMPO",IF(AND(B62&lt;&gt;"ENTRADA",B62&lt;&gt;"SALIDA"),"DIRECCION INVALIDA",IF(OR(D62&lt;=0,ABS(D62)&gt;1000000000,ROUND(D62,2)&lt;&gt;D62),"MONTO INVALIDO",IF(OR(A62&lt;DATE(1900,1,1),A62&gt;DATE(2100,12,31),A62&lt;=CONFIG!$B$5,A62&gt;CONFIG!$B$5+91),"FUERA DE HORIZONTE","OK"))))),"MONTO INVALIDO")</f>
        <v/>
      </c>
    </row>
    <row r="63" spans="1:6" x14ac:dyDescent="0.45">
      <c r="A63" s="4"/>
      <c r="B63" s="8"/>
      <c r="C63" s="8"/>
      <c r="D63" s="7"/>
      <c r="E63" s="8"/>
      <c r="F63" s="12" t="str">
        <f>IFERROR(IF(COUNTA(A63:E63)=0,"",IF(OR(A63="",B63="",C63="",D63=""),"FALTA CAMPO",IF(AND(B63&lt;&gt;"ENTRADA",B63&lt;&gt;"SALIDA"),"DIRECCION INVALIDA",IF(OR(D63&lt;=0,ABS(D63)&gt;1000000000,ROUND(D63,2)&lt;&gt;D63),"MONTO INVALIDO",IF(OR(A63&lt;DATE(1900,1,1),A63&gt;DATE(2100,12,31),A63&lt;=CONFIG!$B$5,A63&gt;CONFIG!$B$5+91),"FUERA DE HORIZONTE","OK"))))),"MONTO INVALIDO")</f>
        <v/>
      </c>
    </row>
    <row r="64" spans="1:6" x14ac:dyDescent="0.45">
      <c r="A64" s="4"/>
      <c r="B64" s="8"/>
      <c r="C64" s="8"/>
      <c r="D64" s="7"/>
      <c r="E64" s="8"/>
      <c r="F64" s="12" t="str">
        <f>IFERROR(IF(COUNTA(A64:E64)=0,"",IF(OR(A64="",B64="",C64="",D64=""),"FALTA CAMPO",IF(AND(B64&lt;&gt;"ENTRADA",B64&lt;&gt;"SALIDA"),"DIRECCION INVALIDA",IF(OR(D64&lt;=0,ABS(D64)&gt;1000000000,ROUND(D64,2)&lt;&gt;D64),"MONTO INVALIDO",IF(OR(A64&lt;DATE(1900,1,1),A64&gt;DATE(2100,12,31),A64&lt;=CONFIG!$B$5,A64&gt;CONFIG!$B$5+91),"FUERA DE HORIZONTE","OK"))))),"MONTO INVALIDO")</f>
        <v/>
      </c>
    </row>
    <row r="65" spans="1:6" x14ac:dyDescent="0.45">
      <c r="A65" s="4"/>
      <c r="B65" s="8"/>
      <c r="C65" s="8"/>
      <c r="D65" s="7"/>
      <c r="E65" s="8"/>
      <c r="F65" s="12" t="str">
        <f>IFERROR(IF(COUNTA(A65:E65)=0,"",IF(OR(A65="",B65="",C65="",D65=""),"FALTA CAMPO",IF(AND(B65&lt;&gt;"ENTRADA",B65&lt;&gt;"SALIDA"),"DIRECCION INVALIDA",IF(OR(D65&lt;=0,ABS(D65)&gt;1000000000,ROUND(D65,2)&lt;&gt;D65),"MONTO INVALIDO",IF(OR(A65&lt;DATE(1900,1,1),A65&gt;DATE(2100,12,31),A65&lt;=CONFIG!$B$5,A65&gt;CONFIG!$B$5+91),"FUERA DE HORIZONTE","OK"))))),"MONTO INVALIDO")</f>
        <v/>
      </c>
    </row>
    <row r="66" spans="1:6" x14ac:dyDescent="0.45">
      <c r="A66" s="4"/>
      <c r="B66" s="8"/>
      <c r="C66" s="8"/>
      <c r="D66" s="7"/>
      <c r="E66" s="8"/>
      <c r="F66" s="12" t="str">
        <f>IFERROR(IF(COUNTA(A66:E66)=0,"",IF(OR(A66="",B66="",C66="",D66=""),"FALTA CAMPO",IF(AND(B66&lt;&gt;"ENTRADA",B66&lt;&gt;"SALIDA"),"DIRECCION INVALIDA",IF(OR(D66&lt;=0,ABS(D66)&gt;1000000000,ROUND(D66,2)&lt;&gt;D66),"MONTO INVALIDO",IF(OR(A66&lt;DATE(1900,1,1),A66&gt;DATE(2100,12,31),A66&lt;=CONFIG!$B$5,A66&gt;CONFIG!$B$5+91),"FUERA DE HORIZONTE","OK"))))),"MONTO INVALIDO")</f>
        <v/>
      </c>
    </row>
    <row r="67" spans="1:6" x14ac:dyDescent="0.45">
      <c r="A67" s="4"/>
      <c r="B67" s="8"/>
      <c r="C67" s="8"/>
      <c r="D67" s="7"/>
      <c r="E67" s="8"/>
      <c r="F67" s="12" t="str">
        <f>IFERROR(IF(COUNTA(A67:E67)=0,"",IF(OR(A67="",B67="",C67="",D67=""),"FALTA CAMPO",IF(AND(B67&lt;&gt;"ENTRADA",B67&lt;&gt;"SALIDA"),"DIRECCION INVALIDA",IF(OR(D67&lt;=0,ABS(D67)&gt;1000000000,ROUND(D67,2)&lt;&gt;D67),"MONTO INVALIDO",IF(OR(A67&lt;DATE(1900,1,1),A67&gt;DATE(2100,12,31),A67&lt;=CONFIG!$B$5,A67&gt;CONFIG!$B$5+91),"FUERA DE HORIZONTE","OK"))))),"MONTO INVALIDO")</f>
        <v/>
      </c>
    </row>
    <row r="68" spans="1:6" x14ac:dyDescent="0.45">
      <c r="A68" s="4"/>
      <c r="B68" s="8"/>
      <c r="C68" s="8"/>
      <c r="D68" s="7"/>
      <c r="E68" s="8"/>
      <c r="F68" s="12" t="str">
        <f>IFERROR(IF(COUNTA(A68:E68)=0,"",IF(OR(A68="",B68="",C68="",D68=""),"FALTA CAMPO",IF(AND(B68&lt;&gt;"ENTRADA",B68&lt;&gt;"SALIDA"),"DIRECCION INVALIDA",IF(OR(D68&lt;=0,ABS(D68)&gt;1000000000,ROUND(D68,2)&lt;&gt;D68),"MONTO INVALIDO",IF(OR(A68&lt;DATE(1900,1,1),A68&gt;DATE(2100,12,31),A68&lt;=CONFIG!$B$5,A68&gt;CONFIG!$B$5+91),"FUERA DE HORIZONTE","OK"))))),"MONTO INVALIDO")</f>
        <v/>
      </c>
    </row>
    <row r="69" spans="1:6" x14ac:dyDescent="0.45">
      <c r="A69" s="4"/>
      <c r="B69" s="8"/>
      <c r="C69" s="8"/>
      <c r="D69" s="7"/>
      <c r="E69" s="8"/>
      <c r="F69" s="12" t="str">
        <f>IFERROR(IF(COUNTA(A69:E69)=0,"",IF(OR(A69="",B69="",C69="",D69=""),"FALTA CAMPO",IF(AND(B69&lt;&gt;"ENTRADA",B69&lt;&gt;"SALIDA"),"DIRECCION INVALIDA",IF(OR(D69&lt;=0,ABS(D69)&gt;1000000000,ROUND(D69,2)&lt;&gt;D69),"MONTO INVALIDO",IF(OR(A69&lt;DATE(1900,1,1),A69&gt;DATE(2100,12,31),A69&lt;=CONFIG!$B$5,A69&gt;CONFIG!$B$5+91),"FUERA DE HORIZONTE","OK"))))),"MONTO INVALIDO")</f>
        <v/>
      </c>
    </row>
    <row r="70" spans="1:6" x14ac:dyDescent="0.45">
      <c r="A70" s="4"/>
      <c r="B70" s="8"/>
      <c r="C70" s="8"/>
      <c r="D70" s="7"/>
      <c r="E70" s="8"/>
      <c r="F70" s="12" t="str">
        <f>IFERROR(IF(COUNTA(A70:E70)=0,"",IF(OR(A70="",B70="",C70="",D70=""),"FALTA CAMPO",IF(AND(B70&lt;&gt;"ENTRADA",B70&lt;&gt;"SALIDA"),"DIRECCION INVALIDA",IF(OR(D70&lt;=0,ABS(D70)&gt;1000000000,ROUND(D70,2)&lt;&gt;D70),"MONTO INVALIDO",IF(OR(A70&lt;DATE(1900,1,1),A70&gt;DATE(2100,12,31),A70&lt;=CONFIG!$B$5,A70&gt;CONFIG!$B$5+91),"FUERA DE HORIZONTE","OK"))))),"MONTO INVALIDO")</f>
        <v/>
      </c>
    </row>
    <row r="71" spans="1:6" x14ac:dyDescent="0.45">
      <c r="A71" s="4"/>
      <c r="B71" s="8"/>
      <c r="C71" s="8"/>
      <c r="D71" s="7"/>
      <c r="E71" s="8"/>
      <c r="F71" s="12" t="str">
        <f>IFERROR(IF(COUNTA(A71:E71)=0,"",IF(OR(A71="",B71="",C71="",D71=""),"FALTA CAMPO",IF(AND(B71&lt;&gt;"ENTRADA",B71&lt;&gt;"SALIDA"),"DIRECCION INVALIDA",IF(OR(D71&lt;=0,ABS(D71)&gt;1000000000,ROUND(D71,2)&lt;&gt;D71),"MONTO INVALIDO",IF(OR(A71&lt;DATE(1900,1,1),A71&gt;DATE(2100,12,31),A71&lt;=CONFIG!$B$5,A71&gt;CONFIG!$B$5+91),"FUERA DE HORIZONTE","OK"))))),"MONTO INVALIDO")</f>
        <v/>
      </c>
    </row>
    <row r="72" spans="1:6" x14ac:dyDescent="0.45">
      <c r="A72" s="4"/>
      <c r="B72" s="8"/>
      <c r="C72" s="8"/>
      <c r="D72" s="7"/>
      <c r="E72" s="8"/>
      <c r="F72" s="12" t="str">
        <f>IFERROR(IF(COUNTA(A72:E72)=0,"",IF(OR(A72="",B72="",C72="",D72=""),"FALTA CAMPO",IF(AND(B72&lt;&gt;"ENTRADA",B72&lt;&gt;"SALIDA"),"DIRECCION INVALIDA",IF(OR(D72&lt;=0,ABS(D72)&gt;1000000000,ROUND(D72,2)&lt;&gt;D72),"MONTO INVALIDO",IF(OR(A72&lt;DATE(1900,1,1),A72&gt;DATE(2100,12,31),A72&lt;=CONFIG!$B$5,A72&gt;CONFIG!$B$5+91),"FUERA DE HORIZONTE","OK"))))),"MONTO INVALIDO")</f>
        <v/>
      </c>
    </row>
    <row r="73" spans="1:6" x14ac:dyDescent="0.45">
      <c r="A73" s="4"/>
      <c r="B73" s="8"/>
      <c r="C73" s="8"/>
      <c r="D73" s="7"/>
      <c r="E73" s="8"/>
      <c r="F73" s="12" t="str">
        <f>IFERROR(IF(COUNTA(A73:E73)=0,"",IF(OR(A73="",B73="",C73="",D73=""),"FALTA CAMPO",IF(AND(B73&lt;&gt;"ENTRADA",B73&lt;&gt;"SALIDA"),"DIRECCION INVALIDA",IF(OR(D73&lt;=0,ABS(D73)&gt;1000000000,ROUND(D73,2)&lt;&gt;D73),"MONTO INVALIDO",IF(OR(A73&lt;DATE(1900,1,1),A73&gt;DATE(2100,12,31),A73&lt;=CONFIG!$B$5,A73&gt;CONFIG!$B$5+91),"FUERA DE HORIZONTE","OK"))))),"MONTO INVALIDO")</f>
        <v/>
      </c>
    </row>
    <row r="74" spans="1:6" x14ac:dyDescent="0.45">
      <c r="A74" s="4"/>
      <c r="B74" s="8"/>
      <c r="C74" s="8"/>
      <c r="D74" s="7"/>
      <c r="E74" s="8"/>
      <c r="F74" s="12" t="str">
        <f>IFERROR(IF(COUNTA(A74:E74)=0,"",IF(OR(A74="",B74="",C74="",D74=""),"FALTA CAMPO",IF(AND(B74&lt;&gt;"ENTRADA",B74&lt;&gt;"SALIDA"),"DIRECCION INVALIDA",IF(OR(D74&lt;=0,ABS(D74)&gt;1000000000,ROUND(D74,2)&lt;&gt;D74),"MONTO INVALIDO",IF(OR(A74&lt;DATE(1900,1,1),A74&gt;DATE(2100,12,31),A74&lt;=CONFIG!$B$5,A74&gt;CONFIG!$B$5+91),"FUERA DE HORIZONTE","OK"))))),"MONTO INVALIDO")</f>
        <v/>
      </c>
    </row>
    <row r="75" spans="1:6" x14ac:dyDescent="0.45">
      <c r="A75" s="4"/>
      <c r="B75" s="8"/>
      <c r="C75" s="8"/>
      <c r="D75" s="7"/>
      <c r="E75" s="8"/>
      <c r="F75" s="12" t="str">
        <f>IFERROR(IF(COUNTA(A75:E75)=0,"",IF(OR(A75="",B75="",C75="",D75=""),"FALTA CAMPO",IF(AND(B75&lt;&gt;"ENTRADA",B75&lt;&gt;"SALIDA"),"DIRECCION INVALIDA",IF(OR(D75&lt;=0,ABS(D75)&gt;1000000000,ROUND(D75,2)&lt;&gt;D75),"MONTO INVALIDO",IF(OR(A75&lt;DATE(1900,1,1),A75&gt;DATE(2100,12,31),A75&lt;=CONFIG!$B$5,A75&gt;CONFIG!$B$5+91),"FUERA DE HORIZONTE","OK"))))),"MONTO INVALIDO")</f>
        <v/>
      </c>
    </row>
    <row r="76" spans="1:6" x14ac:dyDescent="0.45">
      <c r="A76" s="4"/>
      <c r="B76" s="8"/>
      <c r="C76" s="8"/>
      <c r="D76" s="7"/>
      <c r="E76" s="8"/>
      <c r="F76" s="12" t="str">
        <f>IFERROR(IF(COUNTA(A76:E76)=0,"",IF(OR(A76="",B76="",C76="",D76=""),"FALTA CAMPO",IF(AND(B76&lt;&gt;"ENTRADA",B76&lt;&gt;"SALIDA"),"DIRECCION INVALIDA",IF(OR(D76&lt;=0,ABS(D76)&gt;1000000000,ROUND(D76,2)&lt;&gt;D76),"MONTO INVALIDO",IF(OR(A76&lt;DATE(1900,1,1),A76&gt;DATE(2100,12,31),A76&lt;=CONFIG!$B$5,A76&gt;CONFIG!$B$5+91),"FUERA DE HORIZONTE","OK"))))),"MONTO INVALIDO")</f>
        <v/>
      </c>
    </row>
    <row r="77" spans="1:6" x14ac:dyDescent="0.45">
      <c r="A77" s="4"/>
      <c r="B77" s="8"/>
      <c r="C77" s="8"/>
      <c r="D77" s="7"/>
      <c r="E77" s="8"/>
      <c r="F77" s="12" t="str">
        <f>IFERROR(IF(COUNTA(A77:E77)=0,"",IF(OR(A77="",B77="",C77="",D77=""),"FALTA CAMPO",IF(AND(B77&lt;&gt;"ENTRADA",B77&lt;&gt;"SALIDA"),"DIRECCION INVALIDA",IF(OR(D77&lt;=0,ABS(D77)&gt;1000000000,ROUND(D77,2)&lt;&gt;D77),"MONTO INVALIDO",IF(OR(A77&lt;DATE(1900,1,1),A77&gt;DATE(2100,12,31),A77&lt;=CONFIG!$B$5,A77&gt;CONFIG!$B$5+91),"FUERA DE HORIZONTE","OK"))))),"MONTO INVALIDO")</f>
        <v/>
      </c>
    </row>
    <row r="78" spans="1:6" x14ac:dyDescent="0.45">
      <c r="A78" s="4"/>
      <c r="B78" s="8"/>
      <c r="C78" s="8"/>
      <c r="D78" s="7"/>
      <c r="E78" s="8"/>
      <c r="F78" s="12" t="str">
        <f>IFERROR(IF(COUNTA(A78:E78)=0,"",IF(OR(A78="",B78="",C78="",D78=""),"FALTA CAMPO",IF(AND(B78&lt;&gt;"ENTRADA",B78&lt;&gt;"SALIDA"),"DIRECCION INVALIDA",IF(OR(D78&lt;=0,ABS(D78)&gt;1000000000,ROUND(D78,2)&lt;&gt;D78),"MONTO INVALIDO",IF(OR(A78&lt;DATE(1900,1,1),A78&gt;DATE(2100,12,31),A78&lt;=CONFIG!$B$5,A78&gt;CONFIG!$B$5+91),"FUERA DE HORIZONTE","OK"))))),"MONTO INVALIDO")</f>
        <v/>
      </c>
    </row>
    <row r="79" spans="1:6" x14ac:dyDescent="0.45">
      <c r="A79" s="4"/>
      <c r="B79" s="8"/>
      <c r="C79" s="8"/>
      <c r="D79" s="7"/>
      <c r="E79" s="8"/>
      <c r="F79" s="12" t="str">
        <f>IFERROR(IF(COUNTA(A79:E79)=0,"",IF(OR(A79="",B79="",C79="",D79=""),"FALTA CAMPO",IF(AND(B79&lt;&gt;"ENTRADA",B79&lt;&gt;"SALIDA"),"DIRECCION INVALIDA",IF(OR(D79&lt;=0,ABS(D79)&gt;1000000000,ROUND(D79,2)&lt;&gt;D79),"MONTO INVALIDO",IF(OR(A79&lt;DATE(1900,1,1),A79&gt;DATE(2100,12,31),A79&lt;=CONFIG!$B$5,A79&gt;CONFIG!$B$5+91),"FUERA DE HORIZONTE","OK"))))),"MONTO INVALIDO")</f>
        <v/>
      </c>
    </row>
    <row r="80" spans="1:6" x14ac:dyDescent="0.45">
      <c r="A80" s="4"/>
      <c r="B80" s="8"/>
      <c r="C80" s="8"/>
      <c r="D80" s="7"/>
      <c r="E80" s="8"/>
      <c r="F80" s="12" t="str">
        <f>IFERROR(IF(COUNTA(A80:E80)=0,"",IF(OR(A80="",B80="",C80="",D80=""),"FALTA CAMPO",IF(AND(B80&lt;&gt;"ENTRADA",B80&lt;&gt;"SALIDA"),"DIRECCION INVALIDA",IF(OR(D80&lt;=0,ABS(D80)&gt;1000000000,ROUND(D80,2)&lt;&gt;D80),"MONTO INVALIDO",IF(OR(A80&lt;DATE(1900,1,1),A80&gt;DATE(2100,12,31),A80&lt;=CONFIG!$B$5,A80&gt;CONFIG!$B$5+91),"FUERA DE HORIZONTE","OK"))))),"MONTO INVALIDO")</f>
        <v/>
      </c>
    </row>
    <row r="81" spans="1:6" x14ac:dyDescent="0.45">
      <c r="A81" s="4"/>
      <c r="B81" s="8"/>
      <c r="C81" s="8"/>
      <c r="D81" s="7"/>
      <c r="E81" s="8"/>
      <c r="F81" s="12" t="str">
        <f>IFERROR(IF(COUNTA(A81:E81)=0,"",IF(OR(A81="",B81="",C81="",D81=""),"FALTA CAMPO",IF(AND(B81&lt;&gt;"ENTRADA",B81&lt;&gt;"SALIDA"),"DIRECCION INVALIDA",IF(OR(D81&lt;=0,ABS(D81)&gt;1000000000,ROUND(D81,2)&lt;&gt;D81),"MONTO INVALIDO",IF(OR(A81&lt;DATE(1900,1,1),A81&gt;DATE(2100,12,31),A81&lt;=CONFIG!$B$5,A81&gt;CONFIG!$B$5+91),"FUERA DE HORIZONTE","OK"))))),"MONTO INVALIDO")</f>
        <v/>
      </c>
    </row>
    <row r="82" spans="1:6" x14ac:dyDescent="0.45">
      <c r="A82" s="4"/>
      <c r="B82" s="8"/>
      <c r="C82" s="8"/>
      <c r="D82" s="7"/>
      <c r="E82" s="8"/>
      <c r="F82" s="12" t="str">
        <f>IFERROR(IF(COUNTA(A82:E82)=0,"",IF(OR(A82="",B82="",C82="",D82=""),"FALTA CAMPO",IF(AND(B82&lt;&gt;"ENTRADA",B82&lt;&gt;"SALIDA"),"DIRECCION INVALIDA",IF(OR(D82&lt;=0,ABS(D82)&gt;1000000000,ROUND(D82,2)&lt;&gt;D82),"MONTO INVALIDO",IF(OR(A82&lt;DATE(1900,1,1),A82&gt;DATE(2100,12,31),A82&lt;=CONFIG!$B$5,A82&gt;CONFIG!$B$5+91),"FUERA DE HORIZONTE","OK"))))),"MONTO INVALIDO")</f>
        <v/>
      </c>
    </row>
    <row r="83" spans="1:6" x14ac:dyDescent="0.45">
      <c r="A83" s="4"/>
      <c r="B83" s="8"/>
      <c r="C83" s="8"/>
      <c r="D83" s="7"/>
      <c r="E83" s="8"/>
      <c r="F83" s="12" t="str">
        <f>IFERROR(IF(COUNTA(A83:E83)=0,"",IF(OR(A83="",B83="",C83="",D83=""),"FALTA CAMPO",IF(AND(B83&lt;&gt;"ENTRADA",B83&lt;&gt;"SALIDA"),"DIRECCION INVALIDA",IF(OR(D83&lt;=0,ABS(D83)&gt;1000000000,ROUND(D83,2)&lt;&gt;D83),"MONTO INVALIDO",IF(OR(A83&lt;DATE(1900,1,1),A83&gt;DATE(2100,12,31),A83&lt;=CONFIG!$B$5,A83&gt;CONFIG!$B$5+91),"FUERA DE HORIZONTE","OK"))))),"MONTO INVALIDO")</f>
        <v/>
      </c>
    </row>
    <row r="84" spans="1:6" x14ac:dyDescent="0.45">
      <c r="A84" s="4"/>
      <c r="B84" s="8"/>
      <c r="C84" s="8"/>
      <c r="D84" s="7"/>
      <c r="E84" s="8"/>
      <c r="F84" s="12" t="str">
        <f>IFERROR(IF(COUNTA(A84:E84)=0,"",IF(OR(A84="",B84="",C84="",D84=""),"FALTA CAMPO",IF(AND(B84&lt;&gt;"ENTRADA",B84&lt;&gt;"SALIDA"),"DIRECCION INVALIDA",IF(OR(D84&lt;=0,ABS(D84)&gt;1000000000,ROUND(D84,2)&lt;&gt;D84),"MONTO INVALIDO",IF(OR(A84&lt;DATE(1900,1,1),A84&gt;DATE(2100,12,31),A84&lt;=CONFIG!$B$5,A84&gt;CONFIG!$B$5+91),"FUERA DE HORIZONTE","OK"))))),"MONTO INVALIDO")</f>
        <v/>
      </c>
    </row>
    <row r="85" spans="1:6" x14ac:dyDescent="0.45">
      <c r="A85" s="4"/>
      <c r="B85" s="8"/>
      <c r="C85" s="8"/>
      <c r="D85" s="7"/>
      <c r="E85" s="8"/>
      <c r="F85" s="12" t="str">
        <f>IFERROR(IF(COUNTA(A85:E85)=0,"",IF(OR(A85="",B85="",C85="",D85=""),"FALTA CAMPO",IF(AND(B85&lt;&gt;"ENTRADA",B85&lt;&gt;"SALIDA"),"DIRECCION INVALIDA",IF(OR(D85&lt;=0,ABS(D85)&gt;1000000000,ROUND(D85,2)&lt;&gt;D85),"MONTO INVALIDO",IF(OR(A85&lt;DATE(1900,1,1),A85&gt;DATE(2100,12,31),A85&lt;=CONFIG!$B$5,A85&gt;CONFIG!$B$5+91),"FUERA DE HORIZONTE","OK"))))),"MONTO INVALIDO")</f>
        <v/>
      </c>
    </row>
    <row r="86" spans="1:6" x14ac:dyDescent="0.45">
      <c r="A86" s="4"/>
      <c r="B86" s="8"/>
      <c r="C86" s="8"/>
      <c r="D86" s="7"/>
      <c r="E86" s="8"/>
      <c r="F86" s="12" t="str">
        <f>IFERROR(IF(COUNTA(A86:E86)=0,"",IF(OR(A86="",B86="",C86="",D86=""),"FALTA CAMPO",IF(AND(B86&lt;&gt;"ENTRADA",B86&lt;&gt;"SALIDA"),"DIRECCION INVALIDA",IF(OR(D86&lt;=0,ABS(D86)&gt;1000000000,ROUND(D86,2)&lt;&gt;D86),"MONTO INVALIDO",IF(OR(A86&lt;DATE(1900,1,1),A86&gt;DATE(2100,12,31),A86&lt;=CONFIG!$B$5,A86&gt;CONFIG!$B$5+91),"FUERA DE HORIZONTE","OK"))))),"MONTO INVALIDO")</f>
        <v/>
      </c>
    </row>
    <row r="87" spans="1:6" x14ac:dyDescent="0.45">
      <c r="A87" s="4"/>
      <c r="B87" s="8"/>
      <c r="C87" s="8"/>
      <c r="D87" s="7"/>
      <c r="E87" s="8"/>
      <c r="F87" s="12" t="str">
        <f>IFERROR(IF(COUNTA(A87:E87)=0,"",IF(OR(A87="",B87="",C87="",D87=""),"FALTA CAMPO",IF(AND(B87&lt;&gt;"ENTRADA",B87&lt;&gt;"SALIDA"),"DIRECCION INVALIDA",IF(OR(D87&lt;=0,ABS(D87)&gt;1000000000,ROUND(D87,2)&lt;&gt;D87),"MONTO INVALIDO",IF(OR(A87&lt;DATE(1900,1,1),A87&gt;DATE(2100,12,31),A87&lt;=CONFIG!$B$5,A87&gt;CONFIG!$B$5+91),"FUERA DE HORIZONTE","OK"))))),"MONTO INVALIDO")</f>
        <v/>
      </c>
    </row>
    <row r="88" spans="1:6" x14ac:dyDescent="0.45">
      <c r="A88" s="4"/>
      <c r="B88" s="8"/>
      <c r="C88" s="8"/>
      <c r="D88" s="7"/>
      <c r="E88" s="8"/>
      <c r="F88" s="12" t="str">
        <f>IFERROR(IF(COUNTA(A88:E88)=0,"",IF(OR(A88="",B88="",C88="",D88=""),"FALTA CAMPO",IF(AND(B88&lt;&gt;"ENTRADA",B88&lt;&gt;"SALIDA"),"DIRECCION INVALIDA",IF(OR(D88&lt;=0,ABS(D88)&gt;1000000000,ROUND(D88,2)&lt;&gt;D88),"MONTO INVALIDO",IF(OR(A88&lt;DATE(1900,1,1),A88&gt;DATE(2100,12,31),A88&lt;=CONFIG!$B$5,A88&gt;CONFIG!$B$5+91),"FUERA DE HORIZONTE","OK"))))),"MONTO INVALIDO")</f>
        <v/>
      </c>
    </row>
    <row r="89" spans="1:6" x14ac:dyDescent="0.45">
      <c r="A89" s="4"/>
      <c r="B89" s="8"/>
      <c r="C89" s="8"/>
      <c r="D89" s="7"/>
      <c r="E89" s="8"/>
      <c r="F89" s="12" t="str">
        <f>IFERROR(IF(COUNTA(A89:E89)=0,"",IF(OR(A89="",B89="",C89="",D89=""),"FALTA CAMPO",IF(AND(B89&lt;&gt;"ENTRADA",B89&lt;&gt;"SALIDA"),"DIRECCION INVALIDA",IF(OR(D89&lt;=0,ABS(D89)&gt;1000000000,ROUND(D89,2)&lt;&gt;D89),"MONTO INVALIDO",IF(OR(A89&lt;DATE(1900,1,1),A89&gt;DATE(2100,12,31),A89&lt;=CONFIG!$B$5,A89&gt;CONFIG!$B$5+91),"FUERA DE HORIZONTE","OK"))))),"MONTO INVALIDO")</f>
        <v/>
      </c>
    </row>
    <row r="90" spans="1:6" x14ac:dyDescent="0.45">
      <c r="A90" s="4"/>
      <c r="B90" s="8"/>
      <c r="C90" s="8"/>
      <c r="D90" s="7"/>
      <c r="E90" s="8"/>
      <c r="F90" s="12" t="str">
        <f>IFERROR(IF(COUNTA(A90:E90)=0,"",IF(OR(A90="",B90="",C90="",D90=""),"FALTA CAMPO",IF(AND(B90&lt;&gt;"ENTRADA",B90&lt;&gt;"SALIDA"),"DIRECCION INVALIDA",IF(OR(D90&lt;=0,ABS(D90)&gt;1000000000,ROUND(D90,2)&lt;&gt;D90),"MONTO INVALIDO",IF(OR(A90&lt;DATE(1900,1,1),A90&gt;DATE(2100,12,31),A90&lt;=CONFIG!$B$5,A90&gt;CONFIG!$B$5+91),"FUERA DE HORIZONTE","OK"))))),"MONTO INVALIDO")</f>
        <v/>
      </c>
    </row>
    <row r="91" spans="1:6" x14ac:dyDescent="0.45">
      <c r="A91" s="4"/>
      <c r="B91" s="8"/>
      <c r="C91" s="8"/>
      <c r="D91" s="7"/>
      <c r="E91" s="8"/>
      <c r="F91" s="12" t="str">
        <f>IFERROR(IF(COUNTA(A91:E91)=0,"",IF(OR(A91="",B91="",C91="",D91=""),"FALTA CAMPO",IF(AND(B91&lt;&gt;"ENTRADA",B91&lt;&gt;"SALIDA"),"DIRECCION INVALIDA",IF(OR(D91&lt;=0,ABS(D91)&gt;1000000000,ROUND(D91,2)&lt;&gt;D91),"MONTO INVALIDO",IF(OR(A91&lt;DATE(1900,1,1),A91&gt;DATE(2100,12,31),A91&lt;=CONFIG!$B$5,A91&gt;CONFIG!$B$5+91),"FUERA DE HORIZONTE","OK"))))),"MONTO INVALIDO")</f>
        <v/>
      </c>
    </row>
    <row r="92" spans="1:6" x14ac:dyDescent="0.45">
      <c r="A92" s="4"/>
      <c r="B92" s="8"/>
      <c r="C92" s="8"/>
      <c r="D92" s="7"/>
      <c r="E92" s="8"/>
      <c r="F92" s="12" t="str">
        <f>IFERROR(IF(COUNTA(A92:E92)=0,"",IF(OR(A92="",B92="",C92="",D92=""),"FALTA CAMPO",IF(AND(B92&lt;&gt;"ENTRADA",B92&lt;&gt;"SALIDA"),"DIRECCION INVALIDA",IF(OR(D92&lt;=0,ABS(D92)&gt;1000000000,ROUND(D92,2)&lt;&gt;D92),"MONTO INVALIDO",IF(OR(A92&lt;DATE(1900,1,1),A92&gt;DATE(2100,12,31),A92&lt;=CONFIG!$B$5,A92&gt;CONFIG!$B$5+91),"FUERA DE HORIZONTE","OK"))))),"MONTO INVALIDO")</f>
        <v/>
      </c>
    </row>
    <row r="93" spans="1:6" x14ac:dyDescent="0.45">
      <c r="A93" s="4"/>
      <c r="B93" s="8"/>
      <c r="C93" s="8"/>
      <c r="D93" s="7"/>
      <c r="E93" s="8"/>
      <c r="F93" s="12" t="str">
        <f>IFERROR(IF(COUNTA(A93:E93)=0,"",IF(OR(A93="",B93="",C93="",D93=""),"FALTA CAMPO",IF(AND(B93&lt;&gt;"ENTRADA",B93&lt;&gt;"SALIDA"),"DIRECCION INVALIDA",IF(OR(D93&lt;=0,ABS(D93)&gt;1000000000,ROUND(D93,2)&lt;&gt;D93),"MONTO INVALIDO",IF(OR(A93&lt;DATE(1900,1,1),A93&gt;DATE(2100,12,31),A93&lt;=CONFIG!$B$5,A93&gt;CONFIG!$B$5+91),"FUERA DE HORIZONTE","OK"))))),"MONTO INVALIDO")</f>
        <v/>
      </c>
    </row>
    <row r="94" spans="1:6" x14ac:dyDescent="0.45">
      <c r="A94" s="4"/>
      <c r="B94" s="8"/>
      <c r="C94" s="8"/>
      <c r="D94" s="7"/>
      <c r="E94" s="8"/>
      <c r="F94" s="12" t="str">
        <f>IFERROR(IF(COUNTA(A94:E94)=0,"",IF(OR(A94="",B94="",C94="",D94=""),"FALTA CAMPO",IF(AND(B94&lt;&gt;"ENTRADA",B94&lt;&gt;"SALIDA"),"DIRECCION INVALIDA",IF(OR(D94&lt;=0,ABS(D94)&gt;1000000000,ROUND(D94,2)&lt;&gt;D94),"MONTO INVALIDO",IF(OR(A94&lt;DATE(1900,1,1),A94&gt;DATE(2100,12,31),A94&lt;=CONFIG!$B$5,A94&gt;CONFIG!$B$5+91),"FUERA DE HORIZONTE","OK"))))),"MONTO INVALIDO")</f>
        <v/>
      </c>
    </row>
    <row r="95" spans="1:6" x14ac:dyDescent="0.45">
      <c r="A95" s="4"/>
      <c r="B95" s="8"/>
      <c r="C95" s="8"/>
      <c r="D95" s="7"/>
      <c r="E95" s="8"/>
      <c r="F95" s="12" t="str">
        <f>IFERROR(IF(COUNTA(A95:E95)=0,"",IF(OR(A95="",B95="",C95="",D95=""),"FALTA CAMPO",IF(AND(B95&lt;&gt;"ENTRADA",B95&lt;&gt;"SALIDA"),"DIRECCION INVALIDA",IF(OR(D95&lt;=0,ABS(D95)&gt;1000000000,ROUND(D95,2)&lt;&gt;D95),"MONTO INVALIDO",IF(OR(A95&lt;DATE(1900,1,1),A95&gt;DATE(2100,12,31),A95&lt;=CONFIG!$B$5,A95&gt;CONFIG!$B$5+91),"FUERA DE HORIZONTE","OK"))))),"MONTO INVALIDO")</f>
        <v/>
      </c>
    </row>
    <row r="96" spans="1:6" x14ac:dyDescent="0.45">
      <c r="A96" s="4"/>
      <c r="B96" s="8"/>
      <c r="C96" s="8"/>
      <c r="D96" s="7"/>
      <c r="E96" s="8"/>
      <c r="F96" s="12" t="str">
        <f>IFERROR(IF(COUNTA(A96:E96)=0,"",IF(OR(A96="",B96="",C96="",D96=""),"FALTA CAMPO",IF(AND(B96&lt;&gt;"ENTRADA",B96&lt;&gt;"SALIDA"),"DIRECCION INVALIDA",IF(OR(D96&lt;=0,ABS(D96)&gt;1000000000,ROUND(D96,2)&lt;&gt;D96),"MONTO INVALIDO",IF(OR(A96&lt;DATE(1900,1,1),A96&gt;DATE(2100,12,31),A96&lt;=CONFIG!$B$5,A96&gt;CONFIG!$B$5+91),"FUERA DE HORIZONTE","OK"))))),"MONTO INVALIDO")</f>
        <v/>
      </c>
    </row>
    <row r="97" spans="1:6" x14ac:dyDescent="0.45">
      <c r="A97" s="4"/>
      <c r="B97" s="8"/>
      <c r="C97" s="8"/>
      <c r="D97" s="7"/>
      <c r="E97" s="8"/>
      <c r="F97" s="12" t="str">
        <f>IFERROR(IF(COUNTA(A97:E97)=0,"",IF(OR(A97="",B97="",C97="",D97=""),"FALTA CAMPO",IF(AND(B97&lt;&gt;"ENTRADA",B97&lt;&gt;"SALIDA"),"DIRECCION INVALIDA",IF(OR(D97&lt;=0,ABS(D97)&gt;1000000000,ROUND(D97,2)&lt;&gt;D97),"MONTO INVALIDO",IF(OR(A97&lt;DATE(1900,1,1),A97&gt;DATE(2100,12,31),A97&lt;=CONFIG!$B$5,A97&gt;CONFIG!$B$5+91),"FUERA DE HORIZONTE","OK"))))),"MONTO INVALIDO")</f>
        <v/>
      </c>
    </row>
    <row r="98" spans="1:6" x14ac:dyDescent="0.45">
      <c r="A98" s="4"/>
      <c r="B98" s="8"/>
      <c r="C98" s="8"/>
      <c r="D98" s="7"/>
      <c r="E98" s="8"/>
      <c r="F98" s="12" t="str">
        <f>IFERROR(IF(COUNTA(A98:E98)=0,"",IF(OR(A98="",B98="",C98="",D98=""),"FALTA CAMPO",IF(AND(B98&lt;&gt;"ENTRADA",B98&lt;&gt;"SALIDA"),"DIRECCION INVALIDA",IF(OR(D98&lt;=0,ABS(D98)&gt;1000000000,ROUND(D98,2)&lt;&gt;D98),"MONTO INVALIDO",IF(OR(A98&lt;DATE(1900,1,1),A98&gt;DATE(2100,12,31),A98&lt;=CONFIG!$B$5,A98&gt;CONFIG!$B$5+91),"FUERA DE HORIZONTE","OK"))))),"MONTO INVALIDO")</f>
        <v/>
      </c>
    </row>
    <row r="99" spans="1:6" x14ac:dyDescent="0.45">
      <c r="A99" s="4"/>
      <c r="B99" s="8"/>
      <c r="C99" s="8"/>
      <c r="D99" s="7"/>
      <c r="E99" s="8"/>
      <c r="F99" s="12" t="str">
        <f>IFERROR(IF(COUNTA(A99:E99)=0,"",IF(OR(A99="",B99="",C99="",D99=""),"FALTA CAMPO",IF(AND(B99&lt;&gt;"ENTRADA",B99&lt;&gt;"SALIDA"),"DIRECCION INVALIDA",IF(OR(D99&lt;=0,ABS(D99)&gt;1000000000,ROUND(D99,2)&lt;&gt;D99),"MONTO INVALIDO",IF(OR(A99&lt;DATE(1900,1,1),A99&gt;DATE(2100,12,31),A99&lt;=CONFIG!$B$5,A99&gt;CONFIG!$B$5+91),"FUERA DE HORIZONTE","OK"))))),"MONTO INVALIDO")</f>
        <v/>
      </c>
    </row>
    <row r="100" spans="1:6" x14ac:dyDescent="0.45">
      <c r="A100" s="4"/>
      <c r="B100" s="8"/>
      <c r="C100" s="8"/>
      <c r="D100" s="7"/>
      <c r="E100" s="8"/>
      <c r="F100" s="12" t="str">
        <f>IFERROR(IF(COUNTA(A100:E100)=0,"",IF(OR(A100="",B100="",C100="",D100=""),"FALTA CAMPO",IF(AND(B100&lt;&gt;"ENTRADA",B100&lt;&gt;"SALIDA"),"DIRECCION INVALIDA",IF(OR(D100&lt;=0,ABS(D100)&gt;1000000000,ROUND(D100,2)&lt;&gt;D100),"MONTO INVALIDO",IF(OR(A100&lt;DATE(1900,1,1),A100&gt;DATE(2100,12,31),A100&lt;=CONFIG!$B$5,A100&gt;CONFIG!$B$5+91),"FUERA DE HORIZONTE","OK"))))),"MONTO INVALIDO")</f>
        <v/>
      </c>
    </row>
    <row r="101" spans="1:6" x14ac:dyDescent="0.45">
      <c r="A101" s="4"/>
      <c r="B101" s="8"/>
      <c r="C101" s="8"/>
      <c r="D101" s="7"/>
      <c r="E101" s="8"/>
      <c r="F101" s="12" t="str">
        <f>IFERROR(IF(COUNTA(A101:E101)=0,"",IF(OR(A101="",B101="",C101="",D101=""),"FALTA CAMPO",IF(AND(B101&lt;&gt;"ENTRADA",B101&lt;&gt;"SALIDA"),"DIRECCION INVALIDA",IF(OR(D101&lt;=0,ABS(D101)&gt;1000000000,ROUND(D101,2)&lt;&gt;D101),"MONTO INVALIDO",IF(OR(A101&lt;DATE(1900,1,1),A101&gt;DATE(2100,12,31),A101&lt;=CONFIG!$B$5,A101&gt;CONFIG!$B$5+91),"FUERA DE HORIZONTE","OK"))))),"MONTO INVALIDO")</f>
        <v/>
      </c>
    </row>
    <row r="102" spans="1:6" x14ac:dyDescent="0.45">
      <c r="A102" s="4"/>
      <c r="B102" s="8"/>
      <c r="C102" s="8"/>
      <c r="D102" s="7"/>
      <c r="E102" s="8"/>
      <c r="F102" s="12" t="str">
        <f>IFERROR(IF(COUNTA(A102:E102)=0,"",IF(OR(A102="",B102="",C102="",D102=""),"FALTA CAMPO",IF(AND(B102&lt;&gt;"ENTRADA",B102&lt;&gt;"SALIDA"),"DIRECCION INVALIDA",IF(OR(D102&lt;=0,ABS(D102)&gt;1000000000,ROUND(D102,2)&lt;&gt;D102),"MONTO INVALIDO",IF(OR(A102&lt;DATE(1900,1,1),A102&gt;DATE(2100,12,31),A102&lt;=CONFIG!$B$5,A102&gt;CONFIG!$B$5+91),"FUERA DE HORIZONTE","OK"))))),"MONTO INVALIDO")</f>
        <v/>
      </c>
    </row>
    <row r="103" spans="1:6" x14ac:dyDescent="0.45">
      <c r="A103" s="4"/>
      <c r="B103" s="8"/>
      <c r="C103" s="8"/>
      <c r="D103" s="7"/>
      <c r="E103" s="8"/>
      <c r="F103" s="12" t="str">
        <f>IFERROR(IF(COUNTA(A103:E103)=0,"",IF(OR(A103="",B103="",C103="",D103=""),"FALTA CAMPO",IF(AND(B103&lt;&gt;"ENTRADA",B103&lt;&gt;"SALIDA"),"DIRECCION INVALIDA",IF(OR(D103&lt;=0,ABS(D103)&gt;1000000000,ROUND(D103,2)&lt;&gt;D103),"MONTO INVALIDO",IF(OR(A103&lt;DATE(1900,1,1),A103&gt;DATE(2100,12,31),A103&lt;=CONFIG!$B$5,A103&gt;CONFIG!$B$5+91),"FUERA DE HORIZONTE","OK"))))),"MONTO INVALIDO")</f>
        <v/>
      </c>
    </row>
    <row r="104" spans="1:6" x14ac:dyDescent="0.45">
      <c r="A104" s="4"/>
      <c r="B104" s="8"/>
      <c r="C104" s="8"/>
      <c r="D104" s="7"/>
      <c r="E104" s="8"/>
      <c r="F104" s="12" t="str">
        <f>IFERROR(IF(COUNTA(A104:E104)=0,"",IF(OR(A104="",B104="",C104="",D104=""),"FALTA CAMPO",IF(AND(B104&lt;&gt;"ENTRADA",B104&lt;&gt;"SALIDA"),"DIRECCION INVALIDA",IF(OR(D104&lt;=0,ABS(D104)&gt;1000000000,ROUND(D104,2)&lt;&gt;D104),"MONTO INVALIDO",IF(OR(A104&lt;DATE(1900,1,1),A104&gt;DATE(2100,12,31),A104&lt;=CONFIG!$B$5,A104&gt;CONFIG!$B$5+91),"FUERA DE HORIZONTE","OK"))))),"MONTO INVALIDO")</f>
        <v/>
      </c>
    </row>
    <row r="105" spans="1:6" x14ac:dyDescent="0.45">
      <c r="A105" s="4"/>
      <c r="B105" s="8"/>
      <c r="C105" s="8"/>
      <c r="D105" s="7"/>
      <c r="E105" s="8"/>
      <c r="F105" s="12" t="str">
        <f>IFERROR(IF(COUNTA(A105:E105)=0,"",IF(OR(A105="",B105="",C105="",D105=""),"FALTA CAMPO",IF(AND(B105&lt;&gt;"ENTRADA",B105&lt;&gt;"SALIDA"),"DIRECCION INVALIDA",IF(OR(D105&lt;=0,ABS(D105)&gt;1000000000,ROUND(D105,2)&lt;&gt;D105),"MONTO INVALIDO",IF(OR(A105&lt;DATE(1900,1,1),A105&gt;DATE(2100,12,31),A105&lt;=CONFIG!$B$5,A105&gt;CONFIG!$B$5+91),"FUERA DE HORIZONTE","OK"))))),"MONTO INVALIDO")</f>
        <v/>
      </c>
    </row>
    <row r="106" spans="1:6" x14ac:dyDescent="0.45">
      <c r="A106" s="4"/>
      <c r="B106" s="8"/>
      <c r="C106" s="8"/>
      <c r="D106" s="7"/>
      <c r="E106" s="8"/>
      <c r="F106" s="12" t="str">
        <f>IFERROR(IF(COUNTA(A106:E106)=0,"",IF(OR(A106="",B106="",C106="",D106=""),"FALTA CAMPO",IF(AND(B106&lt;&gt;"ENTRADA",B106&lt;&gt;"SALIDA"),"DIRECCION INVALIDA",IF(OR(D106&lt;=0,ABS(D106)&gt;1000000000,ROUND(D106,2)&lt;&gt;D106),"MONTO INVALIDO",IF(OR(A106&lt;DATE(1900,1,1),A106&gt;DATE(2100,12,31),A106&lt;=CONFIG!$B$5,A106&gt;CONFIG!$B$5+91),"FUERA DE HORIZONTE","OK"))))),"MONTO INVALIDO")</f>
        <v/>
      </c>
    </row>
    <row r="107" spans="1:6" x14ac:dyDescent="0.45">
      <c r="A107" s="4"/>
      <c r="B107" s="8"/>
      <c r="C107" s="8"/>
      <c r="D107" s="7"/>
      <c r="E107" s="8"/>
      <c r="F107" s="12" t="str">
        <f>IFERROR(IF(COUNTA(A107:E107)=0,"",IF(OR(A107="",B107="",C107="",D107=""),"FALTA CAMPO",IF(AND(B107&lt;&gt;"ENTRADA",B107&lt;&gt;"SALIDA"),"DIRECCION INVALIDA",IF(OR(D107&lt;=0,ABS(D107)&gt;1000000000,ROUND(D107,2)&lt;&gt;D107),"MONTO INVALIDO",IF(OR(A107&lt;DATE(1900,1,1),A107&gt;DATE(2100,12,31),A107&lt;=CONFIG!$B$5,A107&gt;CONFIG!$B$5+91),"FUERA DE HORIZONTE","OK"))))),"MONTO INVALIDO")</f>
        <v/>
      </c>
    </row>
    <row r="108" spans="1:6" x14ac:dyDescent="0.45">
      <c r="A108" s="4"/>
      <c r="B108" s="8"/>
      <c r="C108" s="8"/>
      <c r="D108" s="7"/>
      <c r="E108" s="8"/>
      <c r="F108" s="12" t="str">
        <f>IFERROR(IF(COUNTA(A108:E108)=0,"",IF(OR(A108="",B108="",C108="",D108=""),"FALTA CAMPO",IF(AND(B108&lt;&gt;"ENTRADA",B108&lt;&gt;"SALIDA"),"DIRECCION INVALIDA",IF(OR(D108&lt;=0,ABS(D108)&gt;1000000000,ROUND(D108,2)&lt;&gt;D108),"MONTO INVALIDO",IF(OR(A108&lt;DATE(1900,1,1),A108&gt;DATE(2100,12,31),A108&lt;=CONFIG!$B$5,A108&gt;CONFIG!$B$5+91),"FUERA DE HORIZONTE","OK"))))),"MONTO INVALIDO")</f>
        <v/>
      </c>
    </row>
    <row r="109" spans="1:6" x14ac:dyDescent="0.45">
      <c r="A109" s="4"/>
      <c r="B109" s="8"/>
      <c r="C109" s="8"/>
      <c r="D109" s="7"/>
      <c r="E109" s="8"/>
      <c r="F109" s="12" t="str">
        <f>IFERROR(IF(COUNTA(A109:E109)=0,"",IF(OR(A109="",B109="",C109="",D109=""),"FALTA CAMPO",IF(AND(B109&lt;&gt;"ENTRADA",B109&lt;&gt;"SALIDA"),"DIRECCION INVALIDA",IF(OR(D109&lt;=0,ABS(D109)&gt;1000000000,ROUND(D109,2)&lt;&gt;D109),"MONTO INVALIDO",IF(OR(A109&lt;DATE(1900,1,1),A109&gt;DATE(2100,12,31),A109&lt;=CONFIG!$B$5,A109&gt;CONFIG!$B$5+91),"FUERA DE HORIZONTE","OK"))))),"MONTO INVALIDO")</f>
        <v/>
      </c>
    </row>
    <row r="110" spans="1:6" x14ac:dyDescent="0.45">
      <c r="A110" s="4"/>
      <c r="B110" s="8"/>
      <c r="C110" s="8"/>
      <c r="D110" s="7"/>
      <c r="E110" s="8"/>
      <c r="F110" s="12" t="str">
        <f>IFERROR(IF(COUNTA(A110:E110)=0,"",IF(OR(A110="",B110="",C110="",D110=""),"FALTA CAMPO",IF(AND(B110&lt;&gt;"ENTRADA",B110&lt;&gt;"SALIDA"),"DIRECCION INVALIDA",IF(OR(D110&lt;=0,ABS(D110)&gt;1000000000,ROUND(D110,2)&lt;&gt;D110),"MONTO INVALIDO",IF(OR(A110&lt;DATE(1900,1,1),A110&gt;DATE(2100,12,31),A110&lt;=CONFIG!$B$5,A110&gt;CONFIG!$B$5+91),"FUERA DE HORIZONTE","OK"))))),"MONTO INVALIDO")</f>
        <v/>
      </c>
    </row>
    <row r="111" spans="1:6" x14ac:dyDescent="0.45">
      <c r="A111" s="4"/>
      <c r="B111" s="8"/>
      <c r="C111" s="8"/>
      <c r="D111" s="7"/>
      <c r="E111" s="8"/>
      <c r="F111" s="12" t="str">
        <f>IFERROR(IF(COUNTA(A111:E111)=0,"",IF(OR(A111="",B111="",C111="",D111=""),"FALTA CAMPO",IF(AND(B111&lt;&gt;"ENTRADA",B111&lt;&gt;"SALIDA"),"DIRECCION INVALIDA",IF(OR(D111&lt;=0,ABS(D111)&gt;1000000000,ROUND(D111,2)&lt;&gt;D111),"MONTO INVALIDO",IF(OR(A111&lt;DATE(1900,1,1),A111&gt;DATE(2100,12,31),A111&lt;=CONFIG!$B$5,A111&gt;CONFIG!$B$5+91),"FUERA DE HORIZONTE","OK"))))),"MONTO INVALIDO")</f>
        <v/>
      </c>
    </row>
    <row r="112" spans="1:6" x14ac:dyDescent="0.45">
      <c r="A112" s="4"/>
      <c r="B112" s="8"/>
      <c r="C112" s="8"/>
      <c r="D112" s="7"/>
      <c r="E112" s="8"/>
      <c r="F112" s="12" t="str">
        <f>IFERROR(IF(COUNTA(A112:E112)=0,"",IF(OR(A112="",B112="",C112="",D112=""),"FALTA CAMPO",IF(AND(B112&lt;&gt;"ENTRADA",B112&lt;&gt;"SALIDA"),"DIRECCION INVALIDA",IF(OR(D112&lt;=0,ABS(D112)&gt;1000000000,ROUND(D112,2)&lt;&gt;D112),"MONTO INVALIDO",IF(OR(A112&lt;DATE(1900,1,1),A112&gt;DATE(2100,12,31),A112&lt;=CONFIG!$B$5,A112&gt;CONFIG!$B$5+91),"FUERA DE HORIZONTE","OK"))))),"MONTO INVALIDO")</f>
        <v/>
      </c>
    </row>
    <row r="113" spans="1:6" x14ac:dyDescent="0.45">
      <c r="A113" s="4"/>
      <c r="B113" s="8"/>
      <c r="C113" s="8"/>
      <c r="D113" s="7"/>
      <c r="E113" s="8"/>
      <c r="F113" s="12" t="str">
        <f>IFERROR(IF(COUNTA(A113:E113)=0,"",IF(OR(A113="",B113="",C113="",D113=""),"FALTA CAMPO",IF(AND(B113&lt;&gt;"ENTRADA",B113&lt;&gt;"SALIDA"),"DIRECCION INVALIDA",IF(OR(D113&lt;=0,ABS(D113)&gt;1000000000,ROUND(D113,2)&lt;&gt;D113),"MONTO INVALIDO",IF(OR(A113&lt;DATE(1900,1,1),A113&gt;DATE(2100,12,31),A113&lt;=CONFIG!$B$5,A113&gt;CONFIG!$B$5+91),"FUERA DE HORIZONTE","OK"))))),"MONTO INVALIDO")</f>
        <v/>
      </c>
    </row>
    <row r="114" spans="1:6" x14ac:dyDescent="0.45">
      <c r="A114" s="4"/>
      <c r="B114" s="8"/>
      <c r="C114" s="8"/>
      <c r="D114" s="7"/>
      <c r="E114" s="8"/>
      <c r="F114" s="12" t="str">
        <f>IFERROR(IF(COUNTA(A114:E114)=0,"",IF(OR(A114="",B114="",C114="",D114=""),"FALTA CAMPO",IF(AND(B114&lt;&gt;"ENTRADA",B114&lt;&gt;"SALIDA"),"DIRECCION INVALIDA",IF(OR(D114&lt;=0,ABS(D114)&gt;1000000000,ROUND(D114,2)&lt;&gt;D114),"MONTO INVALIDO",IF(OR(A114&lt;DATE(1900,1,1),A114&gt;DATE(2100,12,31),A114&lt;=CONFIG!$B$5,A114&gt;CONFIG!$B$5+91),"FUERA DE HORIZONTE","OK"))))),"MONTO INVALIDO")</f>
        <v/>
      </c>
    </row>
    <row r="115" spans="1:6" x14ac:dyDescent="0.45">
      <c r="A115" s="4"/>
      <c r="B115" s="8"/>
      <c r="C115" s="8"/>
      <c r="D115" s="7"/>
      <c r="E115" s="8"/>
      <c r="F115" s="12" t="str">
        <f>IFERROR(IF(COUNTA(A115:E115)=0,"",IF(OR(A115="",B115="",C115="",D115=""),"FALTA CAMPO",IF(AND(B115&lt;&gt;"ENTRADA",B115&lt;&gt;"SALIDA"),"DIRECCION INVALIDA",IF(OR(D115&lt;=0,ABS(D115)&gt;1000000000,ROUND(D115,2)&lt;&gt;D115),"MONTO INVALIDO",IF(OR(A115&lt;DATE(1900,1,1),A115&gt;DATE(2100,12,31),A115&lt;=CONFIG!$B$5,A115&gt;CONFIG!$B$5+91),"FUERA DE HORIZONTE","OK"))))),"MONTO INVALIDO")</f>
        <v/>
      </c>
    </row>
    <row r="116" spans="1:6" x14ac:dyDescent="0.45">
      <c r="A116" s="4"/>
      <c r="B116" s="8"/>
      <c r="C116" s="8"/>
      <c r="D116" s="7"/>
      <c r="E116" s="8"/>
      <c r="F116" s="12" t="str">
        <f>IFERROR(IF(COUNTA(A116:E116)=0,"",IF(OR(A116="",B116="",C116="",D116=""),"FALTA CAMPO",IF(AND(B116&lt;&gt;"ENTRADA",B116&lt;&gt;"SALIDA"),"DIRECCION INVALIDA",IF(OR(D116&lt;=0,ABS(D116)&gt;1000000000,ROUND(D116,2)&lt;&gt;D116),"MONTO INVALIDO",IF(OR(A116&lt;DATE(1900,1,1),A116&gt;DATE(2100,12,31),A116&lt;=CONFIG!$B$5,A116&gt;CONFIG!$B$5+91),"FUERA DE HORIZONTE","OK"))))),"MONTO INVALIDO")</f>
        <v/>
      </c>
    </row>
    <row r="117" spans="1:6" x14ac:dyDescent="0.45">
      <c r="A117" s="4"/>
      <c r="B117" s="8"/>
      <c r="C117" s="8"/>
      <c r="D117" s="7"/>
      <c r="E117" s="8"/>
      <c r="F117" s="12" t="str">
        <f>IFERROR(IF(COUNTA(A117:E117)=0,"",IF(OR(A117="",B117="",C117="",D117=""),"FALTA CAMPO",IF(AND(B117&lt;&gt;"ENTRADA",B117&lt;&gt;"SALIDA"),"DIRECCION INVALIDA",IF(OR(D117&lt;=0,ABS(D117)&gt;1000000000,ROUND(D117,2)&lt;&gt;D117),"MONTO INVALIDO",IF(OR(A117&lt;DATE(1900,1,1),A117&gt;DATE(2100,12,31),A117&lt;=CONFIG!$B$5,A117&gt;CONFIG!$B$5+91),"FUERA DE HORIZONTE","OK"))))),"MONTO INVALIDO")</f>
        <v/>
      </c>
    </row>
    <row r="118" spans="1:6" x14ac:dyDescent="0.45">
      <c r="A118" s="4"/>
      <c r="B118" s="8"/>
      <c r="C118" s="8"/>
      <c r="D118" s="7"/>
      <c r="E118" s="8"/>
      <c r="F118" s="12" t="str">
        <f>IFERROR(IF(COUNTA(A118:E118)=0,"",IF(OR(A118="",B118="",C118="",D118=""),"FALTA CAMPO",IF(AND(B118&lt;&gt;"ENTRADA",B118&lt;&gt;"SALIDA"),"DIRECCION INVALIDA",IF(OR(D118&lt;=0,ABS(D118)&gt;1000000000,ROUND(D118,2)&lt;&gt;D118),"MONTO INVALIDO",IF(OR(A118&lt;DATE(1900,1,1),A118&gt;DATE(2100,12,31),A118&lt;=CONFIG!$B$5,A118&gt;CONFIG!$B$5+91),"FUERA DE HORIZONTE","OK"))))),"MONTO INVALIDO")</f>
        <v/>
      </c>
    </row>
    <row r="119" spans="1:6" x14ac:dyDescent="0.45">
      <c r="A119" s="4"/>
      <c r="B119" s="8"/>
      <c r="C119" s="8"/>
      <c r="D119" s="7"/>
      <c r="E119" s="8"/>
      <c r="F119" s="12" t="str">
        <f>IFERROR(IF(COUNTA(A119:E119)=0,"",IF(OR(A119="",B119="",C119="",D119=""),"FALTA CAMPO",IF(AND(B119&lt;&gt;"ENTRADA",B119&lt;&gt;"SALIDA"),"DIRECCION INVALIDA",IF(OR(D119&lt;=0,ABS(D119)&gt;1000000000,ROUND(D119,2)&lt;&gt;D119),"MONTO INVALIDO",IF(OR(A119&lt;DATE(1900,1,1),A119&gt;DATE(2100,12,31),A119&lt;=CONFIG!$B$5,A119&gt;CONFIG!$B$5+91),"FUERA DE HORIZONTE","OK"))))),"MONTO INVALIDO")</f>
        <v/>
      </c>
    </row>
    <row r="120" spans="1:6" x14ac:dyDescent="0.45">
      <c r="A120" s="4"/>
      <c r="B120" s="8"/>
      <c r="C120" s="8"/>
      <c r="D120" s="7"/>
      <c r="E120" s="8"/>
      <c r="F120" s="12" t="str">
        <f>IFERROR(IF(COUNTA(A120:E120)=0,"",IF(OR(A120="",B120="",C120="",D120=""),"FALTA CAMPO",IF(AND(B120&lt;&gt;"ENTRADA",B120&lt;&gt;"SALIDA"),"DIRECCION INVALIDA",IF(OR(D120&lt;=0,ABS(D120)&gt;1000000000,ROUND(D120,2)&lt;&gt;D120),"MONTO INVALIDO",IF(OR(A120&lt;DATE(1900,1,1),A120&gt;DATE(2100,12,31),A120&lt;=CONFIG!$B$5,A120&gt;CONFIG!$B$5+91),"FUERA DE HORIZONTE","OK"))))),"MONTO INVALIDO")</f>
        <v/>
      </c>
    </row>
    <row r="121" spans="1:6" x14ac:dyDescent="0.45">
      <c r="A121" s="4"/>
      <c r="B121" s="8"/>
      <c r="C121" s="8"/>
      <c r="D121" s="7"/>
      <c r="E121" s="8"/>
      <c r="F121" s="12" t="str">
        <f>IFERROR(IF(COUNTA(A121:E121)=0,"",IF(OR(A121="",B121="",C121="",D121=""),"FALTA CAMPO",IF(AND(B121&lt;&gt;"ENTRADA",B121&lt;&gt;"SALIDA"),"DIRECCION INVALIDA",IF(OR(D121&lt;=0,ABS(D121)&gt;1000000000,ROUND(D121,2)&lt;&gt;D121),"MONTO INVALIDO",IF(OR(A121&lt;DATE(1900,1,1),A121&gt;DATE(2100,12,31),A121&lt;=CONFIG!$B$5,A121&gt;CONFIG!$B$5+91),"FUERA DE HORIZONTE","OK"))))),"MONTO INVALIDO")</f>
        <v/>
      </c>
    </row>
    <row r="122" spans="1:6" x14ac:dyDescent="0.45">
      <c r="A122" s="4"/>
      <c r="B122" s="8"/>
      <c r="C122" s="8"/>
      <c r="D122" s="7"/>
      <c r="E122" s="8"/>
      <c r="F122" s="12" t="str">
        <f>IFERROR(IF(COUNTA(A122:E122)=0,"",IF(OR(A122="",B122="",C122="",D122=""),"FALTA CAMPO",IF(AND(B122&lt;&gt;"ENTRADA",B122&lt;&gt;"SALIDA"),"DIRECCION INVALIDA",IF(OR(D122&lt;=0,ABS(D122)&gt;1000000000,ROUND(D122,2)&lt;&gt;D122),"MONTO INVALIDO",IF(OR(A122&lt;DATE(1900,1,1),A122&gt;DATE(2100,12,31),A122&lt;=CONFIG!$B$5,A122&gt;CONFIG!$B$5+91),"FUERA DE HORIZONTE","OK"))))),"MONTO INVALIDO")</f>
        <v/>
      </c>
    </row>
    <row r="123" spans="1:6" x14ac:dyDescent="0.45">
      <c r="A123" s="4"/>
      <c r="B123" s="8"/>
      <c r="C123" s="8"/>
      <c r="D123" s="7"/>
      <c r="E123" s="8"/>
      <c r="F123" s="12" t="str">
        <f>IFERROR(IF(COUNTA(A123:E123)=0,"",IF(OR(A123="",B123="",C123="",D123=""),"FALTA CAMPO",IF(AND(B123&lt;&gt;"ENTRADA",B123&lt;&gt;"SALIDA"),"DIRECCION INVALIDA",IF(OR(D123&lt;=0,ABS(D123)&gt;1000000000,ROUND(D123,2)&lt;&gt;D123),"MONTO INVALIDO",IF(OR(A123&lt;DATE(1900,1,1),A123&gt;DATE(2100,12,31),A123&lt;=CONFIG!$B$5,A123&gt;CONFIG!$B$5+91),"FUERA DE HORIZONTE","OK"))))),"MONTO INVALIDO")</f>
        <v/>
      </c>
    </row>
    <row r="124" spans="1:6" x14ac:dyDescent="0.45">
      <c r="A124" s="4"/>
      <c r="B124" s="8"/>
      <c r="C124" s="8"/>
      <c r="D124" s="7"/>
      <c r="E124" s="8"/>
      <c r="F124" s="12" t="str">
        <f>IFERROR(IF(COUNTA(A124:E124)=0,"",IF(OR(A124="",B124="",C124="",D124=""),"FALTA CAMPO",IF(AND(B124&lt;&gt;"ENTRADA",B124&lt;&gt;"SALIDA"),"DIRECCION INVALIDA",IF(OR(D124&lt;=0,ABS(D124)&gt;1000000000,ROUND(D124,2)&lt;&gt;D124),"MONTO INVALIDO",IF(OR(A124&lt;DATE(1900,1,1),A124&gt;DATE(2100,12,31),A124&lt;=CONFIG!$B$5,A124&gt;CONFIG!$B$5+91),"FUERA DE HORIZONTE","OK"))))),"MONTO INVALIDO")</f>
        <v/>
      </c>
    </row>
    <row r="125" spans="1:6" x14ac:dyDescent="0.45">
      <c r="A125" s="4"/>
      <c r="B125" s="8"/>
      <c r="C125" s="8"/>
      <c r="D125" s="7"/>
      <c r="E125" s="8"/>
      <c r="F125" s="12" t="str">
        <f>IFERROR(IF(COUNTA(A125:E125)=0,"",IF(OR(A125="",B125="",C125="",D125=""),"FALTA CAMPO",IF(AND(B125&lt;&gt;"ENTRADA",B125&lt;&gt;"SALIDA"),"DIRECCION INVALIDA",IF(OR(D125&lt;=0,ABS(D125)&gt;1000000000,ROUND(D125,2)&lt;&gt;D125),"MONTO INVALIDO",IF(OR(A125&lt;DATE(1900,1,1),A125&gt;DATE(2100,12,31),A125&lt;=CONFIG!$B$5,A125&gt;CONFIG!$B$5+91),"FUERA DE HORIZONTE","OK"))))),"MONTO INVALIDO")</f>
        <v/>
      </c>
    </row>
    <row r="126" spans="1:6" x14ac:dyDescent="0.45">
      <c r="A126" s="4"/>
      <c r="B126" s="8"/>
      <c r="C126" s="8"/>
      <c r="D126" s="7"/>
      <c r="E126" s="8"/>
      <c r="F126" s="12" t="str">
        <f>IFERROR(IF(COUNTA(A126:E126)=0,"",IF(OR(A126="",B126="",C126="",D126=""),"FALTA CAMPO",IF(AND(B126&lt;&gt;"ENTRADA",B126&lt;&gt;"SALIDA"),"DIRECCION INVALIDA",IF(OR(D126&lt;=0,ABS(D126)&gt;1000000000,ROUND(D126,2)&lt;&gt;D126),"MONTO INVALIDO",IF(OR(A126&lt;DATE(1900,1,1),A126&gt;DATE(2100,12,31),A126&lt;=CONFIG!$B$5,A126&gt;CONFIG!$B$5+91),"FUERA DE HORIZONTE","OK"))))),"MONTO INVALIDO")</f>
        <v/>
      </c>
    </row>
    <row r="127" spans="1:6" x14ac:dyDescent="0.45">
      <c r="A127" s="4"/>
      <c r="B127" s="8"/>
      <c r="C127" s="8"/>
      <c r="D127" s="7"/>
      <c r="E127" s="8"/>
      <c r="F127" s="12" t="str">
        <f>IFERROR(IF(COUNTA(A127:E127)=0,"",IF(OR(A127="",B127="",C127="",D127=""),"FALTA CAMPO",IF(AND(B127&lt;&gt;"ENTRADA",B127&lt;&gt;"SALIDA"),"DIRECCION INVALIDA",IF(OR(D127&lt;=0,ABS(D127)&gt;1000000000,ROUND(D127,2)&lt;&gt;D127),"MONTO INVALIDO",IF(OR(A127&lt;DATE(1900,1,1),A127&gt;DATE(2100,12,31),A127&lt;=CONFIG!$B$5,A127&gt;CONFIG!$B$5+91),"FUERA DE HORIZONTE","OK"))))),"MONTO INVALIDO")</f>
        <v/>
      </c>
    </row>
    <row r="128" spans="1:6" x14ac:dyDescent="0.45">
      <c r="A128" s="4"/>
      <c r="B128" s="8"/>
      <c r="C128" s="8"/>
      <c r="D128" s="7"/>
      <c r="E128" s="8"/>
      <c r="F128" s="12" t="str">
        <f>IFERROR(IF(COUNTA(A128:E128)=0,"",IF(OR(A128="",B128="",C128="",D128=""),"FALTA CAMPO",IF(AND(B128&lt;&gt;"ENTRADA",B128&lt;&gt;"SALIDA"),"DIRECCION INVALIDA",IF(OR(D128&lt;=0,ABS(D128)&gt;1000000000,ROUND(D128,2)&lt;&gt;D128),"MONTO INVALIDO",IF(OR(A128&lt;DATE(1900,1,1),A128&gt;DATE(2100,12,31),A128&lt;=CONFIG!$B$5,A128&gt;CONFIG!$B$5+91),"FUERA DE HORIZONTE","OK"))))),"MONTO INVALIDO")</f>
        <v/>
      </c>
    </row>
    <row r="129" spans="1:6" x14ac:dyDescent="0.45">
      <c r="A129" s="4"/>
      <c r="B129" s="8"/>
      <c r="C129" s="8"/>
      <c r="D129" s="7"/>
      <c r="E129" s="8"/>
      <c r="F129" s="12" t="str">
        <f>IFERROR(IF(COUNTA(A129:E129)=0,"",IF(OR(A129="",B129="",C129="",D129=""),"FALTA CAMPO",IF(AND(B129&lt;&gt;"ENTRADA",B129&lt;&gt;"SALIDA"),"DIRECCION INVALIDA",IF(OR(D129&lt;=0,ABS(D129)&gt;1000000000,ROUND(D129,2)&lt;&gt;D129),"MONTO INVALIDO",IF(OR(A129&lt;DATE(1900,1,1),A129&gt;DATE(2100,12,31),A129&lt;=CONFIG!$B$5,A129&gt;CONFIG!$B$5+91),"FUERA DE HORIZONTE","OK"))))),"MONTO INVALIDO")</f>
        <v/>
      </c>
    </row>
    <row r="130" spans="1:6" x14ac:dyDescent="0.45">
      <c r="A130" s="4"/>
      <c r="B130" s="8"/>
      <c r="C130" s="8"/>
      <c r="D130" s="7"/>
      <c r="E130" s="8"/>
      <c r="F130" s="12" t="str">
        <f>IFERROR(IF(COUNTA(A130:E130)=0,"",IF(OR(A130="",B130="",C130="",D130=""),"FALTA CAMPO",IF(AND(B130&lt;&gt;"ENTRADA",B130&lt;&gt;"SALIDA"),"DIRECCION INVALIDA",IF(OR(D130&lt;=0,ABS(D130)&gt;1000000000,ROUND(D130,2)&lt;&gt;D130),"MONTO INVALIDO",IF(OR(A130&lt;DATE(1900,1,1),A130&gt;DATE(2100,12,31),A130&lt;=CONFIG!$B$5,A130&gt;CONFIG!$B$5+91),"FUERA DE HORIZONTE","OK"))))),"MONTO INVALIDO")</f>
        <v/>
      </c>
    </row>
    <row r="131" spans="1:6" x14ac:dyDescent="0.45">
      <c r="A131" s="4"/>
      <c r="B131" s="8"/>
      <c r="C131" s="8"/>
      <c r="D131" s="7"/>
      <c r="E131" s="8"/>
      <c r="F131" s="12" t="str">
        <f>IFERROR(IF(COUNTA(A131:E131)=0,"",IF(OR(A131="",B131="",C131="",D131=""),"FALTA CAMPO",IF(AND(B131&lt;&gt;"ENTRADA",B131&lt;&gt;"SALIDA"),"DIRECCION INVALIDA",IF(OR(D131&lt;=0,ABS(D131)&gt;1000000000,ROUND(D131,2)&lt;&gt;D131),"MONTO INVALIDO",IF(OR(A131&lt;DATE(1900,1,1),A131&gt;DATE(2100,12,31),A131&lt;=CONFIG!$B$5,A131&gt;CONFIG!$B$5+91),"FUERA DE HORIZONTE","OK"))))),"MONTO INVALIDO")</f>
        <v/>
      </c>
    </row>
    <row r="132" spans="1:6" x14ac:dyDescent="0.45">
      <c r="A132" s="4"/>
      <c r="B132" s="8"/>
      <c r="C132" s="8"/>
      <c r="D132" s="7"/>
      <c r="E132" s="8"/>
      <c r="F132" s="12" t="str">
        <f>IFERROR(IF(COUNTA(A132:E132)=0,"",IF(OR(A132="",B132="",C132="",D132=""),"FALTA CAMPO",IF(AND(B132&lt;&gt;"ENTRADA",B132&lt;&gt;"SALIDA"),"DIRECCION INVALIDA",IF(OR(D132&lt;=0,ABS(D132)&gt;1000000000,ROUND(D132,2)&lt;&gt;D132),"MONTO INVALIDO",IF(OR(A132&lt;DATE(1900,1,1),A132&gt;DATE(2100,12,31),A132&lt;=CONFIG!$B$5,A132&gt;CONFIG!$B$5+91),"FUERA DE HORIZONTE","OK"))))),"MONTO INVALIDO")</f>
        <v/>
      </c>
    </row>
    <row r="133" spans="1:6" x14ac:dyDescent="0.45">
      <c r="A133" s="4"/>
      <c r="B133" s="8"/>
      <c r="C133" s="8"/>
      <c r="D133" s="7"/>
      <c r="E133" s="8"/>
      <c r="F133" s="12" t="str">
        <f>IFERROR(IF(COUNTA(A133:E133)=0,"",IF(OR(A133="",B133="",C133="",D133=""),"FALTA CAMPO",IF(AND(B133&lt;&gt;"ENTRADA",B133&lt;&gt;"SALIDA"),"DIRECCION INVALIDA",IF(OR(D133&lt;=0,ABS(D133)&gt;1000000000,ROUND(D133,2)&lt;&gt;D133),"MONTO INVALIDO",IF(OR(A133&lt;DATE(1900,1,1),A133&gt;DATE(2100,12,31),A133&lt;=CONFIG!$B$5,A133&gt;CONFIG!$B$5+91),"FUERA DE HORIZONTE","OK"))))),"MONTO INVALIDO")</f>
        <v/>
      </c>
    </row>
    <row r="134" spans="1:6" x14ac:dyDescent="0.45">
      <c r="A134" s="4"/>
      <c r="B134" s="8"/>
      <c r="C134" s="8"/>
      <c r="D134" s="7"/>
      <c r="E134" s="8"/>
      <c r="F134" s="12" t="str">
        <f>IFERROR(IF(COUNTA(A134:E134)=0,"",IF(OR(A134="",B134="",C134="",D134=""),"FALTA CAMPO",IF(AND(B134&lt;&gt;"ENTRADA",B134&lt;&gt;"SALIDA"),"DIRECCION INVALIDA",IF(OR(D134&lt;=0,ABS(D134)&gt;1000000000,ROUND(D134,2)&lt;&gt;D134),"MONTO INVALIDO",IF(OR(A134&lt;DATE(1900,1,1),A134&gt;DATE(2100,12,31),A134&lt;=CONFIG!$B$5,A134&gt;CONFIG!$B$5+91),"FUERA DE HORIZONTE","OK"))))),"MONTO INVALIDO")</f>
        <v/>
      </c>
    </row>
    <row r="135" spans="1:6" x14ac:dyDescent="0.45">
      <c r="A135" s="4"/>
      <c r="B135" s="8"/>
      <c r="C135" s="8"/>
      <c r="D135" s="7"/>
      <c r="E135" s="8"/>
      <c r="F135" s="12" t="str">
        <f>IFERROR(IF(COUNTA(A135:E135)=0,"",IF(OR(A135="",B135="",C135="",D135=""),"FALTA CAMPO",IF(AND(B135&lt;&gt;"ENTRADA",B135&lt;&gt;"SALIDA"),"DIRECCION INVALIDA",IF(OR(D135&lt;=0,ABS(D135)&gt;1000000000,ROUND(D135,2)&lt;&gt;D135),"MONTO INVALIDO",IF(OR(A135&lt;DATE(1900,1,1),A135&gt;DATE(2100,12,31),A135&lt;=CONFIG!$B$5,A135&gt;CONFIG!$B$5+91),"FUERA DE HORIZONTE","OK"))))),"MONTO INVALIDO")</f>
        <v/>
      </c>
    </row>
    <row r="136" spans="1:6" x14ac:dyDescent="0.45">
      <c r="A136" s="4"/>
      <c r="B136" s="8"/>
      <c r="C136" s="8"/>
      <c r="D136" s="7"/>
      <c r="E136" s="8"/>
      <c r="F136" s="12" t="str">
        <f>IFERROR(IF(COUNTA(A136:E136)=0,"",IF(OR(A136="",B136="",C136="",D136=""),"FALTA CAMPO",IF(AND(B136&lt;&gt;"ENTRADA",B136&lt;&gt;"SALIDA"),"DIRECCION INVALIDA",IF(OR(D136&lt;=0,ABS(D136)&gt;1000000000,ROUND(D136,2)&lt;&gt;D136),"MONTO INVALIDO",IF(OR(A136&lt;DATE(1900,1,1),A136&gt;DATE(2100,12,31),A136&lt;=CONFIG!$B$5,A136&gt;CONFIG!$B$5+91),"FUERA DE HORIZONTE","OK"))))),"MONTO INVALIDO")</f>
        <v/>
      </c>
    </row>
    <row r="137" spans="1:6" x14ac:dyDescent="0.45">
      <c r="A137" s="4"/>
      <c r="B137" s="8"/>
      <c r="C137" s="8"/>
      <c r="D137" s="7"/>
      <c r="E137" s="8"/>
      <c r="F137" s="12" t="str">
        <f>IFERROR(IF(COUNTA(A137:E137)=0,"",IF(OR(A137="",B137="",C137="",D137=""),"FALTA CAMPO",IF(AND(B137&lt;&gt;"ENTRADA",B137&lt;&gt;"SALIDA"),"DIRECCION INVALIDA",IF(OR(D137&lt;=0,ABS(D137)&gt;1000000000,ROUND(D137,2)&lt;&gt;D137),"MONTO INVALIDO",IF(OR(A137&lt;DATE(1900,1,1),A137&gt;DATE(2100,12,31),A137&lt;=CONFIG!$B$5,A137&gt;CONFIG!$B$5+91),"FUERA DE HORIZONTE","OK"))))),"MONTO INVALIDO")</f>
        <v/>
      </c>
    </row>
    <row r="138" spans="1:6" x14ac:dyDescent="0.45">
      <c r="A138" s="4"/>
      <c r="B138" s="8"/>
      <c r="C138" s="8"/>
      <c r="D138" s="7"/>
      <c r="E138" s="8"/>
      <c r="F138" s="12" t="str">
        <f>IFERROR(IF(COUNTA(A138:E138)=0,"",IF(OR(A138="",B138="",C138="",D138=""),"FALTA CAMPO",IF(AND(B138&lt;&gt;"ENTRADA",B138&lt;&gt;"SALIDA"),"DIRECCION INVALIDA",IF(OR(D138&lt;=0,ABS(D138)&gt;1000000000,ROUND(D138,2)&lt;&gt;D138),"MONTO INVALIDO",IF(OR(A138&lt;DATE(1900,1,1),A138&gt;DATE(2100,12,31),A138&lt;=CONFIG!$B$5,A138&gt;CONFIG!$B$5+91),"FUERA DE HORIZONTE","OK"))))),"MONTO INVALIDO")</f>
        <v/>
      </c>
    </row>
    <row r="139" spans="1:6" x14ac:dyDescent="0.45">
      <c r="A139" s="4"/>
      <c r="B139" s="8"/>
      <c r="C139" s="8"/>
      <c r="D139" s="7"/>
      <c r="E139" s="8"/>
      <c r="F139" s="12" t="str">
        <f>IFERROR(IF(COUNTA(A139:E139)=0,"",IF(OR(A139="",B139="",C139="",D139=""),"FALTA CAMPO",IF(AND(B139&lt;&gt;"ENTRADA",B139&lt;&gt;"SALIDA"),"DIRECCION INVALIDA",IF(OR(D139&lt;=0,ABS(D139)&gt;1000000000,ROUND(D139,2)&lt;&gt;D139),"MONTO INVALIDO",IF(OR(A139&lt;DATE(1900,1,1),A139&gt;DATE(2100,12,31),A139&lt;=CONFIG!$B$5,A139&gt;CONFIG!$B$5+91),"FUERA DE HORIZONTE","OK"))))),"MONTO INVALIDO")</f>
        <v/>
      </c>
    </row>
    <row r="140" spans="1:6" x14ac:dyDescent="0.45">
      <c r="A140" s="4"/>
      <c r="B140" s="8"/>
      <c r="C140" s="8"/>
      <c r="D140" s="7"/>
      <c r="E140" s="8"/>
      <c r="F140" s="12" t="str">
        <f>IFERROR(IF(COUNTA(A140:E140)=0,"",IF(OR(A140="",B140="",C140="",D140=""),"FALTA CAMPO",IF(AND(B140&lt;&gt;"ENTRADA",B140&lt;&gt;"SALIDA"),"DIRECCION INVALIDA",IF(OR(D140&lt;=0,ABS(D140)&gt;1000000000,ROUND(D140,2)&lt;&gt;D140),"MONTO INVALIDO",IF(OR(A140&lt;DATE(1900,1,1),A140&gt;DATE(2100,12,31),A140&lt;=CONFIG!$B$5,A140&gt;CONFIG!$B$5+91),"FUERA DE HORIZONTE","OK"))))),"MONTO INVALIDO")</f>
        <v/>
      </c>
    </row>
    <row r="141" spans="1:6" x14ac:dyDescent="0.45">
      <c r="A141" s="4"/>
      <c r="B141" s="8"/>
      <c r="C141" s="8"/>
      <c r="D141" s="7"/>
      <c r="E141" s="8"/>
      <c r="F141" s="12" t="str">
        <f>IFERROR(IF(COUNTA(A141:E141)=0,"",IF(OR(A141="",B141="",C141="",D141=""),"FALTA CAMPO",IF(AND(B141&lt;&gt;"ENTRADA",B141&lt;&gt;"SALIDA"),"DIRECCION INVALIDA",IF(OR(D141&lt;=0,ABS(D141)&gt;1000000000,ROUND(D141,2)&lt;&gt;D141),"MONTO INVALIDO",IF(OR(A141&lt;DATE(1900,1,1),A141&gt;DATE(2100,12,31),A141&lt;=CONFIG!$B$5,A141&gt;CONFIG!$B$5+91),"FUERA DE HORIZONTE","OK"))))),"MONTO INVALIDO")</f>
        <v/>
      </c>
    </row>
    <row r="142" spans="1:6" x14ac:dyDescent="0.45">
      <c r="A142" s="4"/>
      <c r="B142" s="8"/>
      <c r="C142" s="8"/>
      <c r="D142" s="7"/>
      <c r="E142" s="8"/>
      <c r="F142" s="12" t="str">
        <f>IFERROR(IF(COUNTA(A142:E142)=0,"",IF(OR(A142="",B142="",C142="",D142=""),"FALTA CAMPO",IF(AND(B142&lt;&gt;"ENTRADA",B142&lt;&gt;"SALIDA"),"DIRECCION INVALIDA",IF(OR(D142&lt;=0,ABS(D142)&gt;1000000000,ROUND(D142,2)&lt;&gt;D142),"MONTO INVALIDO",IF(OR(A142&lt;DATE(1900,1,1),A142&gt;DATE(2100,12,31),A142&lt;=CONFIG!$B$5,A142&gt;CONFIG!$B$5+91),"FUERA DE HORIZONTE","OK"))))),"MONTO INVALIDO")</f>
        <v/>
      </c>
    </row>
    <row r="143" spans="1:6" x14ac:dyDescent="0.45">
      <c r="A143" s="4"/>
      <c r="B143" s="8"/>
      <c r="C143" s="8"/>
      <c r="D143" s="7"/>
      <c r="E143" s="8"/>
      <c r="F143" s="12" t="str">
        <f>IFERROR(IF(COUNTA(A143:E143)=0,"",IF(OR(A143="",B143="",C143="",D143=""),"FALTA CAMPO",IF(AND(B143&lt;&gt;"ENTRADA",B143&lt;&gt;"SALIDA"),"DIRECCION INVALIDA",IF(OR(D143&lt;=0,ABS(D143)&gt;1000000000,ROUND(D143,2)&lt;&gt;D143),"MONTO INVALIDO",IF(OR(A143&lt;DATE(1900,1,1),A143&gt;DATE(2100,12,31),A143&lt;=CONFIG!$B$5,A143&gt;CONFIG!$B$5+91),"FUERA DE HORIZONTE","OK"))))),"MONTO INVALIDO")</f>
        <v/>
      </c>
    </row>
    <row r="144" spans="1:6" x14ac:dyDescent="0.45">
      <c r="A144" s="4"/>
      <c r="B144" s="8"/>
      <c r="C144" s="8"/>
      <c r="D144" s="7"/>
      <c r="E144" s="8"/>
      <c r="F144" s="12" t="str">
        <f>IFERROR(IF(COUNTA(A144:E144)=0,"",IF(OR(A144="",B144="",C144="",D144=""),"FALTA CAMPO",IF(AND(B144&lt;&gt;"ENTRADA",B144&lt;&gt;"SALIDA"),"DIRECCION INVALIDA",IF(OR(D144&lt;=0,ABS(D144)&gt;1000000000,ROUND(D144,2)&lt;&gt;D144),"MONTO INVALIDO",IF(OR(A144&lt;DATE(1900,1,1),A144&gt;DATE(2100,12,31),A144&lt;=CONFIG!$B$5,A144&gt;CONFIG!$B$5+91),"FUERA DE HORIZONTE","OK"))))),"MONTO INVALIDO")</f>
        <v/>
      </c>
    </row>
    <row r="145" spans="1:6" x14ac:dyDescent="0.45">
      <c r="A145" s="4"/>
      <c r="B145" s="8"/>
      <c r="C145" s="8"/>
      <c r="D145" s="7"/>
      <c r="E145" s="8"/>
      <c r="F145" s="12" t="str">
        <f>IFERROR(IF(COUNTA(A145:E145)=0,"",IF(OR(A145="",B145="",C145="",D145=""),"FALTA CAMPO",IF(AND(B145&lt;&gt;"ENTRADA",B145&lt;&gt;"SALIDA"),"DIRECCION INVALIDA",IF(OR(D145&lt;=0,ABS(D145)&gt;1000000000,ROUND(D145,2)&lt;&gt;D145),"MONTO INVALIDO",IF(OR(A145&lt;DATE(1900,1,1),A145&gt;DATE(2100,12,31),A145&lt;=CONFIG!$B$5,A145&gt;CONFIG!$B$5+91),"FUERA DE HORIZONTE","OK"))))),"MONTO INVALIDO")</f>
        <v/>
      </c>
    </row>
    <row r="146" spans="1:6" x14ac:dyDescent="0.45">
      <c r="A146" s="4"/>
      <c r="B146" s="8"/>
      <c r="C146" s="8"/>
      <c r="D146" s="7"/>
      <c r="E146" s="8"/>
      <c r="F146" s="12" t="str">
        <f>IFERROR(IF(COUNTA(A146:E146)=0,"",IF(OR(A146="",B146="",C146="",D146=""),"FALTA CAMPO",IF(AND(B146&lt;&gt;"ENTRADA",B146&lt;&gt;"SALIDA"),"DIRECCION INVALIDA",IF(OR(D146&lt;=0,ABS(D146)&gt;1000000000,ROUND(D146,2)&lt;&gt;D146),"MONTO INVALIDO",IF(OR(A146&lt;DATE(1900,1,1),A146&gt;DATE(2100,12,31),A146&lt;=CONFIG!$B$5,A146&gt;CONFIG!$B$5+91),"FUERA DE HORIZONTE","OK"))))),"MONTO INVALIDO")</f>
        <v/>
      </c>
    </row>
    <row r="147" spans="1:6" x14ac:dyDescent="0.45">
      <c r="A147" s="4"/>
      <c r="B147" s="8"/>
      <c r="C147" s="8"/>
      <c r="D147" s="7"/>
      <c r="E147" s="8"/>
      <c r="F147" s="12" t="str">
        <f>IFERROR(IF(COUNTA(A147:E147)=0,"",IF(OR(A147="",B147="",C147="",D147=""),"FALTA CAMPO",IF(AND(B147&lt;&gt;"ENTRADA",B147&lt;&gt;"SALIDA"),"DIRECCION INVALIDA",IF(OR(D147&lt;=0,ABS(D147)&gt;1000000000,ROUND(D147,2)&lt;&gt;D147),"MONTO INVALIDO",IF(OR(A147&lt;DATE(1900,1,1),A147&gt;DATE(2100,12,31),A147&lt;=CONFIG!$B$5,A147&gt;CONFIG!$B$5+91),"FUERA DE HORIZONTE","OK"))))),"MONTO INVALIDO")</f>
        <v/>
      </c>
    </row>
    <row r="148" spans="1:6" x14ac:dyDescent="0.45">
      <c r="A148" s="4"/>
      <c r="B148" s="8"/>
      <c r="C148" s="8"/>
      <c r="D148" s="7"/>
      <c r="E148" s="8"/>
      <c r="F148" s="12" t="str">
        <f>IFERROR(IF(COUNTA(A148:E148)=0,"",IF(OR(A148="",B148="",C148="",D148=""),"FALTA CAMPO",IF(AND(B148&lt;&gt;"ENTRADA",B148&lt;&gt;"SALIDA"),"DIRECCION INVALIDA",IF(OR(D148&lt;=0,ABS(D148)&gt;1000000000,ROUND(D148,2)&lt;&gt;D148),"MONTO INVALIDO",IF(OR(A148&lt;DATE(1900,1,1),A148&gt;DATE(2100,12,31),A148&lt;=CONFIG!$B$5,A148&gt;CONFIG!$B$5+91),"FUERA DE HORIZONTE","OK"))))),"MONTO INVALIDO")</f>
        <v/>
      </c>
    </row>
    <row r="149" spans="1:6" x14ac:dyDescent="0.45">
      <c r="A149" s="4"/>
      <c r="B149" s="8"/>
      <c r="C149" s="8"/>
      <c r="D149" s="7"/>
      <c r="E149" s="8"/>
      <c r="F149" s="12" t="str">
        <f>IFERROR(IF(COUNTA(A149:E149)=0,"",IF(OR(A149="",B149="",C149="",D149=""),"FALTA CAMPO",IF(AND(B149&lt;&gt;"ENTRADA",B149&lt;&gt;"SALIDA"),"DIRECCION INVALIDA",IF(OR(D149&lt;=0,ABS(D149)&gt;1000000000,ROUND(D149,2)&lt;&gt;D149),"MONTO INVALIDO",IF(OR(A149&lt;DATE(1900,1,1),A149&gt;DATE(2100,12,31),A149&lt;=CONFIG!$B$5,A149&gt;CONFIG!$B$5+91),"FUERA DE HORIZONTE","OK"))))),"MONTO INVALIDO")</f>
        <v/>
      </c>
    </row>
    <row r="150" spans="1:6" x14ac:dyDescent="0.45">
      <c r="A150" s="4"/>
      <c r="B150" s="8"/>
      <c r="C150" s="8"/>
      <c r="D150" s="7"/>
      <c r="E150" s="8"/>
      <c r="F150" s="12" t="str">
        <f>IFERROR(IF(COUNTA(A150:E150)=0,"",IF(OR(A150="",B150="",C150="",D150=""),"FALTA CAMPO",IF(AND(B150&lt;&gt;"ENTRADA",B150&lt;&gt;"SALIDA"),"DIRECCION INVALIDA",IF(OR(D150&lt;=0,ABS(D150)&gt;1000000000,ROUND(D150,2)&lt;&gt;D150),"MONTO INVALIDO",IF(OR(A150&lt;DATE(1900,1,1),A150&gt;DATE(2100,12,31),A150&lt;=CONFIG!$B$5,A150&gt;CONFIG!$B$5+91),"FUERA DE HORIZONTE","OK"))))),"MONTO INVALIDO")</f>
        <v/>
      </c>
    </row>
    <row r="151" spans="1:6" x14ac:dyDescent="0.45">
      <c r="A151" s="4"/>
      <c r="B151" s="8"/>
      <c r="C151" s="8"/>
      <c r="D151" s="7"/>
      <c r="E151" s="8"/>
      <c r="F151" s="12" t="str">
        <f>IFERROR(IF(COUNTA(A151:E151)=0,"",IF(OR(A151="",B151="",C151="",D151=""),"FALTA CAMPO",IF(AND(B151&lt;&gt;"ENTRADA",B151&lt;&gt;"SALIDA"),"DIRECCION INVALIDA",IF(OR(D151&lt;=0,ABS(D151)&gt;1000000000,ROUND(D151,2)&lt;&gt;D151),"MONTO INVALIDO",IF(OR(A151&lt;DATE(1900,1,1),A151&gt;DATE(2100,12,31),A151&lt;=CONFIG!$B$5,A151&gt;CONFIG!$B$5+91),"FUERA DE HORIZONTE","OK"))))),"MONTO INVALIDO")</f>
        <v/>
      </c>
    </row>
    <row r="152" spans="1:6" x14ac:dyDescent="0.45">
      <c r="A152" s="4"/>
      <c r="B152" s="8"/>
      <c r="C152" s="8"/>
      <c r="D152" s="7"/>
      <c r="E152" s="8"/>
      <c r="F152" s="12" t="str">
        <f>IFERROR(IF(COUNTA(A152:E152)=0,"",IF(OR(A152="",B152="",C152="",D152=""),"FALTA CAMPO",IF(AND(B152&lt;&gt;"ENTRADA",B152&lt;&gt;"SALIDA"),"DIRECCION INVALIDA",IF(OR(D152&lt;=0,ABS(D152)&gt;1000000000,ROUND(D152,2)&lt;&gt;D152),"MONTO INVALIDO",IF(OR(A152&lt;DATE(1900,1,1),A152&gt;DATE(2100,12,31),A152&lt;=CONFIG!$B$5,A152&gt;CONFIG!$B$5+91),"FUERA DE HORIZONTE","OK"))))),"MONTO INVALIDO")</f>
        <v/>
      </c>
    </row>
    <row r="153" spans="1:6" x14ac:dyDescent="0.45">
      <c r="A153" s="4"/>
      <c r="B153" s="8"/>
      <c r="C153" s="8"/>
      <c r="D153" s="7"/>
      <c r="E153" s="8"/>
      <c r="F153" s="12" t="str">
        <f>IFERROR(IF(COUNTA(A153:E153)=0,"",IF(OR(A153="",B153="",C153="",D153=""),"FALTA CAMPO",IF(AND(B153&lt;&gt;"ENTRADA",B153&lt;&gt;"SALIDA"),"DIRECCION INVALIDA",IF(OR(D153&lt;=0,ABS(D153)&gt;1000000000,ROUND(D153,2)&lt;&gt;D153),"MONTO INVALIDO",IF(OR(A153&lt;DATE(1900,1,1),A153&gt;DATE(2100,12,31),A153&lt;=CONFIG!$B$5,A153&gt;CONFIG!$B$5+91),"FUERA DE HORIZONTE","OK"))))),"MONTO INVALIDO")</f>
        <v/>
      </c>
    </row>
    <row r="154" spans="1:6" x14ac:dyDescent="0.45">
      <c r="A154" s="4"/>
      <c r="B154" s="8"/>
      <c r="C154" s="8"/>
      <c r="D154" s="7"/>
      <c r="E154" s="8"/>
      <c r="F154" s="12" t="str">
        <f>IFERROR(IF(COUNTA(A154:E154)=0,"",IF(OR(A154="",B154="",C154="",D154=""),"FALTA CAMPO",IF(AND(B154&lt;&gt;"ENTRADA",B154&lt;&gt;"SALIDA"),"DIRECCION INVALIDA",IF(OR(D154&lt;=0,ABS(D154)&gt;1000000000,ROUND(D154,2)&lt;&gt;D154),"MONTO INVALIDO",IF(OR(A154&lt;DATE(1900,1,1),A154&gt;DATE(2100,12,31),A154&lt;=CONFIG!$B$5,A154&gt;CONFIG!$B$5+91),"FUERA DE HORIZONTE","OK"))))),"MONTO INVALIDO")</f>
        <v/>
      </c>
    </row>
    <row r="155" spans="1:6" x14ac:dyDescent="0.45">
      <c r="A155" s="4"/>
      <c r="B155" s="8"/>
      <c r="C155" s="8"/>
      <c r="D155" s="7"/>
      <c r="E155" s="8"/>
      <c r="F155" s="12" t="str">
        <f>IFERROR(IF(COUNTA(A155:E155)=0,"",IF(OR(A155="",B155="",C155="",D155=""),"FALTA CAMPO",IF(AND(B155&lt;&gt;"ENTRADA",B155&lt;&gt;"SALIDA"),"DIRECCION INVALIDA",IF(OR(D155&lt;=0,ABS(D155)&gt;1000000000,ROUND(D155,2)&lt;&gt;D155),"MONTO INVALIDO",IF(OR(A155&lt;DATE(1900,1,1),A155&gt;DATE(2100,12,31),A155&lt;=CONFIG!$B$5,A155&gt;CONFIG!$B$5+91),"FUERA DE HORIZONTE","OK"))))),"MONTO INVALIDO")</f>
        <v/>
      </c>
    </row>
    <row r="156" spans="1:6" x14ac:dyDescent="0.45">
      <c r="A156" s="4"/>
      <c r="B156" s="8"/>
      <c r="C156" s="8"/>
      <c r="D156" s="7"/>
      <c r="E156" s="8"/>
      <c r="F156" s="12" t="str">
        <f>IFERROR(IF(COUNTA(A156:E156)=0,"",IF(OR(A156="",B156="",C156="",D156=""),"FALTA CAMPO",IF(AND(B156&lt;&gt;"ENTRADA",B156&lt;&gt;"SALIDA"),"DIRECCION INVALIDA",IF(OR(D156&lt;=0,ABS(D156)&gt;1000000000,ROUND(D156,2)&lt;&gt;D156),"MONTO INVALIDO",IF(OR(A156&lt;DATE(1900,1,1),A156&gt;DATE(2100,12,31),A156&lt;=CONFIG!$B$5,A156&gt;CONFIG!$B$5+91),"FUERA DE HORIZONTE","OK"))))),"MONTO INVALIDO")</f>
        <v/>
      </c>
    </row>
    <row r="157" spans="1:6" x14ac:dyDescent="0.45">
      <c r="A157" s="4"/>
      <c r="B157" s="8"/>
      <c r="C157" s="8"/>
      <c r="D157" s="7"/>
      <c r="E157" s="8"/>
      <c r="F157" s="12" t="str">
        <f>IFERROR(IF(COUNTA(A157:E157)=0,"",IF(OR(A157="",B157="",C157="",D157=""),"FALTA CAMPO",IF(AND(B157&lt;&gt;"ENTRADA",B157&lt;&gt;"SALIDA"),"DIRECCION INVALIDA",IF(OR(D157&lt;=0,ABS(D157)&gt;1000000000,ROUND(D157,2)&lt;&gt;D157),"MONTO INVALIDO",IF(OR(A157&lt;DATE(1900,1,1),A157&gt;DATE(2100,12,31),A157&lt;=CONFIG!$B$5,A157&gt;CONFIG!$B$5+91),"FUERA DE HORIZONTE","OK"))))),"MONTO INVALIDO")</f>
        <v/>
      </c>
    </row>
    <row r="158" spans="1:6" x14ac:dyDescent="0.45">
      <c r="A158" s="4"/>
      <c r="B158" s="8"/>
      <c r="C158" s="8"/>
      <c r="D158" s="7"/>
      <c r="E158" s="8"/>
      <c r="F158" s="12" t="str">
        <f>IFERROR(IF(COUNTA(A158:E158)=0,"",IF(OR(A158="",B158="",C158="",D158=""),"FALTA CAMPO",IF(AND(B158&lt;&gt;"ENTRADA",B158&lt;&gt;"SALIDA"),"DIRECCION INVALIDA",IF(OR(D158&lt;=0,ABS(D158)&gt;1000000000,ROUND(D158,2)&lt;&gt;D158),"MONTO INVALIDO",IF(OR(A158&lt;DATE(1900,1,1),A158&gt;DATE(2100,12,31),A158&lt;=CONFIG!$B$5,A158&gt;CONFIG!$B$5+91),"FUERA DE HORIZONTE","OK"))))),"MONTO INVALIDO")</f>
        <v/>
      </c>
    </row>
    <row r="159" spans="1:6" x14ac:dyDescent="0.45">
      <c r="A159" s="4"/>
      <c r="B159" s="8"/>
      <c r="C159" s="8"/>
      <c r="D159" s="7"/>
      <c r="E159" s="8"/>
      <c r="F159" s="12" t="str">
        <f>IFERROR(IF(COUNTA(A159:E159)=0,"",IF(OR(A159="",B159="",C159="",D159=""),"FALTA CAMPO",IF(AND(B159&lt;&gt;"ENTRADA",B159&lt;&gt;"SALIDA"),"DIRECCION INVALIDA",IF(OR(D159&lt;=0,ABS(D159)&gt;1000000000,ROUND(D159,2)&lt;&gt;D159),"MONTO INVALIDO",IF(OR(A159&lt;DATE(1900,1,1),A159&gt;DATE(2100,12,31),A159&lt;=CONFIG!$B$5,A159&gt;CONFIG!$B$5+91),"FUERA DE HORIZONTE","OK"))))),"MONTO INVALIDO")</f>
        <v/>
      </c>
    </row>
    <row r="160" spans="1:6" x14ac:dyDescent="0.45">
      <c r="A160" s="4"/>
      <c r="B160" s="8"/>
      <c r="C160" s="8"/>
      <c r="D160" s="7"/>
      <c r="E160" s="8"/>
      <c r="F160" s="12" t="str">
        <f>IFERROR(IF(COUNTA(A160:E160)=0,"",IF(OR(A160="",B160="",C160="",D160=""),"FALTA CAMPO",IF(AND(B160&lt;&gt;"ENTRADA",B160&lt;&gt;"SALIDA"),"DIRECCION INVALIDA",IF(OR(D160&lt;=0,ABS(D160)&gt;1000000000,ROUND(D160,2)&lt;&gt;D160),"MONTO INVALIDO",IF(OR(A160&lt;DATE(1900,1,1),A160&gt;DATE(2100,12,31),A160&lt;=CONFIG!$B$5,A160&gt;CONFIG!$B$5+91),"FUERA DE HORIZONTE","OK"))))),"MONTO INVALIDO")</f>
        <v/>
      </c>
    </row>
    <row r="161" spans="1:6" x14ac:dyDescent="0.45">
      <c r="A161" s="4"/>
      <c r="B161" s="8"/>
      <c r="C161" s="8"/>
      <c r="D161" s="7"/>
      <c r="E161" s="8"/>
      <c r="F161" s="12" t="str">
        <f>IFERROR(IF(COUNTA(A161:E161)=0,"",IF(OR(A161="",B161="",C161="",D161=""),"FALTA CAMPO",IF(AND(B161&lt;&gt;"ENTRADA",B161&lt;&gt;"SALIDA"),"DIRECCION INVALIDA",IF(OR(D161&lt;=0,ABS(D161)&gt;1000000000,ROUND(D161,2)&lt;&gt;D161),"MONTO INVALIDO",IF(OR(A161&lt;DATE(1900,1,1),A161&gt;DATE(2100,12,31),A161&lt;=CONFIG!$B$5,A161&gt;CONFIG!$B$5+91),"FUERA DE HORIZONTE","OK"))))),"MONTO INVALIDO")</f>
        <v/>
      </c>
    </row>
    <row r="162" spans="1:6" x14ac:dyDescent="0.45">
      <c r="A162" s="4"/>
      <c r="B162" s="8"/>
      <c r="C162" s="8"/>
      <c r="D162" s="7"/>
      <c r="E162" s="8"/>
      <c r="F162" s="12" t="str">
        <f>IFERROR(IF(COUNTA(A162:E162)=0,"",IF(OR(A162="",B162="",C162="",D162=""),"FALTA CAMPO",IF(AND(B162&lt;&gt;"ENTRADA",B162&lt;&gt;"SALIDA"),"DIRECCION INVALIDA",IF(OR(D162&lt;=0,ABS(D162)&gt;1000000000,ROUND(D162,2)&lt;&gt;D162),"MONTO INVALIDO",IF(OR(A162&lt;DATE(1900,1,1),A162&gt;DATE(2100,12,31),A162&lt;=CONFIG!$B$5,A162&gt;CONFIG!$B$5+91),"FUERA DE HORIZONTE","OK"))))),"MONTO INVALIDO")</f>
        <v/>
      </c>
    </row>
    <row r="163" spans="1:6" x14ac:dyDescent="0.45">
      <c r="A163" s="4"/>
      <c r="B163" s="8"/>
      <c r="C163" s="8"/>
      <c r="D163" s="7"/>
      <c r="E163" s="8"/>
      <c r="F163" s="12" t="str">
        <f>IFERROR(IF(COUNTA(A163:E163)=0,"",IF(OR(A163="",B163="",C163="",D163=""),"FALTA CAMPO",IF(AND(B163&lt;&gt;"ENTRADA",B163&lt;&gt;"SALIDA"),"DIRECCION INVALIDA",IF(OR(D163&lt;=0,ABS(D163)&gt;1000000000,ROUND(D163,2)&lt;&gt;D163),"MONTO INVALIDO",IF(OR(A163&lt;DATE(1900,1,1),A163&gt;DATE(2100,12,31),A163&lt;=CONFIG!$B$5,A163&gt;CONFIG!$B$5+91),"FUERA DE HORIZONTE","OK"))))),"MONTO INVALIDO")</f>
        <v/>
      </c>
    </row>
    <row r="164" spans="1:6" x14ac:dyDescent="0.45">
      <c r="A164" s="4"/>
      <c r="B164" s="8"/>
      <c r="C164" s="8"/>
      <c r="D164" s="7"/>
      <c r="E164" s="8"/>
      <c r="F164" s="12" t="str">
        <f>IFERROR(IF(COUNTA(A164:E164)=0,"",IF(OR(A164="",B164="",C164="",D164=""),"FALTA CAMPO",IF(AND(B164&lt;&gt;"ENTRADA",B164&lt;&gt;"SALIDA"),"DIRECCION INVALIDA",IF(OR(D164&lt;=0,ABS(D164)&gt;1000000000,ROUND(D164,2)&lt;&gt;D164),"MONTO INVALIDO",IF(OR(A164&lt;DATE(1900,1,1),A164&gt;DATE(2100,12,31),A164&lt;=CONFIG!$B$5,A164&gt;CONFIG!$B$5+91),"FUERA DE HORIZONTE","OK"))))),"MONTO INVALIDO")</f>
        <v/>
      </c>
    </row>
    <row r="165" spans="1:6" x14ac:dyDescent="0.45">
      <c r="A165" s="4"/>
      <c r="B165" s="8"/>
      <c r="C165" s="8"/>
      <c r="D165" s="7"/>
      <c r="E165" s="8"/>
      <c r="F165" s="12" t="str">
        <f>IFERROR(IF(COUNTA(A165:E165)=0,"",IF(OR(A165="",B165="",C165="",D165=""),"FALTA CAMPO",IF(AND(B165&lt;&gt;"ENTRADA",B165&lt;&gt;"SALIDA"),"DIRECCION INVALIDA",IF(OR(D165&lt;=0,ABS(D165)&gt;1000000000,ROUND(D165,2)&lt;&gt;D165),"MONTO INVALIDO",IF(OR(A165&lt;DATE(1900,1,1),A165&gt;DATE(2100,12,31),A165&lt;=CONFIG!$B$5,A165&gt;CONFIG!$B$5+91),"FUERA DE HORIZONTE","OK"))))),"MONTO INVALIDO")</f>
        <v/>
      </c>
    </row>
    <row r="166" spans="1:6" x14ac:dyDescent="0.45">
      <c r="A166" s="4"/>
      <c r="B166" s="8"/>
      <c r="C166" s="8"/>
      <c r="D166" s="7"/>
      <c r="E166" s="8"/>
      <c r="F166" s="12" t="str">
        <f>IFERROR(IF(COUNTA(A166:E166)=0,"",IF(OR(A166="",B166="",C166="",D166=""),"FALTA CAMPO",IF(AND(B166&lt;&gt;"ENTRADA",B166&lt;&gt;"SALIDA"),"DIRECCION INVALIDA",IF(OR(D166&lt;=0,ABS(D166)&gt;1000000000,ROUND(D166,2)&lt;&gt;D166),"MONTO INVALIDO",IF(OR(A166&lt;DATE(1900,1,1),A166&gt;DATE(2100,12,31),A166&lt;=CONFIG!$B$5,A166&gt;CONFIG!$B$5+91),"FUERA DE HORIZONTE","OK"))))),"MONTO INVALIDO")</f>
        <v/>
      </c>
    </row>
    <row r="167" spans="1:6" x14ac:dyDescent="0.45">
      <c r="A167" s="4"/>
      <c r="B167" s="8"/>
      <c r="C167" s="8"/>
      <c r="D167" s="7"/>
      <c r="E167" s="8"/>
      <c r="F167" s="12" t="str">
        <f>IFERROR(IF(COUNTA(A167:E167)=0,"",IF(OR(A167="",B167="",C167="",D167=""),"FALTA CAMPO",IF(AND(B167&lt;&gt;"ENTRADA",B167&lt;&gt;"SALIDA"),"DIRECCION INVALIDA",IF(OR(D167&lt;=0,ABS(D167)&gt;1000000000,ROUND(D167,2)&lt;&gt;D167),"MONTO INVALIDO",IF(OR(A167&lt;DATE(1900,1,1),A167&gt;DATE(2100,12,31),A167&lt;=CONFIG!$B$5,A167&gt;CONFIG!$B$5+91),"FUERA DE HORIZONTE","OK"))))),"MONTO INVALIDO")</f>
        <v/>
      </c>
    </row>
    <row r="168" spans="1:6" x14ac:dyDescent="0.45">
      <c r="A168" s="4"/>
      <c r="B168" s="8"/>
      <c r="C168" s="8"/>
      <c r="D168" s="7"/>
      <c r="E168" s="8"/>
      <c r="F168" s="12" t="str">
        <f>IFERROR(IF(COUNTA(A168:E168)=0,"",IF(OR(A168="",B168="",C168="",D168=""),"FALTA CAMPO",IF(AND(B168&lt;&gt;"ENTRADA",B168&lt;&gt;"SALIDA"),"DIRECCION INVALIDA",IF(OR(D168&lt;=0,ABS(D168)&gt;1000000000,ROUND(D168,2)&lt;&gt;D168),"MONTO INVALIDO",IF(OR(A168&lt;DATE(1900,1,1),A168&gt;DATE(2100,12,31),A168&lt;=CONFIG!$B$5,A168&gt;CONFIG!$B$5+91),"FUERA DE HORIZONTE","OK"))))),"MONTO INVALIDO")</f>
        <v/>
      </c>
    </row>
    <row r="169" spans="1:6" x14ac:dyDescent="0.45">
      <c r="A169" s="4"/>
      <c r="B169" s="8"/>
      <c r="C169" s="8"/>
      <c r="D169" s="7"/>
      <c r="E169" s="8"/>
      <c r="F169" s="12" t="str">
        <f>IFERROR(IF(COUNTA(A169:E169)=0,"",IF(OR(A169="",B169="",C169="",D169=""),"FALTA CAMPO",IF(AND(B169&lt;&gt;"ENTRADA",B169&lt;&gt;"SALIDA"),"DIRECCION INVALIDA",IF(OR(D169&lt;=0,ABS(D169)&gt;1000000000,ROUND(D169,2)&lt;&gt;D169),"MONTO INVALIDO",IF(OR(A169&lt;DATE(1900,1,1),A169&gt;DATE(2100,12,31),A169&lt;=CONFIG!$B$5,A169&gt;CONFIG!$B$5+91),"FUERA DE HORIZONTE","OK"))))),"MONTO INVALIDO")</f>
        <v/>
      </c>
    </row>
    <row r="170" spans="1:6" x14ac:dyDescent="0.45">
      <c r="A170" s="4"/>
      <c r="B170" s="8"/>
      <c r="C170" s="8"/>
      <c r="D170" s="7"/>
      <c r="E170" s="8"/>
      <c r="F170" s="12" t="str">
        <f>IFERROR(IF(COUNTA(A170:E170)=0,"",IF(OR(A170="",B170="",C170="",D170=""),"FALTA CAMPO",IF(AND(B170&lt;&gt;"ENTRADA",B170&lt;&gt;"SALIDA"),"DIRECCION INVALIDA",IF(OR(D170&lt;=0,ABS(D170)&gt;1000000000,ROUND(D170,2)&lt;&gt;D170),"MONTO INVALIDO",IF(OR(A170&lt;DATE(1900,1,1),A170&gt;DATE(2100,12,31),A170&lt;=CONFIG!$B$5,A170&gt;CONFIG!$B$5+91),"FUERA DE HORIZONTE","OK"))))),"MONTO INVALIDO")</f>
        <v/>
      </c>
    </row>
    <row r="171" spans="1:6" x14ac:dyDescent="0.45">
      <c r="A171" s="4"/>
      <c r="B171" s="8"/>
      <c r="C171" s="8"/>
      <c r="D171" s="7"/>
      <c r="E171" s="8"/>
      <c r="F171" s="12" t="str">
        <f>IFERROR(IF(COUNTA(A171:E171)=0,"",IF(OR(A171="",B171="",C171="",D171=""),"FALTA CAMPO",IF(AND(B171&lt;&gt;"ENTRADA",B171&lt;&gt;"SALIDA"),"DIRECCION INVALIDA",IF(OR(D171&lt;=0,ABS(D171)&gt;1000000000,ROUND(D171,2)&lt;&gt;D171),"MONTO INVALIDO",IF(OR(A171&lt;DATE(1900,1,1),A171&gt;DATE(2100,12,31),A171&lt;=CONFIG!$B$5,A171&gt;CONFIG!$B$5+91),"FUERA DE HORIZONTE","OK"))))),"MONTO INVALIDO")</f>
        <v/>
      </c>
    </row>
    <row r="172" spans="1:6" x14ac:dyDescent="0.45">
      <c r="A172" s="4"/>
      <c r="B172" s="8"/>
      <c r="C172" s="8"/>
      <c r="D172" s="7"/>
      <c r="E172" s="8"/>
      <c r="F172" s="12" t="str">
        <f>IFERROR(IF(COUNTA(A172:E172)=0,"",IF(OR(A172="",B172="",C172="",D172=""),"FALTA CAMPO",IF(AND(B172&lt;&gt;"ENTRADA",B172&lt;&gt;"SALIDA"),"DIRECCION INVALIDA",IF(OR(D172&lt;=0,ABS(D172)&gt;1000000000,ROUND(D172,2)&lt;&gt;D172),"MONTO INVALIDO",IF(OR(A172&lt;DATE(1900,1,1),A172&gt;DATE(2100,12,31),A172&lt;=CONFIG!$B$5,A172&gt;CONFIG!$B$5+91),"FUERA DE HORIZONTE","OK"))))),"MONTO INVALIDO")</f>
        <v/>
      </c>
    </row>
    <row r="173" spans="1:6" x14ac:dyDescent="0.45">
      <c r="A173" s="4"/>
      <c r="B173" s="8"/>
      <c r="C173" s="8"/>
      <c r="D173" s="7"/>
      <c r="E173" s="8"/>
      <c r="F173" s="12" t="str">
        <f>IFERROR(IF(COUNTA(A173:E173)=0,"",IF(OR(A173="",B173="",C173="",D173=""),"FALTA CAMPO",IF(AND(B173&lt;&gt;"ENTRADA",B173&lt;&gt;"SALIDA"),"DIRECCION INVALIDA",IF(OR(D173&lt;=0,ABS(D173)&gt;1000000000,ROUND(D173,2)&lt;&gt;D173),"MONTO INVALIDO",IF(OR(A173&lt;DATE(1900,1,1),A173&gt;DATE(2100,12,31),A173&lt;=CONFIG!$B$5,A173&gt;CONFIG!$B$5+91),"FUERA DE HORIZONTE","OK"))))),"MONTO INVALIDO")</f>
        <v/>
      </c>
    </row>
    <row r="174" spans="1:6" x14ac:dyDescent="0.45">
      <c r="A174" s="4"/>
      <c r="B174" s="8"/>
      <c r="C174" s="8"/>
      <c r="D174" s="7"/>
      <c r="E174" s="8"/>
      <c r="F174" s="12" t="str">
        <f>IFERROR(IF(COUNTA(A174:E174)=0,"",IF(OR(A174="",B174="",C174="",D174=""),"FALTA CAMPO",IF(AND(B174&lt;&gt;"ENTRADA",B174&lt;&gt;"SALIDA"),"DIRECCION INVALIDA",IF(OR(D174&lt;=0,ABS(D174)&gt;1000000000,ROUND(D174,2)&lt;&gt;D174),"MONTO INVALIDO",IF(OR(A174&lt;DATE(1900,1,1),A174&gt;DATE(2100,12,31),A174&lt;=CONFIG!$B$5,A174&gt;CONFIG!$B$5+91),"FUERA DE HORIZONTE","OK"))))),"MONTO INVALIDO")</f>
        <v/>
      </c>
    </row>
    <row r="175" spans="1:6" x14ac:dyDescent="0.45">
      <c r="A175" s="4"/>
      <c r="B175" s="8"/>
      <c r="C175" s="8"/>
      <c r="D175" s="7"/>
      <c r="E175" s="8"/>
      <c r="F175" s="12" t="str">
        <f>IFERROR(IF(COUNTA(A175:E175)=0,"",IF(OR(A175="",B175="",C175="",D175=""),"FALTA CAMPO",IF(AND(B175&lt;&gt;"ENTRADA",B175&lt;&gt;"SALIDA"),"DIRECCION INVALIDA",IF(OR(D175&lt;=0,ABS(D175)&gt;1000000000,ROUND(D175,2)&lt;&gt;D175),"MONTO INVALIDO",IF(OR(A175&lt;DATE(1900,1,1),A175&gt;DATE(2100,12,31),A175&lt;=CONFIG!$B$5,A175&gt;CONFIG!$B$5+91),"FUERA DE HORIZONTE","OK"))))),"MONTO INVALIDO")</f>
        <v/>
      </c>
    </row>
    <row r="176" spans="1:6" x14ac:dyDescent="0.45">
      <c r="A176" s="4"/>
      <c r="B176" s="8"/>
      <c r="C176" s="8"/>
      <c r="D176" s="7"/>
      <c r="E176" s="8"/>
      <c r="F176" s="12" t="str">
        <f>IFERROR(IF(COUNTA(A176:E176)=0,"",IF(OR(A176="",B176="",C176="",D176=""),"FALTA CAMPO",IF(AND(B176&lt;&gt;"ENTRADA",B176&lt;&gt;"SALIDA"),"DIRECCION INVALIDA",IF(OR(D176&lt;=0,ABS(D176)&gt;1000000000,ROUND(D176,2)&lt;&gt;D176),"MONTO INVALIDO",IF(OR(A176&lt;DATE(1900,1,1),A176&gt;DATE(2100,12,31),A176&lt;=CONFIG!$B$5,A176&gt;CONFIG!$B$5+91),"FUERA DE HORIZONTE","OK"))))),"MONTO INVALIDO")</f>
        <v/>
      </c>
    </row>
    <row r="177" spans="1:6" x14ac:dyDescent="0.45">
      <c r="A177" s="4"/>
      <c r="B177" s="8"/>
      <c r="C177" s="8"/>
      <c r="D177" s="7"/>
      <c r="E177" s="8"/>
      <c r="F177" s="12" t="str">
        <f>IFERROR(IF(COUNTA(A177:E177)=0,"",IF(OR(A177="",B177="",C177="",D177=""),"FALTA CAMPO",IF(AND(B177&lt;&gt;"ENTRADA",B177&lt;&gt;"SALIDA"),"DIRECCION INVALIDA",IF(OR(D177&lt;=0,ABS(D177)&gt;1000000000,ROUND(D177,2)&lt;&gt;D177),"MONTO INVALIDO",IF(OR(A177&lt;DATE(1900,1,1),A177&gt;DATE(2100,12,31),A177&lt;=CONFIG!$B$5,A177&gt;CONFIG!$B$5+91),"FUERA DE HORIZONTE","OK"))))),"MONTO INVALIDO")</f>
        <v/>
      </c>
    </row>
    <row r="178" spans="1:6" x14ac:dyDescent="0.45">
      <c r="A178" s="4"/>
      <c r="B178" s="8"/>
      <c r="C178" s="8"/>
      <c r="D178" s="7"/>
      <c r="E178" s="8"/>
      <c r="F178" s="12" t="str">
        <f>IFERROR(IF(COUNTA(A178:E178)=0,"",IF(OR(A178="",B178="",C178="",D178=""),"FALTA CAMPO",IF(AND(B178&lt;&gt;"ENTRADA",B178&lt;&gt;"SALIDA"),"DIRECCION INVALIDA",IF(OR(D178&lt;=0,ABS(D178)&gt;1000000000,ROUND(D178,2)&lt;&gt;D178),"MONTO INVALIDO",IF(OR(A178&lt;DATE(1900,1,1),A178&gt;DATE(2100,12,31),A178&lt;=CONFIG!$B$5,A178&gt;CONFIG!$B$5+91),"FUERA DE HORIZONTE","OK"))))),"MONTO INVALIDO")</f>
        <v/>
      </c>
    </row>
    <row r="179" spans="1:6" x14ac:dyDescent="0.45">
      <c r="A179" s="4"/>
      <c r="B179" s="8"/>
      <c r="C179" s="8"/>
      <c r="D179" s="7"/>
      <c r="E179" s="8"/>
      <c r="F179" s="12" t="str">
        <f>IFERROR(IF(COUNTA(A179:E179)=0,"",IF(OR(A179="",B179="",C179="",D179=""),"FALTA CAMPO",IF(AND(B179&lt;&gt;"ENTRADA",B179&lt;&gt;"SALIDA"),"DIRECCION INVALIDA",IF(OR(D179&lt;=0,ABS(D179)&gt;1000000000,ROUND(D179,2)&lt;&gt;D179),"MONTO INVALIDO",IF(OR(A179&lt;DATE(1900,1,1),A179&gt;DATE(2100,12,31),A179&lt;=CONFIG!$B$5,A179&gt;CONFIG!$B$5+91),"FUERA DE HORIZONTE","OK"))))),"MONTO INVALIDO")</f>
        <v/>
      </c>
    </row>
    <row r="180" spans="1:6" x14ac:dyDescent="0.45">
      <c r="A180" s="4"/>
      <c r="B180" s="8"/>
      <c r="C180" s="8"/>
      <c r="D180" s="7"/>
      <c r="E180" s="8"/>
      <c r="F180" s="12" t="str">
        <f>IFERROR(IF(COUNTA(A180:E180)=0,"",IF(OR(A180="",B180="",C180="",D180=""),"FALTA CAMPO",IF(AND(B180&lt;&gt;"ENTRADA",B180&lt;&gt;"SALIDA"),"DIRECCION INVALIDA",IF(OR(D180&lt;=0,ABS(D180)&gt;1000000000,ROUND(D180,2)&lt;&gt;D180),"MONTO INVALIDO",IF(OR(A180&lt;DATE(1900,1,1),A180&gt;DATE(2100,12,31),A180&lt;=CONFIG!$B$5,A180&gt;CONFIG!$B$5+91),"FUERA DE HORIZONTE","OK"))))),"MONTO INVALIDO")</f>
        <v/>
      </c>
    </row>
    <row r="181" spans="1:6" x14ac:dyDescent="0.45">
      <c r="A181" s="4"/>
      <c r="B181" s="8"/>
      <c r="C181" s="8"/>
      <c r="D181" s="7"/>
      <c r="E181" s="8"/>
      <c r="F181" s="12" t="str">
        <f>IFERROR(IF(COUNTA(A181:E181)=0,"",IF(OR(A181="",B181="",C181="",D181=""),"FALTA CAMPO",IF(AND(B181&lt;&gt;"ENTRADA",B181&lt;&gt;"SALIDA"),"DIRECCION INVALIDA",IF(OR(D181&lt;=0,ABS(D181)&gt;1000000000,ROUND(D181,2)&lt;&gt;D181),"MONTO INVALIDO",IF(OR(A181&lt;DATE(1900,1,1),A181&gt;DATE(2100,12,31),A181&lt;=CONFIG!$B$5,A181&gt;CONFIG!$B$5+91),"FUERA DE HORIZONTE","OK"))))),"MONTO INVALIDO")</f>
        <v/>
      </c>
    </row>
    <row r="182" spans="1:6" x14ac:dyDescent="0.45">
      <c r="A182" s="4"/>
      <c r="B182" s="8"/>
      <c r="C182" s="8"/>
      <c r="D182" s="7"/>
      <c r="E182" s="8"/>
      <c r="F182" s="12" t="str">
        <f>IFERROR(IF(COUNTA(A182:E182)=0,"",IF(OR(A182="",B182="",C182="",D182=""),"FALTA CAMPO",IF(AND(B182&lt;&gt;"ENTRADA",B182&lt;&gt;"SALIDA"),"DIRECCION INVALIDA",IF(OR(D182&lt;=0,ABS(D182)&gt;1000000000,ROUND(D182,2)&lt;&gt;D182),"MONTO INVALIDO",IF(OR(A182&lt;DATE(1900,1,1),A182&gt;DATE(2100,12,31),A182&lt;=CONFIG!$B$5,A182&gt;CONFIG!$B$5+91),"FUERA DE HORIZONTE","OK"))))),"MONTO INVALIDO")</f>
        <v/>
      </c>
    </row>
    <row r="183" spans="1:6" x14ac:dyDescent="0.45">
      <c r="A183" s="4"/>
      <c r="B183" s="8"/>
      <c r="C183" s="8"/>
      <c r="D183" s="7"/>
      <c r="E183" s="8"/>
      <c r="F183" s="12" t="str">
        <f>IFERROR(IF(COUNTA(A183:E183)=0,"",IF(OR(A183="",B183="",C183="",D183=""),"FALTA CAMPO",IF(AND(B183&lt;&gt;"ENTRADA",B183&lt;&gt;"SALIDA"),"DIRECCION INVALIDA",IF(OR(D183&lt;=0,ABS(D183)&gt;1000000000,ROUND(D183,2)&lt;&gt;D183),"MONTO INVALIDO",IF(OR(A183&lt;DATE(1900,1,1),A183&gt;DATE(2100,12,31),A183&lt;=CONFIG!$B$5,A183&gt;CONFIG!$B$5+91),"FUERA DE HORIZONTE","OK"))))),"MONTO INVALIDO")</f>
        <v/>
      </c>
    </row>
    <row r="184" spans="1:6" x14ac:dyDescent="0.45">
      <c r="A184" s="4"/>
      <c r="B184" s="8"/>
      <c r="C184" s="8"/>
      <c r="D184" s="7"/>
      <c r="E184" s="8"/>
      <c r="F184" s="12" t="str">
        <f>IFERROR(IF(COUNTA(A184:E184)=0,"",IF(OR(A184="",B184="",C184="",D184=""),"FALTA CAMPO",IF(AND(B184&lt;&gt;"ENTRADA",B184&lt;&gt;"SALIDA"),"DIRECCION INVALIDA",IF(OR(D184&lt;=0,ABS(D184)&gt;1000000000,ROUND(D184,2)&lt;&gt;D184),"MONTO INVALIDO",IF(OR(A184&lt;DATE(1900,1,1),A184&gt;DATE(2100,12,31),A184&lt;=CONFIG!$B$5,A184&gt;CONFIG!$B$5+91),"FUERA DE HORIZONTE","OK"))))),"MONTO INVALIDO")</f>
        <v/>
      </c>
    </row>
    <row r="185" spans="1:6" x14ac:dyDescent="0.45">
      <c r="A185" s="4"/>
      <c r="B185" s="8"/>
      <c r="C185" s="8"/>
      <c r="D185" s="7"/>
      <c r="E185" s="8"/>
      <c r="F185" s="12" t="str">
        <f>IFERROR(IF(COUNTA(A185:E185)=0,"",IF(OR(A185="",B185="",C185="",D185=""),"FALTA CAMPO",IF(AND(B185&lt;&gt;"ENTRADA",B185&lt;&gt;"SALIDA"),"DIRECCION INVALIDA",IF(OR(D185&lt;=0,ABS(D185)&gt;1000000000,ROUND(D185,2)&lt;&gt;D185),"MONTO INVALIDO",IF(OR(A185&lt;DATE(1900,1,1),A185&gt;DATE(2100,12,31),A185&lt;=CONFIG!$B$5,A185&gt;CONFIG!$B$5+91),"FUERA DE HORIZONTE","OK"))))),"MONTO INVALIDO")</f>
        <v/>
      </c>
    </row>
    <row r="186" spans="1:6" x14ac:dyDescent="0.45">
      <c r="A186" s="4"/>
      <c r="B186" s="8"/>
      <c r="C186" s="8"/>
      <c r="D186" s="7"/>
      <c r="E186" s="8"/>
      <c r="F186" s="12" t="str">
        <f>IFERROR(IF(COUNTA(A186:E186)=0,"",IF(OR(A186="",B186="",C186="",D186=""),"FALTA CAMPO",IF(AND(B186&lt;&gt;"ENTRADA",B186&lt;&gt;"SALIDA"),"DIRECCION INVALIDA",IF(OR(D186&lt;=0,ABS(D186)&gt;1000000000,ROUND(D186,2)&lt;&gt;D186),"MONTO INVALIDO",IF(OR(A186&lt;DATE(1900,1,1),A186&gt;DATE(2100,12,31),A186&lt;=CONFIG!$B$5,A186&gt;CONFIG!$B$5+91),"FUERA DE HORIZONTE","OK"))))),"MONTO INVALIDO")</f>
        <v/>
      </c>
    </row>
    <row r="187" spans="1:6" x14ac:dyDescent="0.45">
      <c r="A187" s="4"/>
      <c r="B187" s="8"/>
      <c r="C187" s="8"/>
      <c r="D187" s="7"/>
      <c r="E187" s="8"/>
      <c r="F187" s="12" t="str">
        <f>IFERROR(IF(COUNTA(A187:E187)=0,"",IF(OR(A187="",B187="",C187="",D187=""),"FALTA CAMPO",IF(AND(B187&lt;&gt;"ENTRADA",B187&lt;&gt;"SALIDA"),"DIRECCION INVALIDA",IF(OR(D187&lt;=0,ABS(D187)&gt;1000000000,ROUND(D187,2)&lt;&gt;D187),"MONTO INVALIDO",IF(OR(A187&lt;DATE(1900,1,1),A187&gt;DATE(2100,12,31),A187&lt;=CONFIG!$B$5,A187&gt;CONFIG!$B$5+91),"FUERA DE HORIZONTE","OK"))))),"MONTO INVALIDO")</f>
        <v/>
      </c>
    </row>
    <row r="188" spans="1:6" x14ac:dyDescent="0.45">
      <c r="A188" s="4"/>
      <c r="B188" s="8"/>
      <c r="C188" s="8"/>
      <c r="D188" s="7"/>
      <c r="E188" s="8"/>
      <c r="F188" s="12" t="str">
        <f>IFERROR(IF(COUNTA(A188:E188)=0,"",IF(OR(A188="",B188="",C188="",D188=""),"FALTA CAMPO",IF(AND(B188&lt;&gt;"ENTRADA",B188&lt;&gt;"SALIDA"),"DIRECCION INVALIDA",IF(OR(D188&lt;=0,ABS(D188)&gt;1000000000,ROUND(D188,2)&lt;&gt;D188),"MONTO INVALIDO",IF(OR(A188&lt;DATE(1900,1,1),A188&gt;DATE(2100,12,31),A188&lt;=CONFIG!$B$5,A188&gt;CONFIG!$B$5+91),"FUERA DE HORIZONTE","OK"))))),"MONTO INVALIDO")</f>
        <v/>
      </c>
    </row>
    <row r="189" spans="1:6" x14ac:dyDescent="0.45">
      <c r="A189" s="4"/>
      <c r="B189" s="8"/>
      <c r="C189" s="8"/>
      <c r="D189" s="7"/>
      <c r="E189" s="8"/>
      <c r="F189" s="12" t="str">
        <f>IFERROR(IF(COUNTA(A189:E189)=0,"",IF(OR(A189="",B189="",C189="",D189=""),"FALTA CAMPO",IF(AND(B189&lt;&gt;"ENTRADA",B189&lt;&gt;"SALIDA"),"DIRECCION INVALIDA",IF(OR(D189&lt;=0,ABS(D189)&gt;1000000000,ROUND(D189,2)&lt;&gt;D189),"MONTO INVALIDO",IF(OR(A189&lt;DATE(1900,1,1),A189&gt;DATE(2100,12,31),A189&lt;=CONFIG!$B$5,A189&gt;CONFIG!$B$5+91),"FUERA DE HORIZONTE","OK"))))),"MONTO INVALIDO")</f>
        <v/>
      </c>
    </row>
    <row r="190" spans="1:6" x14ac:dyDescent="0.45">
      <c r="A190" s="4"/>
      <c r="B190" s="8"/>
      <c r="C190" s="8"/>
      <c r="D190" s="7"/>
      <c r="E190" s="8"/>
      <c r="F190" s="12" t="str">
        <f>IFERROR(IF(COUNTA(A190:E190)=0,"",IF(OR(A190="",B190="",C190="",D190=""),"FALTA CAMPO",IF(AND(B190&lt;&gt;"ENTRADA",B190&lt;&gt;"SALIDA"),"DIRECCION INVALIDA",IF(OR(D190&lt;=0,ABS(D190)&gt;1000000000,ROUND(D190,2)&lt;&gt;D190),"MONTO INVALIDO",IF(OR(A190&lt;DATE(1900,1,1),A190&gt;DATE(2100,12,31),A190&lt;=CONFIG!$B$5,A190&gt;CONFIG!$B$5+91),"FUERA DE HORIZONTE","OK"))))),"MONTO INVALIDO")</f>
        <v/>
      </c>
    </row>
    <row r="191" spans="1:6" x14ac:dyDescent="0.45">
      <c r="A191" s="4"/>
      <c r="B191" s="8"/>
      <c r="C191" s="8"/>
      <c r="D191" s="7"/>
      <c r="E191" s="8"/>
      <c r="F191" s="12" t="str">
        <f>IFERROR(IF(COUNTA(A191:E191)=0,"",IF(OR(A191="",B191="",C191="",D191=""),"FALTA CAMPO",IF(AND(B191&lt;&gt;"ENTRADA",B191&lt;&gt;"SALIDA"),"DIRECCION INVALIDA",IF(OR(D191&lt;=0,ABS(D191)&gt;1000000000,ROUND(D191,2)&lt;&gt;D191),"MONTO INVALIDO",IF(OR(A191&lt;DATE(1900,1,1),A191&gt;DATE(2100,12,31),A191&lt;=CONFIG!$B$5,A191&gt;CONFIG!$B$5+91),"FUERA DE HORIZONTE","OK"))))),"MONTO INVALIDO")</f>
        <v/>
      </c>
    </row>
    <row r="192" spans="1:6" x14ac:dyDescent="0.45">
      <c r="A192" s="4"/>
      <c r="B192" s="8"/>
      <c r="C192" s="8"/>
      <c r="D192" s="7"/>
      <c r="E192" s="8"/>
      <c r="F192" s="12" t="str">
        <f>IFERROR(IF(COUNTA(A192:E192)=0,"",IF(OR(A192="",B192="",C192="",D192=""),"FALTA CAMPO",IF(AND(B192&lt;&gt;"ENTRADA",B192&lt;&gt;"SALIDA"),"DIRECCION INVALIDA",IF(OR(D192&lt;=0,ABS(D192)&gt;1000000000,ROUND(D192,2)&lt;&gt;D192),"MONTO INVALIDO",IF(OR(A192&lt;DATE(1900,1,1),A192&gt;DATE(2100,12,31),A192&lt;=CONFIG!$B$5,A192&gt;CONFIG!$B$5+91),"FUERA DE HORIZONTE","OK"))))),"MONTO INVALIDO")</f>
        <v/>
      </c>
    </row>
    <row r="193" spans="1:6" x14ac:dyDescent="0.45">
      <c r="A193" s="4"/>
      <c r="B193" s="8"/>
      <c r="C193" s="8"/>
      <c r="D193" s="7"/>
      <c r="E193" s="8"/>
      <c r="F193" s="12" t="str">
        <f>IFERROR(IF(COUNTA(A193:E193)=0,"",IF(OR(A193="",B193="",C193="",D193=""),"FALTA CAMPO",IF(AND(B193&lt;&gt;"ENTRADA",B193&lt;&gt;"SALIDA"),"DIRECCION INVALIDA",IF(OR(D193&lt;=0,ABS(D193)&gt;1000000000,ROUND(D193,2)&lt;&gt;D193),"MONTO INVALIDO",IF(OR(A193&lt;DATE(1900,1,1),A193&gt;DATE(2100,12,31),A193&lt;=CONFIG!$B$5,A193&gt;CONFIG!$B$5+91),"FUERA DE HORIZONTE","OK"))))),"MONTO INVALIDO")</f>
        <v/>
      </c>
    </row>
    <row r="194" spans="1:6" x14ac:dyDescent="0.45">
      <c r="A194" s="4"/>
      <c r="B194" s="8"/>
      <c r="C194" s="8"/>
      <c r="D194" s="7"/>
      <c r="E194" s="8"/>
      <c r="F194" s="12" t="str">
        <f>IFERROR(IF(COUNTA(A194:E194)=0,"",IF(OR(A194="",B194="",C194="",D194=""),"FALTA CAMPO",IF(AND(B194&lt;&gt;"ENTRADA",B194&lt;&gt;"SALIDA"),"DIRECCION INVALIDA",IF(OR(D194&lt;=0,ABS(D194)&gt;1000000000,ROUND(D194,2)&lt;&gt;D194),"MONTO INVALIDO",IF(OR(A194&lt;DATE(1900,1,1),A194&gt;DATE(2100,12,31),A194&lt;=CONFIG!$B$5,A194&gt;CONFIG!$B$5+91),"FUERA DE HORIZONTE","OK"))))),"MONTO INVALIDO")</f>
        <v/>
      </c>
    </row>
    <row r="195" spans="1:6" x14ac:dyDescent="0.45">
      <c r="A195" s="4"/>
      <c r="B195" s="8"/>
      <c r="C195" s="8"/>
      <c r="D195" s="7"/>
      <c r="E195" s="8"/>
      <c r="F195" s="12" t="str">
        <f>IFERROR(IF(COUNTA(A195:E195)=0,"",IF(OR(A195="",B195="",C195="",D195=""),"FALTA CAMPO",IF(AND(B195&lt;&gt;"ENTRADA",B195&lt;&gt;"SALIDA"),"DIRECCION INVALIDA",IF(OR(D195&lt;=0,ABS(D195)&gt;1000000000,ROUND(D195,2)&lt;&gt;D195),"MONTO INVALIDO",IF(OR(A195&lt;DATE(1900,1,1),A195&gt;DATE(2100,12,31),A195&lt;=CONFIG!$B$5,A195&gt;CONFIG!$B$5+91),"FUERA DE HORIZONTE","OK"))))),"MONTO INVALIDO")</f>
        <v/>
      </c>
    </row>
    <row r="196" spans="1:6" x14ac:dyDescent="0.45">
      <c r="A196" s="4"/>
      <c r="B196" s="8"/>
      <c r="C196" s="8"/>
      <c r="D196" s="7"/>
      <c r="E196" s="8"/>
      <c r="F196" s="12" t="str">
        <f>IFERROR(IF(COUNTA(A196:E196)=0,"",IF(OR(A196="",B196="",C196="",D196=""),"FALTA CAMPO",IF(AND(B196&lt;&gt;"ENTRADA",B196&lt;&gt;"SALIDA"),"DIRECCION INVALIDA",IF(OR(D196&lt;=0,ABS(D196)&gt;1000000000,ROUND(D196,2)&lt;&gt;D196),"MONTO INVALIDO",IF(OR(A196&lt;DATE(1900,1,1),A196&gt;DATE(2100,12,31),A196&lt;=CONFIG!$B$5,A196&gt;CONFIG!$B$5+91),"FUERA DE HORIZONTE","OK"))))),"MONTO INVALIDO")</f>
        <v/>
      </c>
    </row>
    <row r="197" spans="1:6" x14ac:dyDescent="0.45">
      <c r="A197" s="4"/>
      <c r="B197" s="8"/>
      <c r="C197" s="8"/>
      <c r="D197" s="7"/>
      <c r="E197" s="8"/>
      <c r="F197" s="12" t="str">
        <f>IFERROR(IF(COUNTA(A197:E197)=0,"",IF(OR(A197="",B197="",C197="",D197=""),"FALTA CAMPO",IF(AND(B197&lt;&gt;"ENTRADA",B197&lt;&gt;"SALIDA"),"DIRECCION INVALIDA",IF(OR(D197&lt;=0,ABS(D197)&gt;1000000000,ROUND(D197,2)&lt;&gt;D197),"MONTO INVALIDO",IF(OR(A197&lt;DATE(1900,1,1),A197&gt;DATE(2100,12,31),A197&lt;=CONFIG!$B$5,A197&gt;CONFIG!$B$5+91),"FUERA DE HORIZONTE","OK"))))),"MONTO INVALIDO")</f>
        <v/>
      </c>
    </row>
    <row r="198" spans="1:6" x14ac:dyDescent="0.45">
      <c r="A198" s="4"/>
      <c r="B198" s="8"/>
      <c r="C198" s="8"/>
      <c r="D198" s="7"/>
      <c r="E198" s="8"/>
      <c r="F198" s="12" t="str">
        <f>IFERROR(IF(COUNTA(A198:E198)=0,"",IF(OR(A198="",B198="",C198="",D198=""),"FALTA CAMPO",IF(AND(B198&lt;&gt;"ENTRADA",B198&lt;&gt;"SALIDA"),"DIRECCION INVALIDA",IF(OR(D198&lt;=0,ABS(D198)&gt;1000000000,ROUND(D198,2)&lt;&gt;D198),"MONTO INVALIDO",IF(OR(A198&lt;DATE(1900,1,1),A198&gt;DATE(2100,12,31),A198&lt;=CONFIG!$B$5,A198&gt;CONFIG!$B$5+91),"FUERA DE HORIZONTE","OK"))))),"MONTO INVALIDO")</f>
        <v/>
      </c>
    </row>
    <row r="199" spans="1:6" x14ac:dyDescent="0.45">
      <c r="A199" s="4"/>
      <c r="B199" s="8"/>
      <c r="C199" s="8"/>
      <c r="D199" s="7"/>
      <c r="E199" s="8"/>
      <c r="F199" s="12" t="str">
        <f>IFERROR(IF(COUNTA(A199:E199)=0,"",IF(OR(A199="",B199="",C199="",D199=""),"FALTA CAMPO",IF(AND(B199&lt;&gt;"ENTRADA",B199&lt;&gt;"SALIDA"),"DIRECCION INVALIDA",IF(OR(D199&lt;=0,ABS(D199)&gt;1000000000,ROUND(D199,2)&lt;&gt;D199),"MONTO INVALIDO",IF(OR(A199&lt;DATE(1900,1,1),A199&gt;DATE(2100,12,31),A199&lt;=CONFIG!$B$5,A199&gt;CONFIG!$B$5+91),"FUERA DE HORIZONTE","OK"))))),"MONTO INVALIDO")</f>
        <v/>
      </c>
    </row>
    <row r="200" spans="1:6" x14ac:dyDescent="0.45">
      <c r="A200" s="4"/>
      <c r="B200" s="8"/>
      <c r="C200" s="8"/>
      <c r="D200" s="7"/>
      <c r="E200" s="8"/>
      <c r="F200" s="12" t="str">
        <f>IFERROR(IF(COUNTA(A200:E200)=0,"",IF(OR(A200="",B200="",C200="",D200=""),"FALTA CAMPO",IF(AND(B200&lt;&gt;"ENTRADA",B200&lt;&gt;"SALIDA"),"DIRECCION INVALIDA",IF(OR(D200&lt;=0,ABS(D200)&gt;1000000000,ROUND(D200,2)&lt;&gt;D200),"MONTO INVALIDO",IF(OR(A200&lt;DATE(1900,1,1),A200&gt;DATE(2100,12,31),A200&lt;=CONFIG!$B$5,A200&gt;CONFIG!$B$5+91),"FUERA DE HORIZONTE","OK"))))),"MONTO INVALIDO")</f>
        <v/>
      </c>
    </row>
    <row r="201" spans="1:6" x14ac:dyDescent="0.45">
      <c r="A201" s="4"/>
      <c r="B201" s="8"/>
      <c r="C201" s="8"/>
      <c r="D201" s="7"/>
      <c r="E201" s="8"/>
      <c r="F201" s="12" t="str">
        <f>IFERROR(IF(COUNTA(A201:E201)=0,"",IF(OR(A201="",B201="",C201="",D201=""),"FALTA CAMPO",IF(AND(B201&lt;&gt;"ENTRADA",B201&lt;&gt;"SALIDA"),"DIRECCION INVALIDA",IF(OR(D201&lt;=0,ABS(D201)&gt;1000000000,ROUND(D201,2)&lt;&gt;D201),"MONTO INVALIDO",IF(OR(A201&lt;DATE(1900,1,1),A201&gt;DATE(2100,12,31),A201&lt;=CONFIG!$B$5,A201&gt;CONFIG!$B$5+91),"FUERA DE HORIZONTE","OK"))))),"MONTO INVALIDO")</f>
        <v/>
      </c>
    </row>
    <row r="202" spans="1:6" x14ac:dyDescent="0.45">
      <c r="A202" s="4"/>
      <c r="B202" s="8"/>
      <c r="C202" s="8"/>
      <c r="D202" s="7"/>
      <c r="E202" s="8"/>
      <c r="F202" s="12" t="str">
        <f>IFERROR(IF(COUNTA(A202:E202)=0,"",IF(OR(A202="",B202="",C202="",D202=""),"FALTA CAMPO",IF(AND(B202&lt;&gt;"ENTRADA",B202&lt;&gt;"SALIDA"),"DIRECCION INVALIDA",IF(OR(D202&lt;=0,ABS(D202)&gt;1000000000,ROUND(D202,2)&lt;&gt;D202),"MONTO INVALIDO",IF(OR(A202&lt;DATE(1900,1,1),A202&gt;DATE(2100,12,31),A202&lt;=CONFIG!$B$5,A202&gt;CONFIG!$B$5+91),"FUERA DE HORIZONTE","OK"))))),"MONTO INVALIDO")</f>
        <v/>
      </c>
    </row>
    <row r="203" spans="1:6" x14ac:dyDescent="0.45">
      <c r="A203" s="4"/>
      <c r="B203" s="8"/>
      <c r="C203" s="8"/>
      <c r="D203" s="7"/>
      <c r="E203" s="8"/>
      <c r="F203" s="12" t="str">
        <f>IFERROR(IF(COUNTA(A203:E203)=0,"",IF(OR(A203="",B203="",C203="",D203=""),"FALTA CAMPO",IF(AND(B203&lt;&gt;"ENTRADA",B203&lt;&gt;"SALIDA"),"DIRECCION INVALIDA",IF(OR(D203&lt;=0,ABS(D203)&gt;1000000000,ROUND(D203,2)&lt;&gt;D203),"MONTO INVALIDO",IF(OR(A203&lt;DATE(1900,1,1),A203&gt;DATE(2100,12,31),A203&lt;=CONFIG!$B$5,A203&gt;CONFIG!$B$5+91),"FUERA DE HORIZONTE","OK"))))),"MONTO INVALIDO")</f>
        <v/>
      </c>
    </row>
    <row r="204" spans="1:6" x14ac:dyDescent="0.45">
      <c r="A204" s="4"/>
      <c r="B204" s="8"/>
      <c r="C204" s="8"/>
      <c r="D204" s="7"/>
      <c r="E204" s="8"/>
      <c r="F204" s="12" t="str">
        <f>IFERROR(IF(COUNTA(A204:E204)=0,"",IF(OR(A204="",B204="",C204="",D204=""),"FALTA CAMPO",IF(AND(B204&lt;&gt;"ENTRADA",B204&lt;&gt;"SALIDA"),"DIRECCION INVALIDA",IF(OR(D204&lt;=0,ABS(D204)&gt;1000000000,ROUND(D204,2)&lt;&gt;D204),"MONTO INVALIDO",IF(OR(A204&lt;DATE(1900,1,1),A204&gt;DATE(2100,12,31),A204&lt;=CONFIG!$B$5,A204&gt;CONFIG!$B$5+91),"FUERA DE HORIZONTE","OK"))))),"MONTO INVALIDO")</f>
        <v/>
      </c>
    </row>
    <row r="205" spans="1:6" x14ac:dyDescent="0.45">
      <c r="A205" s="4"/>
      <c r="B205" s="8"/>
      <c r="C205" s="8"/>
      <c r="D205" s="7"/>
      <c r="E205" s="8"/>
      <c r="F205" s="12" t="str">
        <f>IFERROR(IF(COUNTA(A205:E205)=0,"",IF(OR(A205="",B205="",C205="",D205=""),"FALTA CAMPO",IF(AND(B205&lt;&gt;"ENTRADA",B205&lt;&gt;"SALIDA"),"DIRECCION INVALIDA",IF(OR(D205&lt;=0,ABS(D205)&gt;1000000000,ROUND(D205,2)&lt;&gt;D205),"MONTO INVALIDO",IF(OR(A205&lt;DATE(1900,1,1),A205&gt;DATE(2100,12,31),A205&lt;=CONFIG!$B$5,A205&gt;CONFIG!$B$5+91),"FUERA DE HORIZONTE","OK"))))),"MONTO INVALIDO")</f>
        <v/>
      </c>
    </row>
    <row r="206" spans="1:6" x14ac:dyDescent="0.45">
      <c r="A206" s="4"/>
      <c r="B206" s="8"/>
      <c r="C206" s="8"/>
      <c r="D206" s="7"/>
      <c r="E206" s="8"/>
      <c r="F206" s="12" t="str">
        <f>IFERROR(IF(COUNTA(A206:E206)=0,"",IF(OR(A206="",B206="",C206="",D206=""),"FALTA CAMPO",IF(AND(B206&lt;&gt;"ENTRADA",B206&lt;&gt;"SALIDA"),"DIRECCION INVALIDA",IF(OR(D206&lt;=0,ABS(D206)&gt;1000000000,ROUND(D206,2)&lt;&gt;D206),"MONTO INVALIDO",IF(OR(A206&lt;DATE(1900,1,1),A206&gt;DATE(2100,12,31),A206&lt;=CONFIG!$B$5,A206&gt;CONFIG!$B$5+91),"FUERA DE HORIZONTE","OK"))))),"MONTO INVALIDO")</f>
        <v/>
      </c>
    </row>
    <row r="207" spans="1:6" x14ac:dyDescent="0.45">
      <c r="A207" s="4"/>
      <c r="B207" s="8"/>
      <c r="C207" s="8"/>
      <c r="D207" s="7"/>
      <c r="E207" s="8"/>
      <c r="F207" s="12" t="str">
        <f>IFERROR(IF(COUNTA(A207:E207)=0,"",IF(OR(A207="",B207="",C207="",D207=""),"FALTA CAMPO",IF(AND(B207&lt;&gt;"ENTRADA",B207&lt;&gt;"SALIDA"),"DIRECCION INVALIDA",IF(OR(D207&lt;=0,ABS(D207)&gt;1000000000,ROUND(D207,2)&lt;&gt;D207),"MONTO INVALIDO",IF(OR(A207&lt;DATE(1900,1,1),A207&gt;DATE(2100,12,31),A207&lt;=CONFIG!$B$5,A207&gt;CONFIG!$B$5+91),"FUERA DE HORIZONTE","OK"))))),"MONTO INVALIDO")</f>
        <v/>
      </c>
    </row>
    <row r="208" spans="1:6" x14ac:dyDescent="0.45">
      <c r="A208" s="4"/>
      <c r="B208" s="8"/>
      <c r="C208" s="8"/>
      <c r="D208" s="7"/>
      <c r="E208" s="8"/>
      <c r="F208" s="12" t="str">
        <f>IFERROR(IF(COUNTA(A208:E208)=0,"",IF(OR(A208="",B208="",C208="",D208=""),"FALTA CAMPO",IF(AND(B208&lt;&gt;"ENTRADA",B208&lt;&gt;"SALIDA"),"DIRECCION INVALIDA",IF(OR(D208&lt;=0,ABS(D208)&gt;1000000000,ROUND(D208,2)&lt;&gt;D208),"MONTO INVALIDO",IF(OR(A208&lt;DATE(1900,1,1),A208&gt;DATE(2100,12,31),A208&lt;=CONFIG!$B$5,A208&gt;CONFIG!$B$5+91),"FUERA DE HORIZONTE","OK"))))),"MONTO INVALIDO")</f>
        <v/>
      </c>
    </row>
    <row r="209" spans="1:6" x14ac:dyDescent="0.45">
      <c r="A209" s="4"/>
      <c r="B209" s="8"/>
      <c r="C209" s="8"/>
      <c r="D209" s="7"/>
      <c r="E209" s="8"/>
      <c r="F209" s="12" t="str">
        <f>IFERROR(IF(COUNTA(A209:E209)=0,"",IF(OR(A209="",B209="",C209="",D209=""),"FALTA CAMPO",IF(AND(B209&lt;&gt;"ENTRADA",B209&lt;&gt;"SALIDA"),"DIRECCION INVALIDA",IF(OR(D209&lt;=0,ABS(D209)&gt;1000000000,ROUND(D209,2)&lt;&gt;D209),"MONTO INVALIDO",IF(OR(A209&lt;DATE(1900,1,1),A209&gt;DATE(2100,12,31),A209&lt;=CONFIG!$B$5,A209&gt;CONFIG!$B$5+91),"FUERA DE HORIZONTE","OK"))))),"MONTO INVALIDO")</f>
        <v/>
      </c>
    </row>
    <row r="210" spans="1:6" x14ac:dyDescent="0.45">
      <c r="A210" s="4"/>
      <c r="B210" s="8"/>
      <c r="C210" s="8"/>
      <c r="D210" s="7"/>
      <c r="E210" s="8"/>
      <c r="F210" s="12" t="str">
        <f>IFERROR(IF(COUNTA(A210:E210)=0,"",IF(OR(A210="",B210="",C210="",D210=""),"FALTA CAMPO",IF(AND(B210&lt;&gt;"ENTRADA",B210&lt;&gt;"SALIDA"),"DIRECCION INVALIDA",IF(OR(D210&lt;=0,ABS(D210)&gt;1000000000,ROUND(D210,2)&lt;&gt;D210),"MONTO INVALIDO",IF(OR(A210&lt;DATE(1900,1,1),A210&gt;DATE(2100,12,31),A210&lt;=CONFIG!$B$5,A210&gt;CONFIG!$B$5+91),"FUERA DE HORIZONTE","OK"))))),"MONTO INVALIDO")</f>
        <v/>
      </c>
    </row>
    <row r="211" spans="1:6" x14ac:dyDescent="0.45">
      <c r="A211" s="4"/>
      <c r="B211" s="8"/>
      <c r="C211" s="8"/>
      <c r="D211" s="7"/>
      <c r="E211" s="8"/>
      <c r="F211" s="12" t="str">
        <f>IFERROR(IF(COUNTA(A211:E211)=0,"",IF(OR(A211="",B211="",C211="",D211=""),"FALTA CAMPO",IF(AND(B211&lt;&gt;"ENTRADA",B211&lt;&gt;"SALIDA"),"DIRECCION INVALIDA",IF(OR(D211&lt;=0,ABS(D211)&gt;1000000000,ROUND(D211,2)&lt;&gt;D211),"MONTO INVALIDO",IF(OR(A211&lt;DATE(1900,1,1),A211&gt;DATE(2100,12,31),A211&lt;=CONFIG!$B$5,A211&gt;CONFIG!$B$5+91),"FUERA DE HORIZONTE","OK"))))),"MONTO INVALIDO")</f>
        <v/>
      </c>
    </row>
    <row r="212" spans="1:6" x14ac:dyDescent="0.45">
      <c r="A212" s="4"/>
      <c r="B212" s="8"/>
      <c r="C212" s="8"/>
      <c r="D212" s="7"/>
      <c r="E212" s="8"/>
      <c r="F212" s="12" t="str">
        <f>IFERROR(IF(COUNTA(A212:E212)=0,"",IF(OR(A212="",B212="",C212="",D212=""),"FALTA CAMPO",IF(AND(B212&lt;&gt;"ENTRADA",B212&lt;&gt;"SALIDA"),"DIRECCION INVALIDA",IF(OR(D212&lt;=0,ABS(D212)&gt;1000000000,ROUND(D212,2)&lt;&gt;D212),"MONTO INVALIDO",IF(OR(A212&lt;DATE(1900,1,1),A212&gt;DATE(2100,12,31),A212&lt;=CONFIG!$B$5,A212&gt;CONFIG!$B$5+91),"FUERA DE HORIZONTE","OK"))))),"MONTO INVALIDO")</f>
        <v/>
      </c>
    </row>
    <row r="213" spans="1:6" x14ac:dyDescent="0.45">
      <c r="A213" s="4"/>
      <c r="B213" s="8"/>
      <c r="C213" s="8"/>
      <c r="D213" s="7"/>
      <c r="E213" s="8"/>
      <c r="F213" s="12" t="str">
        <f>IFERROR(IF(COUNTA(A213:E213)=0,"",IF(OR(A213="",B213="",C213="",D213=""),"FALTA CAMPO",IF(AND(B213&lt;&gt;"ENTRADA",B213&lt;&gt;"SALIDA"),"DIRECCION INVALIDA",IF(OR(D213&lt;=0,ABS(D213)&gt;1000000000,ROUND(D213,2)&lt;&gt;D213),"MONTO INVALIDO",IF(OR(A213&lt;DATE(1900,1,1),A213&gt;DATE(2100,12,31),A213&lt;=CONFIG!$B$5,A213&gt;CONFIG!$B$5+91),"FUERA DE HORIZONTE","OK"))))),"MONTO INVALIDO")</f>
        <v/>
      </c>
    </row>
    <row r="214" spans="1:6" x14ac:dyDescent="0.45">
      <c r="A214" s="4"/>
      <c r="B214" s="8"/>
      <c r="C214" s="8"/>
      <c r="D214" s="7"/>
      <c r="E214" s="8"/>
      <c r="F214" s="12" t="str">
        <f>IFERROR(IF(COUNTA(A214:E214)=0,"",IF(OR(A214="",B214="",C214="",D214=""),"FALTA CAMPO",IF(AND(B214&lt;&gt;"ENTRADA",B214&lt;&gt;"SALIDA"),"DIRECCION INVALIDA",IF(OR(D214&lt;=0,ABS(D214)&gt;1000000000,ROUND(D214,2)&lt;&gt;D214),"MONTO INVALIDO",IF(OR(A214&lt;DATE(1900,1,1),A214&gt;DATE(2100,12,31),A214&lt;=CONFIG!$B$5,A214&gt;CONFIG!$B$5+91),"FUERA DE HORIZONTE","OK"))))),"MONTO INVALIDO")</f>
        <v/>
      </c>
    </row>
    <row r="215" spans="1:6" x14ac:dyDescent="0.45">
      <c r="A215" s="4"/>
      <c r="B215" s="8"/>
      <c r="C215" s="8"/>
      <c r="D215" s="7"/>
      <c r="E215" s="8"/>
      <c r="F215" s="12" t="str">
        <f>IFERROR(IF(COUNTA(A215:E215)=0,"",IF(OR(A215="",B215="",C215="",D215=""),"FALTA CAMPO",IF(AND(B215&lt;&gt;"ENTRADA",B215&lt;&gt;"SALIDA"),"DIRECCION INVALIDA",IF(OR(D215&lt;=0,ABS(D215)&gt;1000000000,ROUND(D215,2)&lt;&gt;D215),"MONTO INVALIDO",IF(OR(A215&lt;DATE(1900,1,1),A215&gt;DATE(2100,12,31),A215&lt;=CONFIG!$B$5,A215&gt;CONFIG!$B$5+91),"FUERA DE HORIZONTE","OK"))))),"MONTO INVALIDO")</f>
        <v/>
      </c>
    </row>
    <row r="216" spans="1:6" x14ac:dyDescent="0.45">
      <c r="A216" s="4"/>
      <c r="B216" s="8"/>
      <c r="C216" s="8"/>
      <c r="D216" s="7"/>
      <c r="E216" s="8"/>
      <c r="F216" s="12" t="str">
        <f>IFERROR(IF(COUNTA(A216:E216)=0,"",IF(OR(A216="",B216="",C216="",D216=""),"FALTA CAMPO",IF(AND(B216&lt;&gt;"ENTRADA",B216&lt;&gt;"SALIDA"),"DIRECCION INVALIDA",IF(OR(D216&lt;=0,ABS(D216)&gt;1000000000,ROUND(D216,2)&lt;&gt;D216),"MONTO INVALIDO",IF(OR(A216&lt;DATE(1900,1,1),A216&gt;DATE(2100,12,31),A216&lt;=CONFIG!$B$5,A216&gt;CONFIG!$B$5+91),"FUERA DE HORIZONTE","OK"))))),"MONTO INVALIDO")</f>
        <v/>
      </c>
    </row>
    <row r="217" spans="1:6" x14ac:dyDescent="0.45">
      <c r="A217" s="4"/>
      <c r="B217" s="8"/>
      <c r="C217" s="8"/>
      <c r="D217" s="7"/>
      <c r="E217" s="8"/>
      <c r="F217" s="12" t="str">
        <f>IFERROR(IF(COUNTA(A217:E217)=0,"",IF(OR(A217="",B217="",C217="",D217=""),"FALTA CAMPO",IF(AND(B217&lt;&gt;"ENTRADA",B217&lt;&gt;"SALIDA"),"DIRECCION INVALIDA",IF(OR(D217&lt;=0,ABS(D217)&gt;1000000000,ROUND(D217,2)&lt;&gt;D217),"MONTO INVALIDO",IF(OR(A217&lt;DATE(1900,1,1),A217&gt;DATE(2100,12,31),A217&lt;=CONFIG!$B$5,A217&gt;CONFIG!$B$5+91),"FUERA DE HORIZONTE","OK"))))),"MONTO INVALIDO")</f>
        <v/>
      </c>
    </row>
    <row r="218" spans="1:6" x14ac:dyDescent="0.45">
      <c r="A218" s="4"/>
      <c r="B218" s="8"/>
      <c r="C218" s="8"/>
      <c r="D218" s="7"/>
      <c r="E218" s="8"/>
      <c r="F218" s="12" t="str">
        <f>IFERROR(IF(COUNTA(A218:E218)=0,"",IF(OR(A218="",B218="",C218="",D218=""),"FALTA CAMPO",IF(AND(B218&lt;&gt;"ENTRADA",B218&lt;&gt;"SALIDA"),"DIRECCION INVALIDA",IF(OR(D218&lt;=0,ABS(D218)&gt;1000000000,ROUND(D218,2)&lt;&gt;D218),"MONTO INVALIDO",IF(OR(A218&lt;DATE(1900,1,1),A218&gt;DATE(2100,12,31),A218&lt;=CONFIG!$B$5,A218&gt;CONFIG!$B$5+91),"FUERA DE HORIZONTE","OK"))))),"MONTO INVALIDO")</f>
        <v/>
      </c>
    </row>
    <row r="219" spans="1:6" x14ac:dyDescent="0.45">
      <c r="A219" s="4"/>
      <c r="B219" s="8"/>
      <c r="C219" s="8"/>
      <c r="D219" s="7"/>
      <c r="E219" s="8"/>
      <c r="F219" s="12" t="str">
        <f>IFERROR(IF(COUNTA(A219:E219)=0,"",IF(OR(A219="",B219="",C219="",D219=""),"FALTA CAMPO",IF(AND(B219&lt;&gt;"ENTRADA",B219&lt;&gt;"SALIDA"),"DIRECCION INVALIDA",IF(OR(D219&lt;=0,ABS(D219)&gt;1000000000,ROUND(D219,2)&lt;&gt;D219),"MONTO INVALIDO",IF(OR(A219&lt;DATE(1900,1,1),A219&gt;DATE(2100,12,31),A219&lt;=CONFIG!$B$5,A219&gt;CONFIG!$B$5+91),"FUERA DE HORIZONTE","OK"))))),"MONTO INVALIDO")</f>
        <v/>
      </c>
    </row>
    <row r="220" spans="1:6" x14ac:dyDescent="0.45">
      <c r="A220" s="4"/>
      <c r="B220" s="8"/>
      <c r="C220" s="8"/>
      <c r="D220" s="7"/>
      <c r="E220" s="8"/>
      <c r="F220" s="12" t="str">
        <f>IFERROR(IF(COUNTA(A220:E220)=0,"",IF(OR(A220="",B220="",C220="",D220=""),"FALTA CAMPO",IF(AND(B220&lt;&gt;"ENTRADA",B220&lt;&gt;"SALIDA"),"DIRECCION INVALIDA",IF(OR(D220&lt;=0,ABS(D220)&gt;1000000000,ROUND(D220,2)&lt;&gt;D220),"MONTO INVALIDO",IF(OR(A220&lt;DATE(1900,1,1),A220&gt;DATE(2100,12,31),A220&lt;=CONFIG!$B$5,A220&gt;CONFIG!$B$5+91),"FUERA DE HORIZONTE","OK"))))),"MONTO INVALIDO")</f>
        <v/>
      </c>
    </row>
    <row r="221" spans="1:6" x14ac:dyDescent="0.45">
      <c r="A221" s="4"/>
      <c r="B221" s="8"/>
      <c r="C221" s="8"/>
      <c r="D221" s="7"/>
      <c r="E221" s="8"/>
      <c r="F221" s="12" t="str">
        <f>IFERROR(IF(COUNTA(A221:E221)=0,"",IF(OR(A221="",B221="",C221="",D221=""),"FALTA CAMPO",IF(AND(B221&lt;&gt;"ENTRADA",B221&lt;&gt;"SALIDA"),"DIRECCION INVALIDA",IF(OR(D221&lt;=0,ABS(D221)&gt;1000000000,ROUND(D221,2)&lt;&gt;D221),"MONTO INVALIDO",IF(OR(A221&lt;DATE(1900,1,1),A221&gt;DATE(2100,12,31),A221&lt;=CONFIG!$B$5,A221&gt;CONFIG!$B$5+91),"FUERA DE HORIZONTE","OK"))))),"MONTO INVALIDO")</f>
        <v/>
      </c>
    </row>
    <row r="222" spans="1:6" x14ac:dyDescent="0.45">
      <c r="A222" s="4"/>
      <c r="B222" s="8"/>
      <c r="C222" s="8"/>
      <c r="D222" s="7"/>
      <c r="E222" s="8"/>
      <c r="F222" s="12" t="str">
        <f>IFERROR(IF(COUNTA(A222:E222)=0,"",IF(OR(A222="",B222="",C222="",D222=""),"FALTA CAMPO",IF(AND(B222&lt;&gt;"ENTRADA",B222&lt;&gt;"SALIDA"),"DIRECCION INVALIDA",IF(OR(D222&lt;=0,ABS(D222)&gt;1000000000,ROUND(D222,2)&lt;&gt;D222),"MONTO INVALIDO",IF(OR(A222&lt;DATE(1900,1,1),A222&gt;DATE(2100,12,31),A222&lt;=CONFIG!$B$5,A222&gt;CONFIG!$B$5+91),"FUERA DE HORIZONTE","OK"))))),"MONTO INVALIDO")</f>
        <v/>
      </c>
    </row>
    <row r="223" spans="1:6" x14ac:dyDescent="0.45">
      <c r="A223" s="4"/>
      <c r="B223" s="8"/>
      <c r="C223" s="8"/>
      <c r="D223" s="7"/>
      <c r="E223" s="8"/>
      <c r="F223" s="12" t="str">
        <f>IFERROR(IF(COUNTA(A223:E223)=0,"",IF(OR(A223="",B223="",C223="",D223=""),"FALTA CAMPO",IF(AND(B223&lt;&gt;"ENTRADA",B223&lt;&gt;"SALIDA"),"DIRECCION INVALIDA",IF(OR(D223&lt;=0,ABS(D223)&gt;1000000000,ROUND(D223,2)&lt;&gt;D223),"MONTO INVALIDO",IF(OR(A223&lt;DATE(1900,1,1),A223&gt;DATE(2100,12,31),A223&lt;=CONFIG!$B$5,A223&gt;CONFIG!$B$5+91),"FUERA DE HORIZONTE","OK"))))),"MONTO INVALIDO")</f>
        <v/>
      </c>
    </row>
    <row r="224" spans="1:6" x14ac:dyDescent="0.45">
      <c r="A224" s="4"/>
      <c r="B224" s="8"/>
      <c r="C224" s="8"/>
      <c r="D224" s="7"/>
      <c r="E224" s="8"/>
      <c r="F224" s="12" t="str">
        <f>IFERROR(IF(COUNTA(A224:E224)=0,"",IF(OR(A224="",B224="",C224="",D224=""),"FALTA CAMPO",IF(AND(B224&lt;&gt;"ENTRADA",B224&lt;&gt;"SALIDA"),"DIRECCION INVALIDA",IF(OR(D224&lt;=0,ABS(D224)&gt;1000000000,ROUND(D224,2)&lt;&gt;D224),"MONTO INVALIDO",IF(OR(A224&lt;DATE(1900,1,1),A224&gt;DATE(2100,12,31),A224&lt;=CONFIG!$B$5,A224&gt;CONFIG!$B$5+91),"FUERA DE HORIZONTE","OK"))))),"MONTO INVALIDO")</f>
        <v/>
      </c>
    </row>
    <row r="225" spans="1:6" x14ac:dyDescent="0.45">
      <c r="A225" s="4"/>
      <c r="B225" s="8"/>
      <c r="C225" s="8"/>
      <c r="D225" s="7"/>
      <c r="E225" s="8"/>
      <c r="F225" s="12" t="str">
        <f>IFERROR(IF(COUNTA(A225:E225)=0,"",IF(OR(A225="",B225="",C225="",D225=""),"FALTA CAMPO",IF(AND(B225&lt;&gt;"ENTRADA",B225&lt;&gt;"SALIDA"),"DIRECCION INVALIDA",IF(OR(D225&lt;=0,ABS(D225)&gt;1000000000,ROUND(D225,2)&lt;&gt;D225),"MONTO INVALIDO",IF(OR(A225&lt;DATE(1900,1,1),A225&gt;DATE(2100,12,31),A225&lt;=CONFIG!$B$5,A225&gt;CONFIG!$B$5+91),"FUERA DE HORIZONTE","OK"))))),"MONTO INVALIDO")</f>
        <v/>
      </c>
    </row>
    <row r="226" spans="1:6" x14ac:dyDescent="0.45">
      <c r="A226" s="4"/>
      <c r="B226" s="8"/>
      <c r="C226" s="8"/>
      <c r="D226" s="7"/>
      <c r="E226" s="8"/>
      <c r="F226" s="12" t="str">
        <f>IFERROR(IF(COUNTA(A226:E226)=0,"",IF(OR(A226="",B226="",C226="",D226=""),"FALTA CAMPO",IF(AND(B226&lt;&gt;"ENTRADA",B226&lt;&gt;"SALIDA"),"DIRECCION INVALIDA",IF(OR(D226&lt;=0,ABS(D226)&gt;1000000000,ROUND(D226,2)&lt;&gt;D226),"MONTO INVALIDO",IF(OR(A226&lt;DATE(1900,1,1),A226&gt;DATE(2100,12,31),A226&lt;=CONFIG!$B$5,A226&gt;CONFIG!$B$5+91),"FUERA DE HORIZONTE","OK"))))),"MONTO INVALIDO")</f>
        <v/>
      </c>
    </row>
    <row r="227" spans="1:6" x14ac:dyDescent="0.45">
      <c r="A227" s="4"/>
      <c r="B227" s="8"/>
      <c r="C227" s="8"/>
      <c r="D227" s="7"/>
      <c r="E227" s="8"/>
      <c r="F227" s="12" t="str">
        <f>IFERROR(IF(COUNTA(A227:E227)=0,"",IF(OR(A227="",B227="",C227="",D227=""),"FALTA CAMPO",IF(AND(B227&lt;&gt;"ENTRADA",B227&lt;&gt;"SALIDA"),"DIRECCION INVALIDA",IF(OR(D227&lt;=0,ABS(D227)&gt;1000000000,ROUND(D227,2)&lt;&gt;D227),"MONTO INVALIDO",IF(OR(A227&lt;DATE(1900,1,1),A227&gt;DATE(2100,12,31),A227&lt;=CONFIG!$B$5,A227&gt;CONFIG!$B$5+91),"FUERA DE HORIZONTE","OK"))))),"MONTO INVALIDO")</f>
        <v/>
      </c>
    </row>
    <row r="228" spans="1:6" x14ac:dyDescent="0.45">
      <c r="A228" s="4"/>
      <c r="B228" s="8"/>
      <c r="C228" s="8"/>
      <c r="D228" s="7"/>
      <c r="E228" s="8"/>
      <c r="F228" s="12" t="str">
        <f>IFERROR(IF(COUNTA(A228:E228)=0,"",IF(OR(A228="",B228="",C228="",D228=""),"FALTA CAMPO",IF(AND(B228&lt;&gt;"ENTRADA",B228&lt;&gt;"SALIDA"),"DIRECCION INVALIDA",IF(OR(D228&lt;=0,ABS(D228)&gt;1000000000,ROUND(D228,2)&lt;&gt;D228),"MONTO INVALIDO",IF(OR(A228&lt;DATE(1900,1,1),A228&gt;DATE(2100,12,31),A228&lt;=CONFIG!$B$5,A228&gt;CONFIG!$B$5+91),"FUERA DE HORIZONTE","OK"))))),"MONTO INVALIDO")</f>
        <v/>
      </c>
    </row>
    <row r="229" spans="1:6" x14ac:dyDescent="0.45">
      <c r="A229" s="4"/>
      <c r="B229" s="8"/>
      <c r="C229" s="8"/>
      <c r="D229" s="7"/>
      <c r="E229" s="8"/>
      <c r="F229" s="12" t="str">
        <f>IFERROR(IF(COUNTA(A229:E229)=0,"",IF(OR(A229="",B229="",C229="",D229=""),"FALTA CAMPO",IF(AND(B229&lt;&gt;"ENTRADA",B229&lt;&gt;"SALIDA"),"DIRECCION INVALIDA",IF(OR(D229&lt;=0,ABS(D229)&gt;1000000000,ROUND(D229,2)&lt;&gt;D229),"MONTO INVALIDO",IF(OR(A229&lt;DATE(1900,1,1),A229&gt;DATE(2100,12,31),A229&lt;=CONFIG!$B$5,A229&gt;CONFIG!$B$5+91),"FUERA DE HORIZONTE","OK"))))),"MONTO INVALIDO")</f>
        <v/>
      </c>
    </row>
    <row r="230" spans="1:6" x14ac:dyDescent="0.45">
      <c r="A230" s="4"/>
      <c r="B230" s="8"/>
      <c r="C230" s="8"/>
      <c r="D230" s="7"/>
      <c r="E230" s="8"/>
      <c r="F230" s="12" t="str">
        <f>IFERROR(IF(COUNTA(A230:E230)=0,"",IF(OR(A230="",B230="",C230="",D230=""),"FALTA CAMPO",IF(AND(B230&lt;&gt;"ENTRADA",B230&lt;&gt;"SALIDA"),"DIRECCION INVALIDA",IF(OR(D230&lt;=0,ABS(D230)&gt;1000000000,ROUND(D230,2)&lt;&gt;D230),"MONTO INVALIDO",IF(OR(A230&lt;DATE(1900,1,1),A230&gt;DATE(2100,12,31),A230&lt;=CONFIG!$B$5,A230&gt;CONFIG!$B$5+91),"FUERA DE HORIZONTE","OK"))))),"MONTO INVALIDO")</f>
        <v/>
      </c>
    </row>
    <row r="231" spans="1:6" x14ac:dyDescent="0.45">
      <c r="A231" s="4"/>
      <c r="B231" s="8"/>
      <c r="C231" s="8"/>
      <c r="D231" s="7"/>
      <c r="E231" s="8"/>
      <c r="F231" s="12" t="str">
        <f>IFERROR(IF(COUNTA(A231:E231)=0,"",IF(OR(A231="",B231="",C231="",D231=""),"FALTA CAMPO",IF(AND(B231&lt;&gt;"ENTRADA",B231&lt;&gt;"SALIDA"),"DIRECCION INVALIDA",IF(OR(D231&lt;=0,ABS(D231)&gt;1000000000,ROUND(D231,2)&lt;&gt;D231),"MONTO INVALIDO",IF(OR(A231&lt;DATE(1900,1,1),A231&gt;DATE(2100,12,31),A231&lt;=CONFIG!$B$5,A231&gt;CONFIG!$B$5+91),"FUERA DE HORIZONTE","OK"))))),"MONTO INVALIDO")</f>
        <v/>
      </c>
    </row>
    <row r="232" spans="1:6" x14ac:dyDescent="0.45">
      <c r="A232" s="4"/>
      <c r="B232" s="8"/>
      <c r="C232" s="8"/>
      <c r="D232" s="7"/>
      <c r="E232" s="8"/>
      <c r="F232" s="12" t="str">
        <f>IFERROR(IF(COUNTA(A232:E232)=0,"",IF(OR(A232="",B232="",C232="",D232=""),"FALTA CAMPO",IF(AND(B232&lt;&gt;"ENTRADA",B232&lt;&gt;"SALIDA"),"DIRECCION INVALIDA",IF(OR(D232&lt;=0,ABS(D232)&gt;1000000000,ROUND(D232,2)&lt;&gt;D232),"MONTO INVALIDO",IF(OR(A232&lt;DATE(1900,1,1),A232&gt;DATE(2100,12,31),A232&lt;=CONFIG!$B$5,A232&gt;CONFIG!$B$5+91),"FUERA DE HORIZONTE","OK"))))),"MONTO INVALIDO")</f>
        <v/>
      </c>
    </row>
    <row r="233" spans="1:6" x14ac:dyDescent="0.45">
      <c r="A233" s="4"/>
      <c r="B233" s="8"/>
      <c r="C233" s="8"/>
      <c r="D233" s="7"/>
      <c r="E233" s="8"/>
      <c r="F233" s="12" t="str">
        <f>IFERROR(IF(COUNTA(A233:E233)=0,"",IF(OR(A233="",B233="",C233="",D233=""),"FALTA CAMPO",IF(AND(B233&lt;&gt;"ENTRADA",B233&lt;&gt;"SALIDA"),"DIRECCION INVALIDA",IF(OR(D233&lt;=0,ABS(D233)&gt;1000000000,ROUND(D233,2)&lt;&gt;D233),"MONTO INVALIDO",IF(OR(A233&lt;DATE(1900,1,1),A233&gt;DATE(2100,12,31),A233&lt;=CONFIG!$B$5,A233&gt;CONFIG!$B$5+91),"FUERA DE HORIZONTE","OK"))))),"MONTO INVALIDO")</f>
        <v/>
      </c>
    </row>
    <row r="234" spans="1:6" x14ac:dyDescent="0.45">
      <c r="A234" s="4"/>
      <c r="B234" s="8"/>
      <c r="C234" s="8"/>
      <c r="D234" s="7"/>
      <c r="E234" s="8"/>
      <c r="F234" s="12" t="str">
        <f>IFERROR(IF(COUNTA(A234:E234)=0,"",IF(OR(A234="",B234="",C234="",D234=""),"FALTA CAMPO",IF(AND(B234&lt;&gt;"ENTRADA",B234&lt;&gt;"SALIDA"),"DIRECCION INVALIDA",IF(OR(D234&lt;=0,ABS(D234)&gt;1000000000,ROUND(D234,2)&lt;&gt;D234),"MONTO INVALIDO",IF(OR(A234&lt;DATE(1900,1,1),A234&gt;DATE(2100,12,31),A234&lt;=CONFIG!$B$5,A234&gt;CONFIG!$B$5+91),"FUERA DE HORIZONTE","OK"))))),"MONTO INVALIDO")</f>
        <v/>
      </c>
    </row>
    <row r="235" spans="1:6" x14ac:dyDescent="0.45">
      <c r="A235" s="4"/>
      <c r="B235" s="8"/>
      <c r="C235" s="8"/>
      <c r="D235" s="7"/>
      <c r="E235" s="8"/>
      <c r="F235" s="12" t="str">
        <f>IFERROR(IF(COUNTA(A235:E235)=0,"",IF(OR(A235="",B235="",C235="",D235=""),"FALTA CAMPO",IF(AND(B235&lt;&gt;"ENTRADA",B235&lt;&gt;"SALIDA"),"DIRECCION INVALIDA",IF(OR(D235&lt;=0,ABS(D235)&gt;1000000000,ROUND(D235,2)&lt;&gt;D235),"MONTO INVALIDO",IF(OR(A235&lt;DATE(1900,1,1),A235&gt;DATE(2100,12,31),A235&lt;=CONFIG!$B$5,A235&gt;CONFIG!$B$5+91),"FUERA DE HORIZONTE","OK"))))),"MONTO INVALIDO")</f>
        <v/>
      </c>
    </row>
    <row r="236" spans="1:6" x14ac:dyDescent="0.45">
      <c r="A236" s="4"/>
      <c r="B236" s="8"/>
      <c r="C236" s="8"/>
      <c r="D236" s="7"/>
      <c r="E236" s="8"/>
      <c r="F236" s="12" t="str">
        <f>IFERROR(IF(COUNTA(A236:E236)=0,"",IF(OR(A236="",B236="",C236="",D236=""),"FALTA CAMPO",IF(AND(B236&lt;&gt;"ENTRADA",B236&lt;&gt;"SALIDA"),"DIRECCION INVALIDA",IF(OR(D236&lt;=0,ABS(D236)&gt;1000000000,ROUND(D236,2)&lt;&gt;D236),"MONTO INVALIDO",IF(OR(A236&lt;DATE(1900,1,1),A236&gt;DATE(2100,12,31),A236&lt;=CONFIG!$B$5,A236&gt;CONFIG!$B$5+91),"FUERA DE HORIZONTE","OK"))))),"MONTO INVALIDO")</f>
        <v/>
      </c>
    </row>
    <row r="237" spans="1:6" x14ac:dyDescent="0.45">
      <c r="A237" s="4"/>
      <c r="B237" s="8"/>
      <c r="C237" s="8"/>
      <c r="D237" s="7"/>
      <c r="E237" s="8"/>
      <c r="F237" s="12" t="str">
        <f>IFERROR(IF(COUNTA(A237:E237)=0,"",IF(OR(A237="",B237="",C237="",D237=""),"FALTA CAMPO",IF(AND(B237&lt;&gt;"ENTRADA",B237&lt;&gt;"SALIDA"),"DIRECCION INVALIDA",IF(OR(D237&lt;=0,ABS(D237)&gt;1000000000,ROUND(D237,2)&lt;&gt;D237),"MONTO INVALIDO",IF(OR(A237&lt;DATE(1900,1,1),A237&gt;DATE(2100,12,31),A237&lt;=CONFIG!$B$5,A237&gt;CONFIG!$B$5+91),"FUERA DE HORIZONTE","OK"))))),"MONTO INVALIDO")</f>
        <v/>
      </c>
    </row>
    <row r="238" spans="1:6" x14ac:dyDescent="0.45">
      <c r="A238" s="4"/>
      <c r="B238" s="8"/>
      <c r="C238" s="8"/>
      <c r="D238" s="7"/>
      <c r="E238" s="8"/>
      <c r="F238" s="12" t="str">
        <f>IFERROR(IF(COUNTA(A238:E238)=0,"",IF(OR(A238="",B238="",C238="",D238=""),"FALTA CAMPO",IF(AND(B238&lt;&gt;"ENTRADA",B238&lt;&gt;"SALIDA"),"DIRECCION INVALIDA",IF(OR(D238&lt;=0,ABS(D238)&gt;1000000000,ROUND(D238,2)&lt;&gt;D238),"MONTO INVALIDO",IF(OR(A238&lt;DATE(1900,1,1),A238&gt;DATE(2100,12,31),A238&lt;=CONFIG!$B$5,A238&gt;CONFIG!$B$5+91),"FUERA DE HORIZONTE","OK"))))),"MONTO INVALIDO")</f>
        <v/>
      </c>
    </row>
    <row r="239" spans="1:6" x14ac:dyDescent="0.45">
      <c r="A239" s="4"/>
      <c r="B239" s="8"/>
      <c r="C239" s="8"/>
      <c r="D239" s="7"/>
      <c r="E239" s="8"/>
      <c r="F239" s="12" t="str">
        <f>IFERROR(IF(COUNTA(A239:E239)=0,"",IF(OR(A239="",B239="",C239="",D239=""),"FALTA CAMPO",IF(AND(B239&lt;&gt;"ENTRADA",B239&lt;&gt;"SALIDA"),"DIRECCION INVALIDA",IF(OR(D239&lt;=0,ABS(D239)&gt;1000000000,ROUND(D239,2)&lt;&gt;D239),"MONTO INVALIDO",IF(OR(A239&lt;DATE(1900,1,1),A239&gt;DATE(2100,12,31),A239&lt;=CONFIG!$B$5,A239&gt;CONFIG!$B$5+91),"FUERA DE HORIZONTE","OK"))))),"MONTO INVALIDO")</f>
        <v/>
      </c>
    </row>
    <row r="240" spans="1:6" x14ac:dyDescent="0.45">
      <c r="A240" s="4"/>
      <c r="B240" s="8"/>
      <c r="C240" s="8"/>
      <c r="D240" s="7"/>
      <c r="E240" s="8"/>
      <c r="F240" s="12" t="str">
        <f>IFERROR(IF(COUNTA(A240:E240)=0,"",IF(OR(A240="",B240="",C240="",D240=""),"FALTA CAMPO",IF(AND(B240&lt;&gt;"ENTRADA",B240&lt;&gt;"SALIDA"),"DIRECCION INVALIDA",IF(OR(D240&lt;=0,ABS(D240)&gt;1000000000,ROUND(D240,2)&lt;&gt;D240),"MONTO INVALIDO",IF(OR(A240&lt;DATE(1900,1,1),A240&gt;DATE(2100,12,31),A240&lt;=CONFIG!$B$5,A240&gt;CONFIG!$B$5+91),"FUERA DE HORIZONTE","OK"))))),"MONTO INVALIDO")</f>
        <v/>
      </c>
    </row>
    <row r="241" spans="1:6" x14ac:dyDescent="0.45">
      <c r="A241" s="4"/>
      <c r="B241" s="8"/>
      <c r="C241" s="8"/>
      <c r="D241" s="7"/>
      <c r="E241" s="8"/>
      <c r="F241" s="12" t="str">
        <f>IFERROR(IF(COUNTA(A241:E241)=0,"",IF(OR(A241="",B241="",C241="",D241=""),"FALTA CAMPO",IF(AND(B241&lt;&gt;"ENTRADA",B241&lt;&gt;"SALIDA"),"DIRECCION INVALIDA",IF(OR(D241&lt;=0,ABS(D241)&gt;1000000000,ROUND(D241,2)&lt;&gt;D241),"MONTO INVALIDO",IF(OR(A241&lt;DATE(1900,1,1),A241&gt;DATE(2100,12,31),A241&lt;=CONFIG!$B$5,A241&gt;CONFIG!$B$5+91),"FUERA DE HORIZONTE","OK"))))),"MONTO INVALIDO")</f>
        <v/>
      </c>
    </row>
    <row r="242" spans="1:6" x14ac:dyDescent="0.45">
      <c r="A242" s="4"/>
      <c r="B242" s="8"/>
      <c r="C242" s="8"/>
      <c r="D242" s="7"/>
      <c r="E242" s="8"/>
      <c r="F242" s="12" t="str">
        <f>IFERROR(IF(COUNTA(A242:E242)=0,"",IF(OR(A242="",B242="",C242="",D242=""),"FALTA CAMPO",IF(AND(B242&lt;&gt;"ENTRADA",B242&lt;&gt;"SALIDA"),"DIRECCION INVALIDA",IF(OR(D242&lt;=0,ABS(D242)&gt;1000000000,ROUND(D242,2)&lt;&gt;D242),"MONTO INVALIDO",IF(OR(A242&lt;DATE(1900,1,1),A242&gt;DATE(2100,12,31),A242&lt;=CONFIG!$B$5,A242&gt;CONFIG!$B$5+91),"FUERA DE HORIZONTE","OK"))))),"MONTO INVALIDO")</f>
        <v/>
      </c>
    </row>
    <row r="243" spans="1:6" x14ac:dyDescent="0.45">
      <c r="A243" s="4"/>
      <c r="B243" s="8"/>
      <c r="C243" s="8"/>
      <c r="D243" s="7"/>
      <c r="E243" s="8"/>
      <c r="F243" s="12" t="str">
        <f>IFERROR(IF(COUNTA(A243:E243)=0,"",IF(OR(A243="",B243="",C243="",D243=""),"FALTA CAMPO",IF(AND(B243&lt;&gt;"ENTRADA",B243&lt;&gt;"SALIDA"),"DIRECCION INVALIDA",IF(OR(D243&lt;=0,ABS(D243)&gt;1000000000,ROUND(D243,2)&lt;&gt;D243),"MONTO INVALIDO",IF(OR(A243&lt;DATE(1900,1,1),A243&gt;DATE(2100,12,31),A243&lt;=CONFIG!$B$5,A243&gt;CONFIG!$B$5+91),"FUERA DE HORIZONTE","OK"))))),"MONTO INVALIDO")</f>
        <v/>
      </c>
    </row>
    <row r="244" spans="1:6" x14ac:dyDescent="0.45">
      <c r="A244" s="4"/>
      <c r="B244" s="8"/>
      <c r="C244" s="8"/>
      <c r="D244" s="7"/>
      <c r="E244" s="8"/>
      <c r="F244" s="12" t="str">
        <f>IFERROR(IF(COUNTA(A244:E244)=0,"",IF(OR(A244="",B244="",C244="",D244=""),"FALTA CAMPO",IF(AND(B244&lt;&gt;"ENTRADA",B244&lt;&gt;"SALIDA"),"DIRECCION INVALIDA",IF(OR(D244&lt;=0,ABS(D244)&gt;1000000000,ROUND(D244,2)&lt;&gt;D244),"MONTO INVALIDO",IF(OR(A244&lt;DATE(1900,1,1),A244&gt;DATE(2100,12,31),A244&lt;=CONFIG!$B$5,A244&gt;CONFIG!$B$5+91),"FUERA DE HORIZONTE","OK"))))),"MONTO INVALIDO")</f>
        <v/>
      </c>
    </row>
    <row r="245" spans="1:6" x14ac:dyDescent="0.45">
      <c r="A245" s="4"/>
      <c r="B245" s="8"/>
      <c r="C245" s="8"/>
      <c r="D245" s="7"/>
      <c r="E245" s="8"/>
      <c r="F245" s="12" t="str">
        <f>IFERROR(IF(COUNTA(A245:E245)=0,"",IF(OR(A245="",B245="",C245="",D245=""),"FALTA CAMPO",IF(AND(B245&lt;&gt;"ENTRADA",B245&lt;&gt;"SALIDA"),"DIRECCION INVALIDA",IF(OR(D245&lt;=0,ABS(D245)&gt;1000000000,ROUND(D245,2)&lt;&gt;D245),"MONTO INVALIDO",IF(OR(A245&lt;DATE(1900,1,1),A245&gt;DATE(2100,12,31),A245&lt;=CONFIG!$B$5,A245&gt;CONFIG!$B$5+91),"FUERA DE HORIZONTE","OK"))))),"MONTO INVALIDO")</f>
        <v/>
      </c>
    </row>
    <row r="246" spans="1:6" x14ac:dyDescent="0.45">
      <c r="A246" s="4"/>
      <c r="B246" s="8"/>
      <c r="C246" s="8"/>
      <c r="D246" s="7"/>
      <c r="E246" s="8"/>
      <c r="F246" s="12" t="str">
        <f>IFERROR(IF(COUNTA(A246:E246)=0,"",IF(OR(A246="",B246="",C246="",D246=""),"FALTA CAMPO",IF(AND(B246&lt;&gt;"ENTRADA",B246&lt;&gt;"SALIDA"),"DIRECCION INVALIDA",IF(OR(D246&lt;=0,ABS(D246)&gt;1000000000,ROUND(D246,2)&lt;&gt;D246),"MONTO INVALIDO",IF(OR(A246&lt;DATE(1900,1,1),A246&gt;DATE(2100,12,31),A246&lt;=CONFIG!$B$5,A246&gt;CONFIG!$B$5+91),"FUERA DE HORIZONTE","OK"))))),"MONTO INVALIDO")</f>
        <v/>
      </c>
    </row>
    <row r="247" spans="1:6" x14ac:dyDescent="0.45">
      <c r="A247" s="4"/>
      <c r="B247" s="8"/>
      <c r="C247" s="8"/>
      <c r="D247" s="7"/>
      <c r="E247" s="8"/>
      <c r="F247" s="12" t="str">
        <f>IFERROR(IF(COUNTA(A247:E247)=0,"",IF(OR(A247="",B247="",C247="",D247=""),"FALTA CAMPO",IF(AND(B247&lt;&gt;"ENTRADA",B247&lt;&gt;"SALIDA"),"DIRECCION INVALIDA",IF(OR(D247&lt;=0,ABS(D247)&gt;1000000000,ROUND(D247,2)&lt;&gt;D247),"MONTO INVALIDO",IF(OR(A247&lt;DATE(1900,1,1),A247&gt;DATE(2100,12,31),A247&lt;=CONFIG!$B$5,A247&gt;CONFIG!$B$5+91),"FUERA DE HORIZONTE","OK"))))),"MONTO INVALIDO")</f>
        <v/>
      </c>
    </row>
    <row r="248" spans="1:6" x14ac:dyDescent="0.45">
      <c r="A248" s="4"/>
      <c r="B248" s="8"/>
      <c r="C248" s="8"/>
      <c r="D248" s="7"/>
      <c r="E248" s="8"/>
      <c r="F248" s="12" t="str">
        <f>IFERROR(IF(COUNTA(A248:E248)=0,"",IF(OR(A248="",B248="",C248="",D248=""),"FALTA CAMPO",IF(AND(B248&lt;&gt;"ENTRADA",B248&lt;&gt;"SALIDA"),"DIRECCION INVALIDA",IF(OR(D248&lt;=0,ABS(D248)&gt;1000000000,ROUND(D248,2)&lt;&gt;D248),"MONTO INVALIDO",IF(OR(A248&lt;DATE(1900,1,1),A248&gt;DATE(2100,12,31),A248&lt;=CONFIG!$B$5,A248&gt;CONFIG!$B$5+91),"FUERA DE HORIZONTE","OK"))))),"MONTO INVALIDO")</f>
        <v/>
      </c>
    </row>
    <row r="249" spans="1:6" x14ac:dyDescent="0.45">
      <c r="A249" s="4"/>
      <c r="B249" s="8"/>
      <c r="C249" s="8"/>
      <c r="D249" s="7"/>
      <c r="E249" s="8"/>
      <c r="F249" s="12" t="str">
        <f>IFERROR(IF(COUNTA(A249:E249)=0,"",IF(OR(A249="",B249="",C249="",D249=""),"FALTA CAMPO",IF(AND(B249&lt;&gt;"ENTRADA",B249&lt;&gt;"SALIDA"),"DIRECCION INVALIDA",IF(OR(D249&lt;=0,ABS(D249)&gt;1000000000,ROUND(D249,2)&lt;&gt;D249),"MONTO INVALIDO",IF(OR(A249&lt;DATE(1900,1,1),A249&gt;DATE(2100,12,31),A249&lt;=CONFIG!$B$5,A249&gt;CONFIG!$B$5+91),"FUERA DE HORIZONTE","OK"))))),"MONTO INVALIDO")</f>
        <v/>
      </c>
    </row>
    <row r="250" spans="1:6" x14ac:dyDescent="0.45">
      <c r="A250" s="4"/>
      <c r="B250" s="8"/>
      <c r="C250" s="8"/>
      <c r="D250" s="7"/>
      <c r="E250" s="8"/>
      <c r="F250" s="12" t="str">
        <f>IFERROR(IF(COUNTA(A250:E250)=0,"",IF(OR(A250="",B250="",C250="",D250=""),"FALTA CAMPO",IF(AND(B250&lt;&gt;"ENTRADA",B250&lt;&gt;"SALIDA"),"DIRECCION INVALIDA",IF(OR(D250&lt;=0,ABS(D250)&gt;1000000000,ROUND(D250,2)&lt;&gt;D250),"MONTO INVALIDO",IF(OR(A250&lt;DATE(1900,1,1),A250&gt;DATE(2100,12,31),A250&lt;=CONFIG!$B$5,A250&gt;CONFIG!$B$5+91),"FUERA DE HORIZONTE","OK"))))),"MONTO INVALIDO")</f>
        <v/>
      </c>
    </row>
    <row r="251" spans="1:6" x14ac:dyDescent="0.45">
      <c r="A251" s="4"/>
      <c r="B251" s="8"/>
      <c r="C251" s="8"/>
      <c r="D251" s="7"/>
      <c r="E251" s="8"/>
      <c r="F251" s="12" t="str">
        <f>IFERROR(IF(COUNTA(A251:E251)=0,"",IF(OR(A251="",B251="",C251="",D251=""),"FALTA CAMPO",IF(AND(B251&lt;&gt;"ENTRADA",B251&lt;&gt;"SALIDA"),"DIRECCION INVALIDA",IF(OR(D251&lt;=0,ABS(D251)&gt;1000000000,ROUND(D251,2)&lt;&gt;D251),"MONTO INVALIDO",IF(OR(A251&lt;DATE(1900,1,1),A251&gt;DATE(2100,12,31),A251&lt;=CONFIG!$B$5,A251&gt;CONFIG!$B$5+91),"FUERA DE HORIZONTE","OK"))))),"MONTO INVALIDO")</f>
        <v/>
      </c>
    </row>
    <row r="252" spans="1:6" x14ac:dyDescent="0.45">
      <c r="A252" s="4"/>
      <c r="B252" s="8"/>
      <c r="C252" s="8"/>
      <c r="D252" s="7"/>
      <c r="E252" s="8"/>
      <c r="F252" s="12" t="str">
        <f>IFERROR(IF(COUNTA(A252:E252)=0,"",IF(OR(A252="",B252="",C252="",D252=""),"FALTA CAMPO",IF(AND(B252&lt;&gt;"ENTRADA",B252&lt;&gt;"SALIDA"),"DIRECCION INVALIDA",IF(OR(D252&lt;=0,ABS(D252)&gt;1000000000,ROUND(D252,2)&lt;&gt;D252),"MONTO INVALIDO",IF(OR(A252&lt;DATE(1900,1,1),A252&gt;DATE(2100,12,31),A252&lt;=CONFIG!$B$5,A252&gt;CONFIG!$B$5+91),"FUERA DE HORIZONTE","OK"))))),"MONTO INVALIDO")</f>
        <v/>
      </c>
    </row>
    <row r="253" spans="1:6" x14ac:dyDescent="0.45">
      <c r="A253" s="4"/>
      <c r="B253" s="8"/>
      <c r="C253" s="8"/>
      <c r="D253" s="7"/>
      <c r="E253" s="8"/>
      <c r="F253" s="12" t="str">
        <f>IFERROR(IF(COUNTA(A253:E253)=0,"",IF(OR(A253="",B253="",C253="",D253=""),"FALTA CAMPO",IF(AND(B253&lt;&gt;"ENTRADA",B253&lt;&gt;"SALIDA"),"DIRECCION INVALIDA",IF(OR(D253&lt;=0,ABS(D253)&gt;1000000000,ROUND(D253,2)&lt;&gt;D253),"MONTO INVALIDO",IF(OR(A253&lt;DATE(1900,1,1),A253&gt;DATE(2100,12,31),A253&lt;=CONFIG!$B$5,A253&gt;CONFIG!$B$5+91),"FUERA DE HORIZONTE","OK"))))),"MONTO INVALIDO")</f>
        <v/>
      </c>
    </row>
    <row r="254" spans="1:6" x14ac:dyDescent="0.45">
      <c r="A254" s="4"/>
      <c r="B254" s="8"/>
      <c r="C254" s="8"/>
      <c r="D254" s="7"/>
      <c r="E254" s="8"/>
      <c r="F254" s="12" t="str">
        <f>IFERROR(IF(COUNTA(A254:E254)=0,"",IF(OR(A254="",B254="",C254="",D254=""),"FALTA CAMPO",IF(AND(B254&lt;&gt;"ENTRADA",B254&lt;&gt;"SALIDA"),"DIRECCION INVALIDA",IF(OR(D254&lt;=0,ABS(D254)&gt;1000000000,ROUND(D254,2)&lt;&gt;D254),"MONTO INVALIDO",IF(OR(A254&lt;DATE(1900,1,1),A254&gt;DATE(2100,12,31),A254&lt;=CONFIG!$B$5,A254&gt;CONFIG!$B$5+91),"FUERA DE HORIZONTE","OK"))))),"MONTO INVALIDO")</f>
        <v/>
      </c>
    </row>
    <row r="255" spans="1:6" x14ac:dyDescent="0.45">
      <c r="A255" s="4"/>
      <c r="B255" s="8"/>
      <c r="C255" s="8"/>
      <c r="D255" s="7"/>
      <c r="E255" s="8"/>
      <c r="F255" s="12" t="str">
        <f>IFERROR(IF(COUNTA(A255:E255)=0,"",IF(OR(A255="",B255="",C255="",D255=""),"FALTA CAMPO",IF(AND(B255&lt;&gt;"ENTRADA",B255&lt;&gt;"SALIDA"),"DIRECCION INVALIDA",IF(OR(D255&lt;=0,ABS(D255)&gt;1000000000,ROUND(D255,2)&lt;&gt;D255),"MONTO INVALIDO",IF(OR(A255&lt;DATE(1900,1,1),A255&gt;DATE(2100,12,31),A255&lt;=CONFIG!$B$5,A255&gt;CONFIG!$B$5+91),"FUERA DE HORIZONTE","OK"))))),"MONTO INVALIDO")</f>
        <v/>
      </c>
    </row>
  </sheetData>
  <sheetProtection sheet="1" objects="1" scenarios="1" formatColumns="0" sort="0" autoFilter="0"/>
  <mergeCells count="2">
    <mergeCell ref="A1:F1"/>
    <mergeCell ref="A2:F2"/>
  </mergeCells>
  <conditionalFormatting sqref="F6:F255">
    <cfRule type="notContainsText" dxfId="2" priority="1" operator="notContains" text="OK">
      <formula>ISERROR(SEARCH("OK",F6))</formula>
    </cfRule>
  </conditionalFormatting>
  <dataValidations count="3">
    <dataValidation type="list" allowBlank="1" showInputMessage="1" showErrorMessage="1" sqref="B6:B255" xr:uid="{00000000-0002-0000-0500-000000000000}">
      <formula1>"ENTRADA,SALIDA"</formula1>
    </dataValidation>
    <dataValidation type="date" allowBlank="1" showInputMessage="1" showErrorMessage="1" sqref="A6:A255" xr:uid="{00000000-0002-0000-0500-000001000000}">
      <formula1>0</formula1>
      <formula2>73415</formula2>
    </dataValidation>
    <dataValidation type="decimal" allowBlank="1" showInputMessage="1" showErrorMessage="1" sqref="D6:D255" xr:uid="{00000000-0002-0000-0500-000002000000}">
      <formula1>0.01</formula1>
      <formula2>1000000000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B68"/>
    <pageSetUpPr fitToPage="1"/>
  </sheetPr>
  <dimension ref="A1:S1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outlineLevelCol="1" x14ac:dyDescent="0.45"/>
  <cols>
    <col min="1" max="1" width="18.73046875" customWidth="1"/>
    <col min="2" max="2" width="27.73046875" customWidth="1"/>
    <col min="3" max="12" width="0" hidden="1" customWidth="1" outlineLevel="1"/>
    <col min="13" max="13" width="19.73046875" customWidth="1"/>
    <col min="14" max="14" width="17.73046875" customWidth="1"/>
    <col min="15" max="15" width="15.73046875" customWidth="1"/>
    <col min="16" max="16" width="20.73046875" customWidth="1"/>
    <col min="17" max="17" width="24.73046875" customWidth="1"/>
    <col min="18" max="19" width="50.73046875" customWidth="1"/>
  </cols>
  <sheetData>
    <row r="1" spans="1:19" ht="30" customHeight="1" x14ac:dyDescent="0.45">
      <c r="A1" s="21" t="s">
        <v>169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32" customHeight="1" x14ac:dyDescent="0.45">
      <c r="A2" s="22" t="s">
        <v>170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x14ac:dyDescent="0.45">
      <c r="A5" t="s">
        <v>43</v>
      </c>
      <c r="B5" t="s">
        <v>44</v>
      </c>
      <c r="C5" t="s">
        <v>48</v>
      </c>
      <c r="D5" t="s">
        <v>49</v>
      </c>
      <c r="E5" t="s">
        <v>58</v>
      </c>
      <c r="F5" t="s">
        <v>61</v>
      </c>
      <c r="G5" t="s">
        <v>171</v>
      </c>
      <c r="H5" t="s">
        <v>141</v>
      </c>
      <c r="I5" t="s">
        <v>143</v>
      </c>
      <c r="J5" t="s">
        <v>142</v>
      </c>
      <c r="K5" t="s">
        <v>144</v>
      </c>
      <c r="L5" t="s">
        <v>145</v>
      </c>
      <c r="M5" t="s">
        <v>146</v>
      </c>
      <c r="N5" t="s">
        <v>139</v>
      </c>
      <c r="O5" t="s">
        <v>140</v>
      </c>
      <c r="P5" t="s">
        <v>148</v>
      </c>
      <c r="Q5" t="s">
        <v>172</v>
      </c>
      <c r="R5" t="s">
        <v>173</v>
      </c>
      <c r="S5" t="s">
        <v>174</v>
      </c>
    </row>
    <row r="6" spans="1:19" ht="42" customHeight="1" x14ac:dyDescent="0.45">
      <c r="A6" s="12" t="str">
        <f>IF(CATALOGO!A6="","",CATALOGO!A6)</f>
        <v>PIL-NEGRO</v>
      </c>
      <c r="B6" s="12" t="str">
        <f>IF(A6="","",CATALOGO!B6)</f>
        <v>Calcetín Pilates Grip</v>
      </c>
      <c r="C6" s="12" t="str">
        <f>IF(A6="","",CATALOGO!F6)</f>
        <v>ACTIVO</v>
      </c>
      <c r="D6" s="11">
        <f>IF(A6="","",CATALOGO!G6)</f>
        <v>299</v>
      </c>
      <c r="E6" s="11">
        <f>IF(A6="","",CATALOGO!P6)</f>
        <v>104</v>
      </c>
      <c r="F6" s="11">
        <f>IF(A6="","",CATALOGO!S6)</f>
        <v>221.28</v>
      </c>
      <c r="G6" s="15">
        <f>IF(A6="","",CATALOGO!R6)</f>
        <v>0.5721739130434782</v>
      </c>
      <c r="H6" s="12" t="str">
        <f>IF(A6="","",IF(COUNTIF(STOCK!$A$6:$A$105,A6)&lt;&gt;1,"SIN STOCK UNICO",INDEX(STOCK!$K$6:$K$105,MATCH(A6,STOCK!$A$6:$A$105,0))))</f>
        <v>ELEGIBLE</v>
      </c>
      <c r="I6" s="12">
        <f>IF(OR(A6="",COUNTIF(STOCK!$A$6:$A$105,A6)&lt;&gt;1),"",IF(INDEX(STOCK!$M$6:$M$105,MATCH(A6,STOCK!$A$6:$A$105,0))="","",INDEX(STOCK!$M$6:$M$105,MATCH(A6,STOCK!$A$6:$A$105,0))))</f>
        <v>2</v>
      </c>
      <c r="J6" s="14">
        <f>IF(OR(A6="",COUNTIF(STOCK!$A$6:$A$105,A6)&lt;&gt;1),"",IF(INDEX(STOCK!$L$6:$L$105,MATCH(A6,STOCK!$A$6:$A$105,0))="","",INDEX(STOCK!$L$6:$L$105,MATCH(A6,STOCK!$A$6:$A$105,0))))</f>
        <v>10</v>
      </c>
      <c r="K6" s="14">
        <f>IF(OR(A6="",COUNTIF(STOCK!$A$6:$A$105,A6)&lt;&gt;1),"",IF(INDEX(STOCK!$N$6:$N$105,MATCH(A6,STOCK!$A$6:$A$105,0))="","",INDEX(STOCK!$N$6:$N$105,MATCH(A6,STOCK!$A$6:$A$105,0))))</f>
        <v>0</v>
      </c>
      <c r="L6" s="14">
        <f>IF(OR(A6="",COUNTIF(STOCK!$A$6:$A$105,A6)&lt;&gt;1),"",IF(INDEX(STOCK!$O$6:$O$105,MATCH(A6,STOCK!$A$6:$A$105,0))="","",INDEX(STOCK!$O$6:$O$105,MATCH(A6,STOCK!$A$6:$A$105,0))))</f>
        <v>32</v>
      </c>
      <c r="M6" s="14">
        <f>IF(OR(A6="",COUNTIF(STOCK!$A$6:$A$105,A6)&lt;&gt;1),"",IF(INDEX(STOCK!$P$6:$P$105,MATCH(A6,STOCK!$A$6:$A$105,0))="","",INDEX(STOCK!$P$6:$P$105,MATCH(A6,STOCK!$A$6:$A$105,0))))</f>
        <v>36</v>
      </c>
      <c r="N6" s="14">
        <f>IF(OR(A6="",COUNTIF(STOCK!$A$6:$A$105,A6)&lt;&gt;1),"",IF(INDEX(STOCK!$I$6:$I$105,MATCH(A6,STOCK!$A$6:$A$105,0))="","",INDEX(STOCK!$I$6:$I$105,MATCH(A6,STOCK!$A$6:$A$105,0))))</f>
        <v>36</v>
      </c>
      <c r="O6" s="16">
        <f>IF(OR(A6="",COUNTIF(STOCK!$A$6:$A$105,A6)&lt;&gt;1),"",IF(INDEX(STOCK!$J$6:$J$105,MATCH(A6,STOCK!$A$6:$A$105,0))="","",INDEX(STOCK!$J$6:$J$105,MATCH(A6,STOCK!$A$6:$A$105,0))))</f>
        <v>46296</v>
      </c>
      <c r="P6" s="11">
        <f>IF(OR(A6="",COUNTIF(STOCK!$A$6:$A$105,A6)&lt;&gt;1),"",IF(INDEX(STOCK!$R$6:$R$105,MATCH(A6,STOCK!$A$6:$A$105,0))="","",INDEX(STOCK!$R$6:$R$105,MATCH(A6,STOCK!$A$6:$A$105,0))))</f>
        <v>3240</v>
      </c>
      <c r="Q6" s="12" t="str">
        <f t="shared" ref="Q6:Q37" si="0">IF(A6="","",IF(C6="PRELANZAMIENTO","REVISAR PRELANZAMIENTO",IF(C6="PAUSADO","SKU PAUSADO",IF(H6&lt;&gt;"ELEGIBLE","EVIDENCIA PENDIENTE",IF(M6&gt;0,"PROPUESTA CONDICIONAL","SIN COMPRA SUGERIDA")))))</f>
        <v>PROPUESTA CONDICIONAL</v>
      </c>
      <c r="R6" s="17" t="str">
        <f t="shared" ref="R6:R37" si="1">IF(A6="","",IF(H6&lt;&gt;"ELEGIBLE","Se retiene la propuesta: "&amp;H6&amp;"."&amp;CHAR(10)&amp;"Blanco significa desconocido; resolver la evidencia antes de decidir.",IF(M6=0,"Disponible + tránsito elegible cubren el horizonte de lead + seguridad."&amp;CHAR(10)&amp;"Consumo diario: "&amp;TEXT(I6,"0.00")&amp;"; disponible: "&amp;TEXT(J6,"0")&amp;".","Necesidad neta: "&amp;TEXT(L6,"0")&amp;" unidades."&amp;CHAR(10)&amp;"MOQ y múltiplo elevan la propuesta a "&amp;TEXT(M6,"0")&amp;" unidades.")))</f>
        <v>Necesidad neta: 32 unidades.
MOQ y múltiplo elevan la propuesta a 36 unidades.</v>
      </c>
      <c r="S6" s="17" t="str">
        <f t="shared" ref="S6:S37" si="2">IF(A6="","",IF(H6&lt;&gt;"ELEGIBLE","Corregir o confirmar la evidencia señalada en STOCK / CONFIG; no comprar con esta hoja todavía.",IF(M6=0,"No elegir compra por reposición. Vigilar la siguiente semana y confirmar que la cobertura siga completa.","Revisar la propuesta; no es una orden."&amp;CHAR(10)&amp;"Si se decide comprar, capturar cantidad y fecha de pago en STOCK y revisar el piso de caja.")))</f>
        <v>Revisar la propuesta; no es una orden.
Si se decide comprar, capturar cantidad y fecha de pago en STOCK y revisar el piso de caja.</v>
      </c>
    </row>
    <row r="7" spans="1:19" ht="42" customHeight="1" x14ac:dyDescent="0.45">
      <c r="A7" s="12" t="str">
        <f>IF(CATALOGO!A7="","",CATALOGO!A7)</f>
        <v>PIL-ARENA</v>
      </c>
      <c r="B7" s="12" t="str">
        <f>IF(A7="","",CATALOGO!B7)</f>
        <v>Calcetín Pilates Grip</v>
      </c>
      <c r="C7" s="12" t="str">
        <f>IF(A7="","",CATALOGO!F7)</f>
        <v>ACTIVO</v>
      </c>
      <c r="D7" s="11">
        <f>IF(A7="","",CATALOGO!G7)</f>
        <v>299</v>
      </c>
      <c r="E7" s="11">
        <f>IF(A7="","",CATALOGO!P7)</f>
        <v>104</v>
      </c>
      <c r="F7" s="11">
        <f>IF(A7="","",CATALOGO!S7)</f>
        <v>221.28</v>
      </c>
      <c r="G7" s="15">
        <f>IF(A7="","",CATALOGO!R7)</f>
        <v>0.5721739130434782</v>
      </c>
      <c r="H7" s="12" t="str">
        <f>IF(A7="","",IF(COUNTIF(STOCK!$A$6:$A$105,A7)&lt;&gt;1,"SIN STOCK UNICO",INDEX(STOCK!$K$6:$K$105,MATCH(A7,STOCK!$A$6:$A$105,0))))</f>
        <v>ELEGIBLE</v>
      </c>
      <c r="I7" s="12">
        <f>IF(OR(A7="",COUNTIF(STOCK!$A$6:$A$105,A7)&lt;&gt;1),"",IF(INDEX(STOCK!$M$6:$M$105,MATCH(A7,STOCK!$A$6:$A$105,0))="","",INDEX(STOCK!$M$6:$M$105,MATCH(A7,STOCK!$A$6:$A$105,0))))</f>
        <v>1</v>
      </c>
      <c r="J7" s="14">
        <f>IF(OR(A7="",COUNTIF(STOCK!$A$6:$A$105,A7)&lt;&gt;1),"",IF(INDEX(STOCK!$L$6:$L$105,MATCH(A7,STOCK!$A$6:$A$105,0))="","",INDEX(STOCK!$L$6:$L$105,MATCH(A7,STOCK!$A$6:$A$105,0))))</f>
        <v>60</v>
      </c>
      <c r="K7" s="14">
        <f>IF(OR(A7="",COUNTIF(STOCK!$A$6:$A$105,A7)&lt;&gt;1),"",IF(INDEX(STOCK!$N$6:$N$105,MATCH(A7,STOCK!$A$6:$A$105,0))="","",INDEX(STOCK!$N$6:$N$105,MATCH(A7,STOCK!$A$6:$A$105,0))))</f>
        <v>0</v>
      </c>
      <c r="L7" s="14">
        <f>IF(OR(A7="",COUNTIF(STOCK!$A$6:$A$105,A7)&lt;&gt;1),"",IF(INDEX(STOCK!$O$6:$O$105,MATCH(A7,STOCK!$A$6:$A$105,0))="","",INDEX(STOCK!$O$6:$O$105,MATCH(A7,STOCK!$A$6:$A$105,0))))</f>
        <v>0</v>
      </c>
      <c r="M7" s="14">
        <f>IF(OR(A7="",COUNTIF(STOCK!$A$6:$A$105,A7)&lt;&gt;1),"",IF(INDEX(STOCK!$P$6:$P$105,MATCH(A7,STOCK!$A$6:$A$105,0))="","",INDEX(STOCK!$P$6:$P$105,MATCH(A7,STOCK!$A$6:$A$105,0))))</f>
        <v>0</v>
      </c>
      <c r="N7" s="14">
        <f>IF(OR(A7="",COUNTIF(STOCK!$A$6:$A$105,A7)&lt;&gt;1),"",IF(INDEX(STOCK!$I$6:$I$105,MATCH(A7,STOCK!$A$6:$A$105,0))="","",INDEX(STOCK!$I$6:$I$105,MATCH(A7,STOCK!$A$6:$A$105,0))))</f>
        <v>0</v>
      </c>
      <c r="O7" s="16" t="str">
        <f>IF(OR(A7="",COUNTIF(STOCK!$A$6:$A$105,A7)&lt;&gt;1),"",IF(INDEX(STOCK!$J$6:$J$105,MATCH(A7,STOCK!$A$6:$A$105,0))="","",INDEX(STOCK!$J$6:$J$105,MATCH(A7,STOCK!$A$6:$A$105,0))))</f>
        <v/>
      </c>
      <c r="P7" s="11">
        <f>IF(OR(A7="",COUNTIF(STOCK!$A$6:$A$105,A7)&lt;&gt;1),"",IF(INDEX(STOCK!$R$6:$R$105,MATCH(A7,STOCK!$A$6:$A$105,0))="","",INDEX(STOCK!$R$6:$R$105,MATCH(A7,STOCK!$A$6:$A$105,0))))</f>
        <v>0</v>
      </c>
      <c r="Q7" s="12" t="str">
        <f t="shared" si="0"/>
        <v>SIN COMPRA SUGERIDA</v>
      </c>
      <c r="R7" s="17" t="str">
        <f t="shared" si="1"/>
        <v>Disponible + tránsito elegible cubren el horizonte de lead + seguridad.
Consumo diario: 1.00; disponible: 60.</v>
      </c>
      <c r="S7" s="17" t="str">
        <f t="shared" si="2"/>
        <v>No elegir compra por reposición. Vigilar la siguiente semana y confirmar que la cobertura siga completa.</v>
      </c>
    </row>
    <row r="8" spans="1:19" ht="42" customHeight="1" x14ac:dyDescent="0.45">
      <c r="A8" s="12" t="str">
        <f>IF(CATALOGO!A8="","",CATALOGO!A8)</f>
        <v>PIL-ROSA</v>
      </c>
      <c r="B8" s="12" t="str">
        <f>IF(A8="","",CATALOGO!B8)</f>
        <v>Calcetín Pilates Grip</v>
      </c>
      <c r="C8" s="12" t="str">
        <f>IF(A8="","",CATALOGO!F8)</f>
        <v>PRELANZAMIENTO</v>
      </c>
      <c r="D8" s="11">
        <f>IF(A8="","",CATALOGO!G8)</f>
        <v>299</v>
      </c>
      <c r="E8" s="11">
        <f>IF(A8="","",CATALOGO!P8)</f>
        <v>104</v>
      </c>
      <c r="F8" s="11">
        <f>IF(A8="","",CATALOGO!S8)</f>
        <v>221.28</v>
      </c>
      <c r="G8" s="15">
        <f>IF(A8="","",CATALOGO!R8)</f>
        <v>0.5721739130434782</v>
      </c>
      <c r="H8" s="12" t="str">
        <f>IF(A8="","",IF(COUNTIF(STOCK!$A$6:$A$105,A8)&lt;&gt;1,"SIN STOCK UNICO",INDEX(STOCK!$K$6:$K$105,MATCH(A8,STOCK!$A$6:$A$105,0))))</f>
        <v>PRELANZAMIENTO</v>
      </c>
      <c r="I8" s="12">
        <f>IF(OR(A8="",COUNTIF(STOCK!$A$6:$A$105,A8)&lt;&gt;1),"",IF(INDEX(STOCK!$M$6:$M$105,MATCH(A8,STOCK!$A$6:$A$105,0))="","",INDEX(STOCK!$M$6:$M$105,MATCH(A8,STOCK!$A$6:$A$105,0))))</f>
        <v>0</v>
      </c>
      <c r="J8" s="14">
        <f>IF(OR(A8="",COUNTIF(STOCK!$A$6:$A$105,A8)&lt;&gt;1),"",IF(INDEX(STOCK!$L$6:$L$105,MATCH(A8,STOCK!$A$6:$A$105,0))="","",INDEX(STOCK!$L$6:$L$105,MATCH(A8,STOCK!$A$6:$A$105,0))))</f>
        <v>0</v>
      </c>
      <c r="K8" s="14" t="str">
        <f>IF(OR(A8="",COUNTIF(STOCK!$A$6:$A$105,A8)&lt;&gt;1),"",IF(INDEX(STOCK!$N$6:$N$105,MATCH(A8,STOCK!$A$6:$A$105,0))="","",INDEX(STOCK!$N$6:$N$105,MATCH(A8,STOCK!$A$6:$A$105,0))))</f>
        <v/>
      </c>
      <c r="L8" s="14" t="str">
        <f>IF(OR(A8="",COUNTIF(STOCK!$A$6:$A$105,A8)&lt;&gt;1),"",IF(INDEX(STOCK!$O$6:$O$105,MATCH(A8,STOCK!$A$6:$A$105,0))="","",INDEX(STOCK!$O$6:$O$105,MATCH(A8,STOCK!$A$6:$A$105,0))))</f>
        <v/>
      </c>
      <c r="M8" s="14" t="str">
        <f>IF(OR(A8="",COUNTIF(STOCK!$A$6:$A$105,A8)&lt;&gt;1),"",IF(INDEX(STOCK!$P$6:$P$105,MATCH(A8,STOCK!$A$6:$A$105,0))="","",INDEX(STOCK!$P$6:$P$105,MATCH(A8,STOCK!$A$6:$A$105,0))))</f>
        <v/>
      </c>
      <c r="N8" s="14">
        <f>IF(OR(A8="",COUNTIF(STOCK!$A$6:$A$105,A8)&lt;&gt;1),"",IF(INDEX(STOCK!$I$6:$I$105,MATCH(A8,STOCK!$A$6:$A$105,0))="","",INDEX(STOCK!$I$6:$I$105,MATCH(A8,STOCK!$A$6:$A$105,0))))</f>
        <v>0</v>
      </c>
      <c r="O8" s="16" t="str">
        <f>IF(OR(A8="",COUNTIF(STOCK!$A$6:$A$105,A8)&lt;&gt;1),"",IF(INDEX(STOCK!$J$6:$J$105,MATCH(A8,STOCK!$A$6:$A$105,0))="","",INDEX(STOCK!$J$6:$J$105,MATCH(A8,STOCK!$A$6:$A$105,0))))</f>
        <v/>
      </c>
      <c r="P8" s="11">
        <f>IF(OR(A8="",COUNTIF(STOCK!$A$6:$A$105,A8)&lt;&gt;1),"",IF(INDEX(STOCK!$R$6:$R$105,MATCH(A8,STOCK!$A$6:$A$105,0))="","",INDEX(STOCK!$R$6:$R$105,MATCH(A8,STOCK!$A$6:$A$105,0))))</f>
        <v>0</v>
      </c>
      <c r="Q8" s="12" t="str">
        <f t="shared" si="0"/>
        <v>REVISAR PRELANZAMIENTO</v>
      </c>
      <c r="R8" s="17" t="str">
        <f t="shared" si="1"/>
        <v>Se retiene la propuesta: PRELANZAMIENTO.
Blanco significa desconocido; resolver la evidencia antes de decidir.</v>
      </c>
      <c r="S8" s="17" t="str">
        <f t="shared" si="2"/>
        <v>Corregir o confirmar la evidencia señalada en STOCK / CONFIG; no comprar con esta hoja todavía.</v>
      </c>
    </row>
    <row r="9" spans="1:19" ht="42" customHeight="1" x14ac:dyDescent="0.45">
      <c r="A9" s="12" t="str">
        <f>IF(CATALOGO!A9="","",CATALOGO!A9)</f>
        <v>PIL-LILA</v>
      </c>
      <c r="B9" s="12" t="str">
        <f>IF(A9="","",CATALOGO!B9)</f>
        <v>Calcetín Pilates Grip</v>
      </c>
      <c r="C9" s="12" t="str">
        <f>IF(A9="","",CATALOGO!F9)</f>
        <v>ACTIVO</v>
      </c>
      <c r="D9" s="11">
        <f>IF(A9="","",CATALOGO!G9)</f>
        <v>299</v>
      </c>
      <c r="E9" s="11" t="str">
        <f>IF(A9="","",CATALOGO!P9)</f>
        <v/>
      </c>
      <c r="F9" s="11" t="str">
        <f>IF(A9="","",CATALOGO!S9)</f>
        <v/>
      </c>
      <c r="G9" s="15" t="str">
        <f>IF(A9="","",CATALOGO!R9)</f>
        <v/>
      </c>
      <c r="H9" s="12" t="str">
        <f>IF(A9="","",IF(COUNTIF(STOCK!$A$6:$A$105,A9)&lt;&gt;1,"SIN STOCK UNICO",INDEX(STOCK!$K$6:$K$105,MATCH(A9,STOCK!$A$6:$A$105,0))))</f>
        <v>CATALOGO A REVISAR</v>
      </c>
      <c r="I9" s="12">
        <f>IF(OR(A9="",COUNTIF(STOCK!$A$6:$A$105,A9)&lt;&gt;1),"",IF(INDEX(STOCK!$M$6:$M$105,MATCH(A9,STOCK!$A$6:$A$105,0))="","",INDEX(STOCK!$M$6:$M$105,MATCH(A9,STOCK!$A$6:$A$105,0))))</f>
        <v>1.2142857142857142</v>
      </c>
      <c r="J9" s="14">
        <f>IF(OR(A9="",COUNTIF(STOCK!$A$6:$A$105,A9)&lt;&gt;1),"",IF(INDEX(STOCK!$L$6:$L$105,MATCH(A9,STOCK!$A$6:$A$105,0))="","",INDEX(STOCK!$L$6:$L$105,MATCH(A9,STOCK!$A$6:$A$105,0))))</f>
        <v>7</v>
      </c>
      <c r="K9" s="14" t="str">
        <f>IF(OR(A9="",COUNTIF(STOCK!$A$6:$A$105,A9)&lt;&gt;1),"",IF(INDEX(STOCK!$N$6:$N$105,MATCH(A9,STOCK!$A$6:$A$105,0))="","",INDEX(STOCK!$N$6:$N$105,MATCH(A9,STOCK!$A$6:$A$105,0))))</f>
        <v/>
      </c>
      <c r="L9" s="14" t="str">
        <f>IF(OR(A9="",COUNTIF(STOCK!$A$6:$A$105,A9)&lt;&gt;1),"",IF(INDEX(STOCK!$O$6:$O$105,MATCH(A9,STOCK!$A$6:$A$105,0))="","",INDEX(STOCK!$O$6:$O$105,MATCH(A9,STOCK!$A$6:$A$105,0))))</f>
        <v/>
      </c>
      <c r="M9" s="14" t="str">
        <f>IF(OR(A9="",COUNTIF(STOCK!$A$6:$A$105,A9)&lt;&gt;1),"",IF(INDEX(STOCK!$P$6:$P$105,MATCH(A9,STOCK!$A$6:$A$105,0))="","",INDEX(STOCK!$P$6:$P$105,MATCH(A9,STOCK!$A$6:$A$105,0))))</f>
        <v/>
      </c>
      <c r="N9" s="14">
        <f>IF(OR(A9="",COUNTIF(STOCK!$A$6:$A$105,A9)&lt;&gt;1),"",IF(INDEX(STOCK!$I$6:$I$105,MATCH(A9,STOCK!$A$6:$A$105,0))="","",INDEX(STOCK!$I$6:$I$105,MATCH(A9,STOCK!$A$6:$A$105,0))))</f>
        <v>0</v>
      </c>
      <c r="O9" s="16" t="str">
        <f>IF(OR(A9="",COUNTIF(STOCK!$A$6:$A$105,A9)&lt;&gt;1),"",IF(INDEX(STOCK!$J$6:$J$105,MATCH(A9,STOCK!$A$6:$A$105,0))="","",INDEX(STOCK!$J$6:$J$105,MATCH(A9,STOCK!$A$6:$A$105,0))))</f>
        <v/>
      </c>
      <c r="P9" s="11">
        <f>IF(OR(A9="",COUNTIF(STOCK!$A$6:$A$105,A9)&lt;&gt;1),"",IF(INDEX(STOCK!$R$6:$R$105,MATCH(A9,STOCK!$A$6:$A$105,0))="","",INDEX(STOCK!$R$6:$R$105,MATCH(A9,STOCK!$A$6:$A$105,0))))</f>
        <v>0</v>
      </c>
      <c r="Q9" s="12" t="str">
        <f t="shared" si="0"/>
        <v>EVIDENCIA PENDIENTE</v>
      </c>
      <c r="R9" s="17" t="str">
        <f t="shared" si="1"/>
        <v>Se retiene la propuesta: CATALOGO A REVISAR.
Blanco significa desconocido; resolver la evidencia antes de decidir.</v>
      </c>
      <c r="S9" s="17" t="str">
        <f t="shared" si="2"/>
        <v>Corregir o confirmar la evidencia señalada en STOCK / CONFIG; no comprar con esta hoja todavía.</v>
      </c>
    </row>
    <row r="10" spans="1:19" ht="42" customHeight="1" x14ac:dyDescent="0.45">
      <c r="A10" s="12" t="str">
        <f>IF(CATALOGO!A10="","",CATALOGO!A10)</f>
        <v>PIL-VERDE</v>
      </c>
      <c r="B10" s="12" t="str">
        <f>IF(A10="","",CATALOGO!B10)</f>
        <v>Calcetín Pilates Grip</v>
      </c>
      <c r="C10" s="12" t="str">
        <f>IF(A10="","",CATALOGO!F10)</f>
        <v>ACTIVO</v>
      </c>
      <c r="D10" s="11">
        <f>IF(A10="","",CATALOGO!G10)</f>
        <v>299</v>
      </c>
      <c r="E10" s="11">
        <f>IF(A10="","",CATALOGO!P10)</f>
        <v>104</v>
      </c>
      <c r="F10" s="11">
        <f>IF(A10="","",CATALOGO!S10)</f>
        <v>221.28</v>
      </c>
      <c r="G10" s="15">
        <f>IF(A10="","",CATALOGO!R10)</f>
        <v>0.5721739130434782</v>
      </c>
      <c r="H10" s="12" t="str">
        <f>IF(A10="","",IF(COUNTIF(STOCK!$A$6:$A$105,A10)&lt;&gt;1,"SIN STOCK UNICO",INDEX(STOCK!$K$6:$K$105,MATCH(A10,STOCK!$A$6:$A$105,0))))</f>
        <v>DISPONIBILIDAD INCOMPLETA</v>
      </c>
      <c r="I10" s="12">
        <f>IF(OR(A10="",COUNTIF(STOCK!$A$6:$A$105,A10)&lt;&gt;1),"",IF(INDEX(STOCK!$M$6:$M$105,MATCH(A10,STOCK!$A$6:$A$105,0))="","",INDEX(STOCK!$M$6:$M$105,MATCH(A10,STOCK!$A$6:$A$105,0))))</f>
        <v>1.4642857142857142</v>
      </c>
      <c r="J10" s="14">
        <f>IF(OR(A10="",COUNTIF(STOCK!$A$6:$A$105,A10)&lt;&gt;1),"",IF(INDEX(STOCK!$L$6:$L$105,MATCH(A10,STOCK!$A$6:$A$105,0))="","",INDEX(STOCK!$L$6:$L$105,MATCH(A10,STOCK!$A$6:$A$105,0))))</f>
        <v>8</v>
      </c>
      <c r="K10" s="14" t="str">
        <f>IF(OR(A10="",COUNTIF(STOCK!$A$6:$A$105,A10)&lt;&gt;1),"",IF(INDEX(STOCK!$N$6:$N$105,MATCH(A10,STOCK!$A$6:$A$105,0))="","",INDEX(STOCK!$N$6:$N$105,MATCH(A10,STOCK!$A$6:$A$105,0))))</f>
        <v/>
      </c>
      <c r="L10" s="14" t="str">
        <f>IF(OR(A10="",COUNTIF(STOCK!$A$6:$A$105,A10)&lt;&gt;1),"",IF(INDEX(STOCK!$O$6:$O$105,MATCH(A10,STOCK!$A$6:$A$105,0))="","",INDEX(STOCK!$O$6:$O$105,MATCH(A10,STOCK!$A$6:$A$105,0))))</f>
        <v/>
      </c>
      <c r="M10" s="14" t="str">
        <f>IF(OR(A10="",COUNTIF(STOCK!$A$6:$A$105,A10)&lt;&gt;1),"",IF(INDEX(STOCK!$P$6:$P$105,MATCH(A10,STOCK!$A$6:$A$105,0))="","",INDEX(STOCK!$P$6:$P$105,MATCH(A10,STOCK!$A$6:$A$105,0))))</f>
        <v/>
      </c>
      <c r="N10" s="14">
        <f>IF(OR(A10="",COUNTIF(STOCK!$A$6:$A$105,A10)&lt;&gt;1),"",IF(INDEX(STOCK!$I$6:$I$105,MATCH(A10,STOCK!$A$6:$A$105,0))="","",INDEX(STOCK!$I$6:$I$105,MATCH(A10,STOCK!$A$6:$A$105,0))))</f>
        <v>0</v>
      </c>
      <c r="O10" s="16" t="str">
        <f>IF(OR(A10="",COUNTIF(STOCK!$A$6:$A$105,A10)&lt;&gt;1),"",IF(INDEX(STOCK!$J$6:$J$105,MATCH(A10,STOCK!$A$6:$A$105,0))="","",INDEX(STOCK!$J$6:$J$105,MATCH(A10,STOCK!$A$6:$A$105,0))))</f>
        <v/>
      </c>
      <c r="P10" s="11">
        <f>IF(OR(A10="",COUNTIF(STOCK!$A$6:$A$105,A10)&lt;&gt;1),"",IF(INDEX(STOCK!$R$6:$R$105,MATCH(A10,STOCK!$A$6:$A$105,0))="","",INDEX(STOCK!$R$6:$R$105,MATCH(A10,STOCK!$A$6:$A$105,0))))</f>
        <v>0</v>
      </c>
      <c r="Q10" s="12" t="str">
        <f t="shared" si="0"/>
        <v>EVIDENCIA PENDIENTE</v>
      </c>
      <c r="R10" s="17" t="str">
        <f t="shared" si="1"/>
        <v>Se retiene la propuesta: DISPONIBILIDAD INCOMPLETA.
Blanco significa desconocido; resolver la evidencia antes de decidir.</v>
      </c>
      <c r="S10" s="17" t="str">
        <f t="shared" si="2"/>
        <v>Corregir o confirmar la evidencia señalada en STOCK / CONFIG; no comprar con esta hoja todavía.</v>
      </c>
    </row>
    <row r="11" spans="1:19" ht="42" customHeight="1" x14ac:dyDescent="0.45">
      <c r="A11" s="12" t="str">
        <f>IF(CATALOGO!A11="","",CATALOGO!A11)</f>
        <v>PIL-AZUL</v>
      </c>
      <c r="B11" s="12" t="str">
        <f>IF(A11="","",CATALOGO!B11)</f>
        <v>Calcetín Pilates Grip</v>
      </c>
      <c r="C11" s="12" t="str">
        <f>IF(A11="","",CATALOGO!F11)</f>
        <v>ACTIVO</v>
      </c>
      <c r="D11" s="11">
        <f>IF(A11="","",CATALOGO!G11)</f>
        <v>299</v>
      </c>
      <c r="E11" s="11">
        <f>IF(A11="","",CATALOGO!P11)</f>
        <v>104</v>
      </c>
      <c r="F11" s="11">
        <f>IF(A11="","",CATALOGO!S11)</f>
        <v>221.28</v>
      </c>
      <c r="G11" s="15">
        <f>IF(A11="","",CATALOGO!R11)</f>
        <v>0.5721739130434782</v>
      </c>
      <c r="H11" s="12" t="str">
        <f>IF(A11="","",IF(COUNTIF(STOCK!$A$6:$A$105,A11)&lt;&gt;1,"SIN STOCK UNICO",INDEX(STOCK!$K$6:$K$105,MATCH(A11,STOCK!$A$6:$A$105,0))))</f>
        <v>TRANSITO FUERA DEL PLAZO</v>
      </c>
      <c r="I11" s="12">
        <f>IF(OR(A11="",COUNTIF(STOCK!$A$6:$A$105,A11)&lt;&gt;1),"",IF(INDEX(STOCK!$M$6:$M$105,MATCH(A11,STOCK!$A$6:$A$105,0))="","",INDEX(STOCK!$M$6:$M$105,MATCH(A11,STOCK!$A$6:$A$105,0))))</f>
        <v>1.1071428571428572</v>
      </c>
      <c r="J11" s="14">
        <f>IF(OR(A11="",COUNTIF(STOCK!$A$6:$A$105,A11)&lt;&gt;1),"",IF(INDEX(STOCK!$L$6:$L$105,MATCH(A11,STOCK!$A$6:$A$105,0))="","",INDEX(STOCK!$L$6:$L$105,MATCH(A11,STOCK!$A$6:$A$105,0))))</f>
        <v>6</v>
      </c>
      <c r="K11" s="14" t="str">
        <f>IF(OR(A11="",COUNTIF(STOCK!$A$6:$A$105,A11)&lt;&gt;1),"",IF(INDEX(STOCK!$N$6:$N$105,MATCH(A11,STOCK!$A$6:$A$105,0))="","",INDEX(STOCK!$N$6:$N$105,MATCH(A11,STOCK!$A$6:$A$105,0))))</f>
        <v/>
      </c>
      <c r="L11" s="14" t="str">
        <f>IF(OR(A11="",COUNTIF(STOCK!$A$6:$A$105,A11)&lt;&gt;1),"",IF(INDEX(STOCK!$O$6:$O$105,MATCH(A11,STOCK!$A$6:$A$105,0))="","",INDEX(STOCK!$O$6:$O$105,MATCH(A11,STOCK!$A$6:$A$105,0))))</f>
        <v/>
      </c>
      <c r="M11" s="14" t="str">
        <f>IF(OR(A11="",COUNTIF(STOCK!$A$6:$A$105,A11)&lt;&gt;1),"",IF(INDEX(STOCK!$P$6:$P$105,MATCH(A11,STOCK!$A$6:$A$105,0))="","",INDEX(STOCK!$P$6:$P$105,MATCH(A11,STOCK!$A$6:$A$105,0))))</f>
        <v/>
      </c>
      <c r="N11" s="14">
        <f>IF(OR(A11="",COUNTIF(STOCK!$A$6:$A$105,A11)&lt;&gt;1),"",IF(INDEX(STOCK!$I$6:$I$105,MATCH(A11,STOCK!$A$6:$A$105,0))="","",INDEX(STOCK!$I$6:$I$105,MATCH(A11,STOCK!$A$6:$A$105,0))))</f>
        <v>0</v>
      </c>
      <c r="O11" s="16" t="str">
        <f>IF(OR(A11="",COUNTIF(STOCK!$A$6:$A$105,A11)&lt;&gt;1),"",IF(INDEX(STOCK!$J$6:$J$105,MATCH(A11,STOCK!$A$6:$A$105,0))="","",INDEX(STOCK!$J$6:$J$105,MATCH(A11,STOCK!$A$6:$A$105,0))))</f>
        <v/>
      </c>
      <c r="P11" s="11">
        <f>IF(OR(A11="",COUNTIF(STOCK!$A$6:$A$105,A11)&lt;&gt;1),"",IF(INDEX(STOCK!$R$6:$R$105,MATCH(A11,STOCK!$A$6:$A$105,0))="","",INDEX(STOCK!$R$6:$R$105,MATCH(A11,STOCK!$A$6:$A$105,0))))</f>
        <v>0</v>
      </c>
      <c r="Q11" s="12" t="str">
        <f t="shared" si="0"/>
        <v>EVIDENCIA PENDIENTE</v>
      </c>
      <c r="R11" s="17" t="str">
        <f t="shared" si="1"/>
        <v>Se retiene la propuesta: TRANSITO FUERA DEL PLAZO.
Blanco significa desconocido; resolver la evidencia antes de decidir.</v>
      </c>
      <c r="S11" s="17" t="str">
        <f t="shared" si="2"/>
        <v>Corregir o confirmar la evidencia señalada en STOCK / CONFIG; no comprar con esta hoja todavía.</v>
      </c>
    </row>
    <row r="12" spans="1:19" ht="42" customHeight="1" x14ac:dyDescent="0.45">
      <c r="A12" s="12" t="str">
        <f>IF(CATALOGO!A12="","",CATALOGO!A12)</f>
        <v>PIL-VINO</v>
      </c>
      <c r="B12" s="12" t="str">
        <f>IF(A12="","",CATALOGO!B12)</f>
        <v>Calcetín Pilates Grip</v>
      </c>
      <c r="C12" s="12" t="str">
        <f>IF(A12="","",CATALOGO!F12)</f>
        <v>ACTIVO</v>
      </c>
      <c r="D12" s="11">
        <f>IF(A12="","",CATALOGO!G12)</f>
        <v>299</v>
      </c>
      <c r="E12" s="11">
        <f>IF(A12="","",CATALOGO!P12)</f>
        <v>104</v>
      </c>
      <c r="F12" s="11">
        <f>IF(A12="","",CATALOGO!S12)</f>
        <v>221.28</v>
      </c>
      <c r="G12" s="15">
        <f>IF(A12="","",CATALOGO!R12)</f>
        <v>0.5721739130434782</v>
      </c>
      <c r="H12" s="12" t="str">
        <f>IF(A12="","",IF(COUNTIF(STOCK!$A$6:$A$105,A12)&lt;&gt;1,"SIN STOCK UNICO",INDEX(STOCK!$K$6:$K$105,MATCH(A12,STOCK!$A$6:$A$105,0))))</f>
        <v>TRANSITO SIN CONFIRMAR</v>
      </c>
      <c r="I12" s="12">
        <f>IF(OR(A12="",COUNTIF(STOCK!$A$6:$A$105,A12)&lt;&gt;1),"",IF(INDEX(STOCK!$M$6:$M$105,MATCH(A12,STOCK!$A$6:$A$105,0))="","",INDEX(STOCK!$M$6:$M$105,MATCH(A12,STOCK!$A$6:$A$105,0))))</f>
        <v>1.0714285714285714</v>
      </c>
      <c r="J12" s="14">
        <f>IF(OR(A12="",COUNTIF(STOCK!$A$6:$A$105,A12)&lt;&gt;1),"",IF(INDEX(STOCK!$L$6:$L$105,MATCH(A12,STOCK!$A$6:$A$105,0))="","",INDEX(STOCK!$L$6:$L$105,MATCH(A12,STOCK!$A$6:$A$105,0))))</f>
        <v>6</v>
      </c>
      <c r="K12" s="14" t="str">
        <f>IF(OR(A12="",COUNTIF(STOCK!$A$6:$A$105,A12)&lt;&gt;1),"",IF(INDEX(STOCK!$N$6:$N$105,MATCH(A12,STOCK!$A$6:$A$105,0))="","",INDEX(STOCK!$N$6:$N$105,MATCH(A12,STOCK!$A$6:$A$105,0))))</f>
        <v/>
      </c>
      <c r="L12" s="14" t="str">
        <f>IF(OR(A12="",COUNTIF(STOCK!$A$6:$A$105,A12)&lt;&gt;1),"",IF(INDEX(STOCK!$O$6:$O$105,MATCH(A12,STOCK!$A$6:$A$105,0))="","",INDEX(STOCK!$O$6:$O$105,MATCH(A12,STOCK!$A$6:$A$105,0))))</f>
        <v/>
      </c>
      <c r="M12" s="14" t="str">
        <f>IF(OR(A12="",COUNTIF(STOCK!$A$6:$A$105,A12)&lt;&gt;1),"",IF(INDEX(STOCK!$P$6:$P$105,MATCH(A12,STOCK!$A$6:$A$105,0))="","",INDEX(STOCK!$P$6:$P$105,MATCH(A12,STOCK!$A$6:$A$105,0))))</f>
        <v/>
      </c>
      <c r="N12" s="14">
        <f>IF(OR(A12="",COUNTIF(STOCK!$A$6:$A$105,A12)&lt;&gt;1),"",IF(INDEX(STOCK!$I$6:$I$105,MATCH(A12,STOCK!$A$6:$A$105,0))="","",INDEX(STOCK!$I$6:$I$105,MATCH(A12,STOCK!$A$6:$A$105,0))))</f>
        <v>0</v>
      </c>
      <c r="O12" s="16" t="str">
        <f>IF(OR(A12="",COUNTIF(STOCK!$A$6:$A$105,A12)&lt;&gt;1),"",IF(INDEX(STOCK!$J$6:$J$105,MATCH(A12,STOCK!$A$6:$A$105,0))="","",INDEX(STOCK!$J$6:$J$105,MATCH(A12,STOCK!$A$6:$A$105,0))))</f>
        <v/>
      </c>
      <c r="P12" s="11">
        <f>IF(OR(A12="",COUNTIF(STOCK!$A$6:$A$105,A12)&lt;&gt;1),"",IF(INDEX(STOCK!$R$6:$R$105,MATCH(A12,STOCK!$A$6:$A$105,0))="","",INDEX(STOCK!$R$6:$R$105,MATCH(A12,STOCK!$A$6:$A$105,0))))</f>
        <v>0</v>
      </c>
      <c r="Q12" s="12" t="str">
        <f t="shared" si="0"/>
        <v>EVIDENCIA PENDIENTE</v>
      </c>
      <c r="R12" s="17" t="str">
        <f t="shared" si="1"/>
        <v>Se retiene la propuesta: TRANSITO SIN CONFIRMAR.
Blanco significa desconocido; resolver la evidencia antes de decidir.</v>
      </c>
      <c r="S12" s="17" t="str">
        <f t="shared" si="2"/>
        <v>Corregir o confirmar la evidencia señalada en STOCK / CONFIG; no comprar con esta hoja todavía.</v>
      </c>
    </row>
    <row r="13" spans="1:19" ht="42" customHeight="1" x14ac:dyDescent="0.45">
      <c r="A13" s="12" t="str">
        <f>IF(CATALOGO!A13="","",CATALOGO!A13)</f>
        <v>PIL-GRIS</v>
      </c>
      <c r="B13" s="12" t="str">
        <f>IF(A13="","",CATALOGO!B13)</f>
        <v>Calcetín Pilates Grip</v>
      </c>
      <c r="C13" s="12" t="str">
        <f>IF(A13="","",CATALOGO!F13)</f>
        <v>ACTIVO</v>
      </c>
      <c r="D13" s="11">
        <f>IF(A13="","",CATALOGO!G13)</f>
        <v>299</v>
      </c>
      <c r="E13" s="11">
        <f>IF(A13="","",CATALOGO!P13)</f>
        <v>104</v>
      </c>
      <c r="F13" s="11">
        <f>IF(A13="","",CATALOGO!S13)</f>
        <v>221.28</v>
      </c>
      <c r="G13" s="15">
        <f>IF(A13="","",CATALOGO!R13)</f>
        <v>0.5721739130434782</v>
      </c>
      <c r="H13" s="12" t="str">
        <f>IF(A13="","",IF(COUNTIF(STOCK!$A$6:$A$105,A13)&lt;&gt;1,"SIN STOCK UNICO",INDEX(STOCK!$K$6:$K$105,MATCH(A13,STOCK!$A$6:$A$105,0))))</f>
        <v>ELEGIBLE</v>
      </c>
      <c r="I13" s="12">
        <f>IF(OR(A13="",COUNTIF(STOCK!$A$6:$A$105,A13)&lt;&gt;1),"",IF(INDEX(STOCK!$M$6:$M$105,MATCH(A13,STOCK!$A$6:$A$105,0))="","",INDEX(STOCK!$M$6:$M$105,MATCH(A13,STOCK!$A$6:$A$105,0))))</f>
        <v>1.4285714285714286</v>
      </c>
      <c r="J13" s="14">
        <f>IF(OR(A13="",COUNTIF(STOCK!$A$6:$A$105,A13)&lt;&gt;1),"",IF(INDEX(STOCK!$L$6:$L$105,MATCH(A13,STOCK!$A$6:$A$105,0))="","",INDEX(STOCK!$L$6:$L$105,MATCH(A13,STOCK!$A$6:$A$105,0))))</f>
        <v>10</v>
      </c>
      <c r="K13" s="14">
        <f>IF(OR(A13="",COUNTIF(STOCK!$A$6:$A$105,A13)&lt;&gt;1),"",IF(INDEX(STOCK!$N$6:$N$105,MATCH(A13,STOCK!$A$6:$A$105,0))="","",INDEX(STOCK!$N$6:$N$105,MATCH(A13,STOCK!$A$6:$A$105,0))))</f>
        <v>12</v>
      </c>
      <c r="L13" s="14">
        <f>IF(OR(A13="",COUNTIF(STOCK!$A$6:$A$105,A13)&lt;&gt;1),"",IF(INDEX(STOCK!$O$6:$O$105,MATCH(A13,STOCK!$A$6:$A$105,0))="","",INDEX(STOCK!$O$6:$O$105,MATCH(A13,STOCK!$A$6:$A$105,0))))</f>
        <v>8</v>
      </c>
      <c r="M13" s="14">
        <f>IF(OR(A13="",COUNTIF(STOCK!$A$6:$A$105,A13)&lt;&gt;1),"",IF(INDEX(STOCK!$P$6:$P$105,MATCH(A13,STOCK!$A$6:$A$105,0))="","",INDEX(STOCK!$P$6:$P$105,MATCH(A13,STOCK!$A$6:$A$105,0))))</f>
        <v>12</v>
      </c>
      <c r="N13" s="14">
        <f>IF(OR(A13="",COUNTIF(STOCK!$A$6:$A$105,A13)&lt;&gt;1),"",IF(INDEX(STOCK!$I$6:$I$105,MATCH(A13,STOCK!$A$6:$A$105,0))="","",INDEX(STOCK!$I$6:$I$105,MATCH(A13,STOCK!$A$6:$A$105,0))))</f>
        <v>0</v>
      </c>
      <c r="O13" s="16" t="str">
        <f>IF(OR(A13="",COUNTIF(STOCK!$A$6:$A$105,A13)&lt;&gt;1),"",IF(INDEX(STOCK!$J$6:$J$105,MATCH(A13,STOCK!$A$6:$A$105,0))="","",INDEX(STOCK!$J$6:$J$105,MATCH(A13,STOCK!$A$6:$A$105,0))))</f>
        <v/>
      </c>
      <c r="P13" s="11">
        <f>IF(OR(A13="",COUNTIF(STOCK!$A$6:$A$105,A13)&lt;&gt;1),"",IF(INDEX(STOCK!$R$6:$R$105,MATCH(A13,STOCK!$A$6:$A$105,0))="","",INDEX(STOCK!$R$6:$R$105,MATCH(A13,STOCK!$A$6:$A$105,0))))</f>
        <v>0</v>
      </c>
      <c r="Q13" s="12" t="str">
        <f t="shared" si="0"/>
        <v>PROPUESTA CONDICIONAL</v>
      </c>
      <c r="R13" s="17" t="str">
        <f t="shared" si="1"/>
        <v>Necesidad neta: 8 unidades.
MOQ y múltiplo elevan la propuesta a 12 unidades.</v>
      </c>
      <c r="S13" s="17" t="str">
        <f t="shared" si="2"/>
        <v>Revisar la propuesta; no es una orden.
Si se decide comprar, capturar cantidad y fecha de pago en STOCK y revisar el piso de caja.</v>
      </c>
    </row>
    <row r="14" spans="1:19" ht="42" customHeight="1" x14ac:dyDescent="0.45">
      <c r="A14" s="12" t="str">
        <f>IF(CATALOGO!A14="","",CATALOGO!A14)</f>
        <v>TOP-NEGRO-S</v>
      </c>
      <c r="B14" s="12" t="str">
        <f>IF(A14="","",CATALOGO!B14)</f>
        <v>Top deportivo Aura</v>
      </c>
      <c r="C14" s="12" t="str">
        <f>IF(A14="","",CATALOGO!F14)</f>
        <v>ACTIVO</v>
      </c>
      <c r="D14" s="11">
        <f>IF(A14="","",CATALOGO!G14)</f>
        <v>899</v>
      </c>
      <c r="E14" s="11">
        <f>IF(A14="","",CATALOGO!P14)</f>
        <v>380</v>
      </c>
      <c r="F14" s="11">
        <f>IF(A14="","",CATALOGO!S14)</f>
        <v>808.52</v>
      </c>
      <c r="G14" s="15">
        <f>IF(A14="","",CATALOGO!R14)</f>
        <v>0.49730812013348169</v>
      </c>
      <c r="H14" s="12" t="str">
        <f>IF(A14="","",IF(COUNTIF(STOCK!$A$6:$A$105,A14)&lt;&gt;1,"SIN STOCK UNICO",INDEX(STOCK!$K$6:$K$105,MATCH(A14,STOCK!$A$6:$A$105,0))))</f>
        <v>ELEGIBLE</v>
      </c>
      <c r="I14" s="12">
        <f>IF(OR(A14="",COUNTIF(STOCK!$A$6:$A$105,A14)&lt;&gt;1),"",IF(INDEX(STOCK!$M$6:$M$105,MATCH(A14,STOCK!$A$6:$A$105,0))="","",INDEX(STOCK!$M$6:$M$105,MATCH(A14,STOCK!$A$6:$A$105,0))))</f>
        <v>0.39285714285714285</v>
      </c>
      <c r="J14" s="14">
        <f>IF(OR(A14="",COUNTIF(STOCK!$A$6:$A$105,A14)&lt;&gt;1),"",IF(INDEX(STOCK!$L$6:$L$105,MATCH(A14,STOCK!$A$6:$A$105,0))="","",INDEX(STOCK!$L$6:$L$105,MATCH(A14,STOCK!$A$6:$A$105,0))))</f>
        <v>8</v>
      </c>
      <c r="K14" s="14">
        <f>IF(OR(A14="",COUNTIF(STOCK!$A$6:$A$105,A14)&lt;&gt;1),"",IF(INDEX(STOCK!$N$6:$N$105,MATCH(A14,STOCK!$A$6:$A$105,0))="","",INDEX(STOCK!$N$6:$N$105,MATCH(A14,STOCK!$A$6:$A$105,0))))</f>
        <v>0</v>
      </c>
      <c r="L14" s="14">
        <f>IF(OR(A14="",COUNTIF(STOCK!$A$6:$A$105,A14)&lt;&gt;1),"",IF(INDEX(STOCK!$O$6:$O$105,MATCH(A14,STOCK!$A$6:$A$105,0))="","",INDEX(STOCK!$O$6:$O$105,MATCH(A14,STOCK!$A$6:$A$105,0))))</f>
        <v>3</v>
      </c>
      <c r="M14" s="14">
        <f>IF(OR(A14="",COUNTIF(STOCK!$A$6:$A$105,A14)&lt;&gt;1),"",IF(INDEX(STOCK!$P$6:$P$105,MATCH(A14,STOCK!$A$6:$A$105,0))="","",INDEX(STOCK!$P$6:$P$105,MATCH(A14,STOCK!$A$6:$A$105,0))))</f>
        <v>12</v>
      </c>
      <c r="N14" s="14">
        <f>IF(OR(A14="",COUNTIF(STOCK!$A$6:$A$105,A14)&lt;&gt;1),"",IF(INDEX(STOCK!$I$6:$I$105,MATCH(A14,STOCK!$A$6:$A$105,0))="","",INDEX(STOCK!$I$6:$I$105,MATCH(A14,STOCK!$A$6:$A$105,0))))</f>
        <v>60</v>
      </c>
      <c r="O14" s="16">
        <f>IF(OR(A14="",COUNTIF(STOCK!$A$6:$A$105,A14)&lt;&gt;1),"",IF(INDEX(STOCK!$J$6:$J$105,MATCH(A14,STOCK!$A$6:$A$105,0))="","",INDEX(STOCK!$J$6:$J$105,MATCH(A14,STOCK!$A$6:$A$105,0))))</f>
        <v>46351</v>
      </c>
      <c r="P14" s="11">
        <f>IF(OR(A14="",COUNTIF(STOCK!$A$6:$A$105,A14)&lt;&gt;1),"",IF(INDEX(STOCK!$R$6:$R$105,MATCH(A14,STOCK!$A$6:$A$105,0))="","",INDEX(STOCK!$R$6:$R$105,MATCH(A14,STOCK!$A$6:$A$105,0))))</f>
        <v>21000</v>
      </c>
      <c r="Q14" s="12" t="str">
        <f t="shared" si="0"/>
        <v>PROPUESTA CONDICIONAL</v>
      </c>
      <c r="R14" s="17" t="str">
        <f t="shared" si="1"/>
        <v>Necesidad neta: 3 unidades.
MOQ y múltiplo elevan la propuesta a 12 unidades.</v>
      </c>
      <c r="S14" s="17" t="str">
        <f t="shared" si="2"/>
        <v>Revisar la propuesta; no es una orden.
Si se decide comprar, capturar cantidad y fecha de pago en STOCK y revisar el piso de caja.</v>
      </c>
    </row>
    <row r="15" spans="1:19" ht="42" customHeight="1" x14ac:dyDescent="0.45">
      <c r="A15" s="12" t="str">
        <f>IF(CATALOGO!A15="","",CATALOGO!A15)</f>
        <v>LEG-NEGRO-M</v>
      </c>
      <c r="B15" s="12" t="str">
        <f>IF(A15="","",CATALOGO!B15)</f>
        <v>Legging Esencia</v>
      </c>
      <c r="C15" s="12" t="str">
        <f>IF(A15="","",CATALOGO!F15)</f>
        <v>PAUSADO</v>
      </c>
      <c r="D15" s="11">
        <f>IF(A15="","",CATALOGO!G15)</f>
        <v>1299</v>
      </c>
      <c r="E15" s="11">
        <f>IF(A15="","",CATALOGO!P15)</f>
        <v>530</v>
      </c>
      <c r="F15" s="11">
        <f>IF(A15="","",CATALOGO!S15)</f>
        <v>1127.6600000000001</v>
      </c>
      <c r="G15" s="15">
        <f>IF(A15="","",CATALOGO!R15)</f>
        <v>0.5119938414164743</v>
      </c>
      <c r="H15" s="12" t="str">
        <f>IF(A15="","",IF(COUNTIF(STOCK!$A$6:$A$105,A15)&lt;&gt;1,"SIN STOCK UNICO",INDEX(STOCK!$K$6:$K$105,MATCH(A15,STOCK!$A$6:$A$105,0))))</f>
        <v>PAUSADO</v>
      </c>
      <c r="I15" s="12">
        <f>IF(OR(A15="",COUNTIF(STOCK!$A$6:$A$105,A15)&lt;&gt;1),"",IF(INDEX(STOCK!$M$6:$M$105,MATCH(A15,STOCK!$A$6:$A$105,0))="","",INDEX(STOCK!$M$6:$M$105,MATCH(A15,STOCK!$A$6:$A$105,0))))</f>
        <v>0.25</v>
      </c>
      <c r="J15" s="14">
        <f>IF(OR(A15="",COUNTIF(STOCK!$A$6:$A$105,A15)&lt;&gt;1),"",IF(INDEX(STOCK!$L$6:$L$105,MATCH(A15,STOCK!$A$6:$A$105,0))="","",INDEX(STOCK!$L$6:$L$105,MATCH(A15,STOCK!$A$6:$A$105,0))))</f>
        <v>18</v>
      </c>
      <c r="K15" s="14" t="str">
        <f>IF(OR(A15="",COUNTIF(STOCK!$A$6:$A$105,A15)&lt;&gt;1),"",IF(INDEX(STOCK!$N$6:$N$105,MATCH(A15,STOCK!$A$6:$A$105,0))="","",INDEX(STOCK!$N$6:$N$105,MATCH(A15,STOCK!$A$6:$A$105,0))))</f>
        <v/>
      </c>
      <c r="L15" s="14" t="str">
        <f>IF(OR(A15="",COUNTIF(STOCK!$A$6:$A$105,A15)&lt;&gt;1),"",IF(INDEX(STOCK!$O$6:$O$105,MATCH(A15,STOCK!$A$6:$A$105,0))="","",INDEX(STOCK!$O$6:$O$105,MATCH(A15,STOCK!$A$6:$A$105,0))))</f>
        <v/>
      </c>
      <c r="M15" s="14" t="str">
        <f>IF(OR(A15="",COUNTIF(STOCK!$A$6:$A$105,A15)&lt;&gt;1),"",IF(INDEX(STOCK!$P$6:$P$105,MATCH(A15,STOCK!$A$6:$A$105,0))="","",INDEX(STOCK!$P$6:$P$105,MATCH(A15,STOCK!$A$6:$A$105,0))))</f>
        <v/>
      </c>
      <c r="N15" s="14">
        <f>IF(OR(A15="",COUNTIF(STOCK!$A$6:$A$105,A15)&lt;&gt;1),"",IF(INDEX(STOCK!$I$6:$I$105,MATCH(A15,STOCK!$A$6:$A$105,0))="","",INDEX(STOCK!$I$6:$I$105,MATCH(A15,STOCK!$A$6:$A$105,0))))</f>
        <v>0</v>
      </c>
      <c r="O15" s="16" t="str">
        <f>IF(OR(A15="",COUNTIF(STOCK!$A$6:$A$105,A15)&lt;&gt;1),"",IF(INDEX(STOCK!$J$6:$J$105,MATCH(A15,STOCK!$A$6:$A$105,0))="","",INDEX(STOCK!$J$6:$J$105,MATCH(A15,STOCK!$A$6:$A$105,0))))</f>
        <v/>
      </c>
      <c r="P15" s="11">
        <f>IF(OR(A15="",COUNTIF(STOCK!$A$6:$A$105,A15)&lt;&gt;1),"",IF(INDEX(STOCK!$R$6:$R$105,MATCH(A15,STOCK!$A$6:$A$105,0))="","",INDEX(STOCK!$R$6:$R$105,MATCH(A15,STOCK!$A$6:$A$105,0))))</f>
        <v>0</v>
      </c>
      <c r="Q15" s="12" t="str">
        <f t="shared" si="0"/>
        <v>SKU PAUSADO</v>
      </c>
      <c r="R15" s="17" t="str">
        <f t="shared" si="1"/>
        <v>Se retiene la propuesta: PAUSADO.
Blanco significa desconocido; resolver la evidencia antes de decidir.</v>
      </c>
      <c r="S15" s="17" t="str">
        <f t="shared" si="2"/>
        <v>Corregir o confirmar la evidencia señalada en STOCK / CONFIG; no comprar con esta hoja todavía.</v>
      </c>
    </row>
    <row r="16" spans="1:19" ht="42" customHeight="1" x14ac:dyDescent="0.45">
      <c r="A16" s="12" t="str">
        <f>IF(CATALOGO!A16="","",CATALOGO!A16)</f>
        <v/>
      </c>
      <c r="B16" s="12" t="str">
        <f>IF(A16="","",CATALOGO!B16)</f>
        <v/>
      </c>
      <c r="C16" s="12" t="str">
        <f>IF(A16="","",CATALOGO!F16)</f>
        <v/>
      </c>
      <c r="D16" s="11" t="str">
        <f>IF(A16="","",CATALOGO!G16)</f>
        <v/>
      </c>
      <c r="E16" s="11" t="str">
        <f>IF(A16="","",CATALOGO!P16)</f>
        <v/>
      </c>
      <c r="F16" s="11" t="str">
        <f>IF(A16="","",CATALOGO!S16)</f>
        <v/>
      </c>
      <c r="G16" s="15" t="str">
        <f>IF(A16="","",CATALOGO!R16)</f>
        <v/>
      </c>
      <c r="H16" s="12" t="str">
        <f>IF(A16="","",IF(COUNTIF(STOCK!$A$6:$A$105,A16)&lt;&gt;1,"SIN STOCK UNICO",INDEX(STOCK!$K$6:$K$105,MATCH(A16,STOCK!$A$6:$A$105,0))))</f>
        <v/>
      </c>
      <c r="I16" s="12" t="str">
        <f>IF(OR(A16="",COUNTIF(STOCK!$A$6:$A$105,A16)&lt;&gt;1),"",IF(INDEX(STOCK!$M$6:$M$105,MATCH(A16,STOCK!$A$6:$A$105,0))="","",INDEX(STOCK!$M$6:$M$105,MATCH(A16,STOCK!$A$6:$A$105,0))))</f>
        <v/>
      </c>
      <c r="J16" s="14" t="str">
        <f>IF(OR(A16="",COUNTIF(STOCK!$A$6:$A$105,A16)&lt;&gt;1),"",IF(INDEX(STOCK!$L$6:$L$105,MATCH(A16,STOCK!$A$6:$A$105,0))="","",INDEX(STOCK!$L$6:$L$105,MATCH(A16,STOCK!$A$6:$A$105,0))))</f>
        <v/>
      </c>
      <c r="K16" s="14" t="str">
        <f>IF(OR(A16="",COUNTIF(STOCK!$A$6:$A$105,A16)&lt;&gt;1),"",IF(INDEX(STOCK!$N$6:$N$105,MATCH(A16,STOCK!$A$6:$A$105,0))="","",INDEX(STOCK!$N$6:$N$105,MATCH(A16,STOCK!$A$6:$A$105,0))))</f>
        <v/>
      </c>
      <c r="L16" s="14" t="str">
        <f>IF(OR(A16="",COUNTIF(STOCK!$A$6:$A$105,A16)&lt;&gt;1),"",IF(INDEX(STOCK!$O$6:$O$105,MATCH(A16,STOCK!$A$6:$A$105,0))="","",INDEX(STOCK!$O$6:$O$105,MATCH(A16,STOCK!$A$6:$A$105,0))))</f>
        <v/>
      </c>
      <c r="M16" s="14" t="str">
        <f>IF(OR(A16="",COUNTIF(STOCK!$A$6:$A$105,A16)&lt;&gt;1),"",IF(INDEX(STOCK!$P$6:$P$105,MATCH(A16,STOCK!$A$6:$A$105,0))="","",INDEX(STOCK!$P$6:$P$105,MATCH(A16,STOCK!$A$6:$A$105,0))))</f>
        <v/>
      </c>
      <c r="N16" s="14" t="str">
        <f>IF(OR(A16="",COUNTIF(STOCK!$A$6:$A$105,A16)&lt;&gt;1),"",IF(INDEX(STOCK!$I$6:$I$105,MATCH(A16,STOCK!$A$6:$A$105,0))="","",INDEX(STOCK!$I$6:$I$105,MATCH(A16,STOCK!$A$6:$A$105,0))))</f>
        <v/>
      </c>
      <c r="O16" s="16" t="str">
        <f>IF(OR(A16="",COUNTIF(STOCK!$A$6:$A$105,A16)&lt;&gt;1),"",IF(INDEX(STOCK!$J$6:$J$105,MATCH(A16,STOCK!$A$6:$A$105,0))="","",INDEX(STOCK!$J$6:$J$105,MATCH(A16,STOCK!$A$6:$A$105,0))))</f>
        <v/>
      </c>
      <c r="P16" s="11" t="str">
        <f>IF(OR(A16="",COUNTIF(STOCK!$A$6:$A$105,A16)&lt;&gt;1),"",IF(INDEX(STOCK!$R$6:$R$105,MATCH(A16,STOCK!$A$6:$A$105,0))="","",INDEX(STOCK!$R$6:$R$105,MATCH(A16,STOCK!$A$6:$A$105,0))))</f>
        <v/>
      </c>
      <c r="Q16" s="12" t="str">
        <f t="shared" si="0"/>
        <v/>
      </c>
      <c r="R16" s="17" t="str">
        <f t="shared" si="1"/>
        <v/>
      </c>
      <c r="S16" s="17" t="str">
        <f t="shared" si="2"/>
        <v/>
      </c>
    </row>
    <row r="17" spans="1:19" ht="42" customHeight="1" x14ac:dyDescent="0.45">
      <c r="A17" s="12" t="str">
        <f>IF(CATALOGO!A17="","",CATALOGO!A17)</f>
        <v/>
      </c>
      <c r="B17" s="12" t="str">
        <f>IF(A17="","",CATALOGO!B17)</f>
        <v/>
      </c>
      <c r="C17" s="12" t="str">
        <f>IF(A17="","",CATALOGO!F17)</f>
        <v/>
      </c>
      <c r="D17" s="11" t="str">
        <f>IF(A17="","",CATALOGO!G17)</f>
        <v/>
      </c>
      <c r="E17" s="11" t="str">
        <f>IF(A17="","",CATALOGO!P17)</f>
        <v/>
      </c>
      <c r="F17" s="11" t="str">
        <f>IF(A17="","",CATALOGO!S17)</f>
        <v/>
      </c>
      <c r="G17" s="15" t="str">
        <f>IF(A17="","",CATALOGO!R17)</f>
        <v/>
      </c>
      <c r="H17" s="12" t="str">
        <f>IF(A17="","",IF(COUNTIF(STOCK!$A$6:$A$105,A17)&lt;&gt;1,"SIN STOCK UNICO",INDEX(STOCK!$K$6:$K$105,MATCH(A17,STOCK!$A$6:$A$105,0))))</f>
        <v/>
      </c>
      <c r="I17" s="12" t="str">
        <f>IF(OR(A17="",COUNTIF(STOCK!$A$6:$A$105,A17)&lt;&gt;1),"",IF(INDEX(STOCK!$M$6:$M$105,MATCH(A17,STOCK!$A$6:$A$105,0))="","",INDEX(STOCK!$M$6:$M$105,MATCH(A17,STOCK!$A$6:$A$105,0))))</f>
        <v/>
      </c>
      <c r="J17" s="14" t="str">
        <f>IF(OR(A17="",COUNTIF(STOCK!$A$6:$A$105,A17)&lt;&gt;1),"",IF(INDEX(STOCK!$L$6:$L$105,MATCH(A17,STOCK!$A$6:$A$105,0))="","",INDEX(STOCK!$L$6:$L$105,MATCH(A17,STOCK!$A$6:$A$105,0))))</f>
        <v/>
      </c>
      <c r="K17" s="14" t="str">
        <f>IF(OR(A17="",COUNTIF(STOCK!$A$6:$A$105,A17)&lt;&gt;1),"",IF(INDEX(STOCK!$N$6:$N$105,MATCH(A17,STOCK!$A$6:$A$105,0))="","",INDEX(STOCK!$N$6:$N$105,MATCH(A17,STOCK!$A$6:$A$105,0))))</f>
        <v/>
      </c>
      <c r="L17" s="14" t="str">
        <f>IF(OR(A17="",COUNTIF(STOCK!$A$6:$A$105,A17)&lt;&gt;1),"",IF(INDEX(STOCK!$O$6:$O$105,MATCH(A17,STOCK!$A$6:$A$105,0))="","",INDEX(STOCK!$O$6:$O$105,MATCH(A17,STOCK!$A$6:$A$105,0))))</f>
        <v/>
      </c>
      <c r="M17" s="14" t="str">
        <f>IF(OR(A17="",COUNTIF(STOCK!$A$6:$A$105,A17)&lt;&gt;1),"",IF(INDEX(STOCK!$P$6:$P$105,MATCH(A17,STOCK!$A$6:$A$105,0))="","",INDEX(STOCK!$P$6:$P$105,MATCH(A17,STOCK!$A$6:$A$105,0))))</f>
        <v/>
      </c>
      <c r="N17" s="14" t="str">
        <f>IF(OR(A17="",COUNTIF(STOCK!$A$6:$A$105,A17)&lt;&gt;1),"",IF(INDEX(STOCK!$I$6:$I$105,MATCH(A17,STOCK!$A$6:$A$105,0))="","",INDEX(STOCK!$I$6:$I$105,MATCH(A17,STOCK!$A$6:$A$105,0))))</f>
        <v/>
      </c>
      <c r="O17" s="16" t="str">
        <f>IF(OR(A17="",COUNTIF(STOCK!$A$6:$A$105,A17)&lt;&gt;1),"",IF(INDEX(STOCK!$J$6:$J$105,MATCH(A17,STOCK!$A$6:$A$105,0))="","",INDEX(STOCK!$J$6:$J$105,MATCH(A17,STOCK!$A$6:$A$105,0))))</f>
        <v/>
      </c>
      <c r="P17" s="11" t="str">
        <f>IF(OR(A17="",COUNTIF(STOCK!$A$6:$A$105,A17)&lt;&gt;1),"",IF(INDEX(STOCK!$R$6:$R$105,MATCH(A17,STOCK!$A$6:$A$105,0))="","",INDEX(STOCK!$R$6:$R$105,MATCH(A17,STOCK!$A$6:$A$105,0))))</f>
        <v/>
      </c>
      <c r="Q17" s="12" t="str">
        <f t="shared" si="0"/>
        <v/>
      </c>
      <c r="R17" s="17" t="str">
        <f t="shared" si="1"/>
        <v/>
      </c>
      <c r="S17" s="17" t="str">
        <f t="shared" si="2"/>
        <v/>
      </c>
    </row>
    <row r="18" spans="1:19" ht="42" customHeight="1" x14ac:dyDescent="0.45">
      <c r="A18" s="12" t="str">
        <f>IF(CATALOGO!A18="","",CATALOGO!A18)</f>
        <v/>
      </c>
      <c r="B18" s="12" t="str">
        <f>IF(A18="","",CATALOGO!B18)</f>
        <v/>
      </c>
      <c r="C18" s="12" t="str">
        <f>IF(A18="","",CATALOGO!F18)</f>
        <v/>
      </c>
      <c r="D18" s="11" t="str">
        <f>IF(A18="","",CATALOGO!G18)</f>
        <v/>
      </c>
      <c r="E18" s="11" t="str">
        <f>IF(A18="","",CATALOGO!P18)</f>
        <v/>
      </c>
      <c r="F18" s="11" t="str">
        <f>IF(A18="","",CATALOGO!S18)</f>
        <v/>
      </c>
      <c r="G18" s="15" t="str">
        <f>IF(A18="","",CATALOGO!R18)</f>
        <v/>
      </c>
      <c r="H18" s="12" t="str">
        <f>IF(A18="","",IF(COUNTIF(STOCK!$A$6:$A$105,A18)&lt;&gt;1,"SIN STOCK UNICO",INDEX(STOCK!$K$6:$K$105,MATCH(A18,STOCK!$A$6:$A$105,0))))</f>
        <v/>
      </c>
      <c r="I18" s="12" t="str">
        <f>IF(OR(A18="",COUNTIF(STOCK!$A$6:$A$105,A18)&lt;&gt;1),"",IF(INDEX(STOCK!$M$6:$M$105,MATCH(A18,STOCK!$A$6:$A$105,0))="","",INDEX(STOCK!$M$6:$M$105,MATCH(A18,STOCK!$A$6:$A$105,0))))</f>
        <v/>
      </c>
      <c r="J18" s="14" t="str">
        <f>IF(OR(A18="",COUNTIF(STOCK!$A$6:$A$105,A18)&lt;&gt;1),"",IF(INDEX(STOCK!$L$6:$L$105,MATCH(A18,STOCK!$A$6:$A$105,0))="","",INDEX(STOCK!$L$6:$L$105,MATCH(A18,STOCK!$A$6:$A$105,0))))</f>
        <v/>
      </c>
      <c r="K18" s="14" t="str">
        <f>IF(OR(A18="",COUNTIF(STOCK!$A$6:$A$105,A18)&lt;&gt;1),"",IF(INDEX(STOCK!$N$6:$N$105,MATCH(A18,STOCK!$A$6:$A$105,0))="","",INDEX(STOCK!$N$6:$N$105,MATCH(A18,STOCK!$A$6:$A$105,0))))</f>
        <v/>
      </c>
      <c r="L18" s="14" t="str">
        <f>IF(OR(A18="",COUNTIF(STOCK!$A$6:$A$105,A18)&lt;&gt;1),"",IF(INDEX(STOCK!$O$6:$O$105,MATCH(A18,STOCK!$A$6:$A$105,0))="","",INDEX(STOCK!$O$6:$O$105,MATCH(A18,STOCK!$A$6:$A$105,0))))</f>
        <v/>
      </c>
      <c r="M18" s="14" t="str">
        <f>IF(OR(A18="",COUNTIF(STOCK!$A$6:$A$105,A18)&lt;&gt;1),"",IF(INDEX(STOCK!$P$6:$P$105,MATCH(A18,STOCK!$A$6:$A$105,0))="","",INDEX(STOCK!$P$6:$P$105,MATCH(A18,STOCK!$A$6:$A$105,0))))</f>
        <v/>
      </c>
      <c r="N18" s="14" t="str">
        <f>IF(OR(A18="",COUNTIF(STOCK!$A$6:$A$105,A18)&lt;&gt;1),"",IF(INDEX(STOCK!$I$6:$I$105,MATCH(A18,STOCK!$A$6:$A$105,0))="","",INDEX(STOCK!$I$6:$I$105,MATCH(A18,STOCK!$A$6:$A$105,0))))</f>
        <v/>
      </c>
      <c r="O18" s="16" t="str">
        <f>IF(OR(A18="",COUNTIF(STOCK!$A$6:$A$105,A18)&lt;&gt;1),"",IF(INDEX(STOCK!$J$6:$J$105,MATCH(A18,STOCK!$A$6:$A$105,0))="","",INDEX(STOCK!$J$6:$J$105,MATCH(A18,STOCK!$A$6:$A$105,0))))</f>
        <v/>
      </c>
      <c r="P18" s="11" t="str">
        <f>IF(OR(A18="",COUNTIF(STOCK!$A$6:$A$105,A18)&lt;&gt;1),"",IF(INDEX(STOCK!$R$6:$R$105,MATCH(A18,STOCK!$A$6:$A$105,0))="","",INDEX(STOCK!$R$6:$R$105,MATCH(A18,STOCK!$A$6:$A$105,0))))</f>
        <v/>
      </c>
      <c r="Q18" s="12" t="str">
        <f t="shared" si="0"/>
        <v/>
      </c>
      <c r="R18" s="17" t="str">
        <f t="shared" si="1"/>
        <v/>
      </c>
      <c r="S18" s="17" t="str">
        <f t="shared" si="2"/>
        <v/>
      </c>
    </row>
    <row r="19" spans="1:19" ht="42" customHeight="1" x14ac:dyDescent="0.45">
      <c r="A19" s="12" t="str">
        <f>IF(CATALOGO!A19="","",CATALOGO!A19)</f>
        <v/>
      </c>
      <c r="B19" s="12" t="str">
        <f>IF(A19="","",CATALOGO!B19)</f>
        <v/>
      </c>
      <c r="C19" s="12" t="str">
        <f>IF(A19="","",CATALOGO!F19)</f>
        <v/>
      </c>
      <c r="D19" s="11" t="str">
        <f>IF(A19="","",CATALOGO!G19)</f>
        <v/>
      </c>
      <c r="E19" s="11" t="str">
        <f>IF(A19="","",CATALOGO!P19)</f>
        <v/>
      </c>
      <c r="F19" s="11" t="str">
        <f>IF(A19="","",CATALOGO!S19)</f>
        <v/>
      </c>
      <c r="G19" s="15" t="str">
        <f>IF(A19="","",CATALOGO!R19)</f>
        <v/>
      </c>
      <c r="H19" s="12" t="str">
        <f>IF(A19="","",IF(COUNTIF(STOCK!$A$6:$A$105,A19)&lt;&gt;1,"SIN STOCK UNICO",INDEX(STOCK!$K$6:$K$105,MATCH(A19,STOCK!$A$6:$A$105,0))))</f>
        <v/>
      </c>
      <c r="I19" s="12" t="str">
        <f>IF(OR(A19="",COUNTIF(STOCK!$A$6:$A$105,A19)&lt;&gt;1),"",IF(INDEX(STOCK!$M$6:$M$105,MATCH(A19,STOCK!$A$6:$A$105,0))="","",INDEX(STOCK!$M$6:$M$105,MATCH(A19,STOCK!$A$6:$A$105,0))))</f>
        <v/>
      </c>
      <c r="J19" s="14" t="str">
        <f>IF(OR(A19="",COUNTIF(STOCK!$A$6:$A$105,A19)&lt;&gt;1),"",IF(INDEX(STOCK!$L$6:$L$105,MATCH(A19,STOCK!$A$6:$A$105,0))="","",INDEX(STOCK!$L$6:$L$105,MATCH(A19,STOCK!$A$6:$A$105,0))))</f>
        <v/>
      </c>
      <c r="K19" s="14" t="str">
        <f>IF(OR(A19="",COUNTIF(STOCK!$A$6:$A$105,A19)&lt;&gt;1),"",IF(INDEX(STOCK!$N$6:$N$105,MATCH(A19,STOCK!$A$6:$A$105,0))="","",INDEX(STOCK!$N$6:$N$105,MATCH(A19,STOCK!$A$6:$A$105,0))))</f>
        <v/>
      </c>
      <c r="L19" s="14" t="str">
        <f>IF(OR(A19="",COUNTIF(STOCK!$A$6:$A$105,A19)&lt;&gt;1),"",IF(INDEX(STOCK!$O$6:$O$105,MATCH(A19,STOCK!$A$6:$A$105,0))="","",INDEX(STOCK!$O$6:$O$105,MATCH(A19,STOCK!$A$6:$A$105,0))))</f>
        <v/>
      </c>
      <c r="M19" s="14" t="str">
        <f>IF(OR(A19="",COUNTIF(STOCK!$A$6:$A$105,A19)&lt;&gt;1),"",IF(INDEX(STOCK!$P$6:$P$105,MATCH(A19,STOCK!$A$6:$A$105,0))="","",INDEX(STOCK!$P$6:$P$105,MATCH(A19,STOCK!$A$6:$A$105,0))))</f>
        <v/>
      </c>
      <c r="N19" s="14" t="str">
        <f>IF(OR(A19="",COUNTIF(STOCK!$A$6:$A$105,A19)&lt;&gt;1),"",IF(INDEX(STOCK!$I$6:$I$105,MATCH(A19,STOCK!$A$6:$A$105,0))="","",INDEX(STOCK!$I$6:$I$105,MATCH(A19,STOCK!$A$6:$A$105,0))))</f>
        <v/>
      </c>
      <c r="O19" s="16" t="str">
        <f>IF(OR(A19="",COUNTIF(STOCK!$A$6:$A$105,A19)&lt;&gt;1),"",IF(INDEX(STOCK!$J$6:$J$105,MATCH(A19,STOCK!$A$6:$A$105,0))="","",INDEX(STOCK!$J$6:$J$105,MATCH(A19,STOCK!$A$6:$A$105,0))))</f>
        <v/>
      </c>
      <c r="P19" s="11" t="str">
        <f>IF(OR(A19="",COUNTIF(STOCK!$A$6:$A$105,A19)&lt;&gt;1),"",IF(INDEX(STOCK!$R$6:$R$105,MATCH(A19,STOCK!$A$6:$A$105,0))="","",INDEX(STOCK!$R$6:$R$105,MATCH(A19,STOCK!$A$6:$A$105,0))))</f>
        <v/>
      </c>
      <c r="Q19" s="12" t="str">
        <f t="shared" si="0"/>
        <v/>
      </c>
      <c r="R19" s="17" t="str">
        <f t="shared" si="1"/>
        <v/>
      </c>
      <c r="S19" s="17" t="str">
        <f t="shared" si="2"/>
        <v/>
      </c>
    </row>
    <row r="20" spans="1:19" ht="42" customHeight="1" x14ac:dyDescent="0.45">
      <c r="A20" s="12" t="str">
        <f>IF(CATALOGO!A20="","",CATALOGO!A20)</f>
        <v/>
      </c>
      <c r="B20" s="12" t="str">
        <f>IF(A20="","",CATALOGO!B20)</f>
        <v/>
      </c>
      <c r="C20" s="12" t="str">
        <f>IF(A20="","",CATALOGO!F20)</f>
        <v/>
      </c>
      <c r="D20" s="11" t="str">
        <f>IF(A20="","",CATALOGO!G20)</f>
        <v/>
      </c>
      <c r="E20" s="11" t="str">
        <f>IF(A20="","",CATALOGO!P20)</f>
        <v/>
      </c>
      <c r="F20" s="11" t="str">
        <f>IF(A20="","",CATALOGO!S20)</f>
        <v/>
      </c>
      <c r="G20" s="15" t="str">
        <f>IF(A20="","",CATALOGO!R20)</f>
        <v/>
      </c>
      <c r="H20" s="12" t="str">
        <f>IF(A20="","",IF(COUNTIF(STOCK!$A$6:$A$105,A20)&lt;&gt;1,"SIN STOCK UNICO",INDEX(STOCK!$K$6:$K$105,MATCH(A20,STOCK!$A$6:$A$105,0))))</f>
        <v/>
      </c>
      <c r="I20" s="12" t="str">
        <f>IF(OR(A20="",COUNTIF(STOCK!$A$6:$A$105,A20)&lt;&gt;1),"",IF(INDEX(STOCK!$M$6:$M$105,MATCH(A20,STOCK!$A$6:$A$105,0))="","",INDEX(STOCK!$M$6:$M$105,MATCH(A20,STOCK!$A$6:$A$105,0))))</f>
        <v/>
      </c>
      <c r="J20" s="14" t="str">
        <f>IF(OR(A20="",COUNTIF(STOCK!$A$6:$A$105,A20)&lt;&gt;1),"",IF(INDEX(STOCK!$L$6:$L$105,MATCH(A20,STOCK!$A$6:$A$105,0))="","",INDEX(STOCK!$L$6:$L$105,MATCH(A20,STOCK!$A$6:$A$105,0))))</f>
        <v/>
      </c>
      <c r="K20" s="14" t="str">
        <f>IF(OR(A20="",COUNTIF(STOCK!$A$6:$A$105,A20)&lt;&gt;1),"",IF(INDEX(STOCK!$N$6:$N$105,MATCH(A20,STOCK!$A$6:$A$105,0))="","",INDEX(STOCK!$N$6:$N$105,MATCH(A20,STOCK!$A$6:$A$105,0))))</f>
        <v/>
      </c>
      <c r="L20" s="14" t="str">
        <f>IF(OR(A20="",COUNTIF(STOCK!$A$6:$A$105,A20)&lt;&gt;1),"",IF(INDEX(STOCK!$O$6:$O$105,MATCH(A20,STOCK!$A$6:$A$105,0))="","",INDEX(STOCK!$O$6:$O$105,MATCH(A20,STOCK!$A$6:$A$105,0))))</f>
        <v/>
      </c>
      <c r="M20" s="14" t="str">
        <f>IF(OR(A20="",COUNTIF(STOCK!$A$6:$A$105,A20)&lt;&gt;1),"",IF(INDEX(STOCK!$P$6:$P$105,MATCH(A20,STOCK!$A$6:$A$105,0))="","",INDEX(STOCK!$P$6:$P$105,MATCH(A20,STOCK!$A$6:$A$105,0))))</f>
        <v/>
      </c>
      <c r="N20" s="14" t="str">
        <f>IF(OR(A20="",COUNTIF(STOCK!$A$6:$A$105,A20)&lt;&gt;1),"",IF(INDEX(STOCK!$I$6:$I$105,MATCH(A20,STOCK!$A$6:$A$105,0))="","",INDEX(STOCK!$I$6:$I$105,MATCH(A20,STOCK!$A$6:$A$105,0))))</f>
        <v/>
      </c>
      <c r="O20" s="16" t="str">
        <f>IF(OR(A20="",COUNTIF(STOCK!$A$6:$A$105,A20)&lt;&gt;1),"",IF(INDEX(STOCK!$J$6:$J$105,MATCH(A20,STOCK!$A$6:$A$105,0))="","",INDEX(STOCK!$J$6:$J$105,MATCH(A20,STOCK!$A$6:$A$105,0))))</f>
        <v/>
      </c>
      <c r="P20" s="11" t="str">
        <f>IF(OR(A20="",COUNTIF(STOCK!$A$6:$A$105,A20)&lt;&gt;1),"",IF(INDEX(STOCK!$R$6:$R$105,MATCH(A20,STOCK!$A$6:$A$105,0))="","",INDEX(STOCK!$R$6:$R$105,MATCH(A20,STOCK!$A$6:$A$105,0))))</f>
        <v/>
      </c>
      <c r="Q20" s="12" t="str">
        <f t="shared" si="0"/>
        <v/>
      </c>
      <c r="R20" s="17" t="str">
        <f t="shared" si="1"/>
        <v/>
      </c>
      <c r="S20" s="17" t="str">
        <f t="shared" si="2"/>
        <v/>
      </c>
    </row>
    <row r="21" spans="1:19" ht="42" customHeight="1" x14ac:dyDescent="0.45">
      <c r="A21" s="12" t="str">
        <f>IF(CATALOGO!A21="","",CATALOGO!A21)</f>
        <v/>
      </c>
      <c r="B21" s="12" t="str">
        <f>IF(A21="","",CATALOGO!B21)</f>
        <v/>
      </c>
      <c r="C21" s="12" t="str">
        <f>IF(A21="","",CATALOGO!F21)</f>
        <v/>
      </c>
      <c r="D21" s="11" t="str">
        <f>IF(A21="","",CATALOGO!G21)</f>
        <v/>
      </c>
      <c r="E21" s="11" t="str">
        <f>IF(A21="","",CATALOGO!P21)</f>
        <v/>
      </c>
      <c r="F21" s="11" t="str">
        <f>IF(A21="","",CATALOGO!S21)</f>
        <v/>
      </c>
      <c r="G21" s="15" t="str">
        <f>IF(A21="","",CATALOGO!R21)</f>
        <v/>
      </c>
      <c r="H21" s="12" t="str">
        <f>IF(A21="","",IF(COUNTIF(STOCK!$A$6:$A$105,A21)&lt;&gt;1,"SIN STOCK UNICO",INDEX(STOCK!$K$6:$K$105,MATCH(A21,STOCK!$A$6:$A$105,0))))</f>
        <v/>
      </c>
      <c r="I21" s="12" t="str">
        <f>IF(OR(A21="",COUNTIF(STOCK!$A$6:$A$105,A21)&lt;&gt;1),"",IF(INDEX(STOCK!$M$6:$M$105,MATCH(A21,STOCK!$A$6:$A$105,0))="","",INDEX(STOCK!$M$6:$M$105,MATCH(A21,STOCK!$A$6:$A$105,0))))</f>
        <v/>
      </c>
      <c r="J21" s="14" t="str">
        <f>IF(OR(A21="",COUNTIF(STOCK!$A$6:$A$105,A21)&lt;&gt;1),"",IF(INDEX(STOCK!$L$6:$L$105,MATCH(A21,STOCK!$A$6:$A$105,0))="","",INDEX(STOCK!$L$6:$L$105,MATCH(A21,STOCK!$A$6:$A$105,0))))</f>
        <v/>
      </c>
      <c r="K21" s="14" t="str">
        <f>IF(OR(A21="",COUNTIF(STOCK!$A$6:$A$105,A21)&lt;&gt;1),"",IF(INDEX(STOCK!$N$6:$N$105,MATCH(A21,STOCK!$A$6:$A$105,0))="","",INDEX(STOCK!$N$6:$N$105,MATCH(A21,STOCK!$A$6:$A$105,0))))</f>
        <v/>
      </c>
      <c r="L21" s="14" t="str">
        <f>IF(OR(A21="",COUNTIF(STOCK!$A$6:$A$105,A21)&lt;&gt;1),"",IF(INDEX(STOCK!$O$6:$O$105,MATCH(A21,STOCK!$A$6:$A$105,0))="","",INDEX(STOCK!$O$6:$O$105,MATCH(A21,STOCK!$A$6:$A$105,0))))</f>
        <v/>
      </c>
      <c r="M21" s="14" t="str">
        <f>IF(OR(A21="",COUNTIF(STOCK!$A$6:$A$105,A21)&lt;&gt;1),"",IF(INDEX(STOCK!$P$6:$P$105,MATCH(A21,STOCK!$A$6:$A$105,0))="","",INDEX(STOCK!$P$6:$P$105,MATCH(A21,STOCK!$A$6:$A$105,0))))</f>
        <v/>
      </c>
      <c r="N21" s="14" t="str">
        <f>IF(OR(A21="",COUNTIF(STOCK!$A$6:$A$105,A21)&lt;&gt;1),"",IF(INDEX(STOCK!$I$6:$I$105,MATCH(A21,STOCK!$A$6:$A$105,0))="","",INDEX(STOCK!$I$6:$I$105,MATCH(A21,STOCK!$A$6:$A$105,0))))</f>
        <v/>
      </c>
      <c r="O21" s="16" t="str">
        <f>IF(OR(A21="",COUNTIF(STOCK!$A$6:$A$105,A21)&lt;&gt;1),"",IF(INDEX(STOCK!$J$6:$J$105,MATCH(A21,STOCK!$A$6:$A$105,0))="","",INDEX(STOCK!$J$6:$J$105,MATCH(A21,STOCK!$A$6:$A$105,0))))</f>
        <v/>
      </c>
      <c r="P21" s="11" t="str">
        <f>IF(OR(A21="",COUNTIF(STOCK!$A$6:$A$105,A21)&lt;&gt;1),"",IF(INDEX(STOCK!$R$6:$R$105,MATCH(A21,STOCK!$A$6:$A$105,0))="","",INDEX(STOCK!$R$6:$R$105,MATCH(A21,STOCK!$A$6:$A$105,0))))</f>
        <v/>
      </c>
      <c r="Q21" s="12" t="str">
        <f t="shared" si="0"/>
        <v/>
      </c>
      <c r="R21" s="17" t="str">
        <f t="shared" si="1"/>
        <v/>
      </c>
      <c r="S21" s="17" t="str">
        <f t="shared" si="2"/>
        <v/>
      </c>
    </row>
    <row r="22" spans="1:19" ht="42" customHeight="1" x14ac:dyDescent="0.45">
      <c r="A22" s="12" t="str">
        <f>IF(CATALOGO!A22="","",CATALOGO!A22)</f>
        <v/>
      </c>
      <c r="B22" s="12" t="str">
        <f>IF(A22="","",CATALOGO!B22)</f>
        <v/>
      </c>
      <c r="C22" s="12" t="str">
        <f>IF(A22="","",CATALOGO!F22)</f>
        <v/>
      </c>
      <c r="D22" s="11" t="str">
        <f>IF(A22="","",CATALOGO!G22)</f>
        <v/>
      </c>
      <c r="E22" s="11" t="str">
        <f>IF(A22="","",CATALOGO!P22)</f>
        <v/>
      </c>
      <c r="F22" s="11" t="str">
        <f>IF(A22="","",CATALOGO!S22)</f>
        <v/>
      </c>
      <c r="G22" s="15" t="str">
        <f>IF(A22="","",CATALOGO!R22)</f>
        <v/>
      </c>
      <c r="H22" s="12" t="str">
        <f>IF(A22="","",IF(COUNTIF(STOCK!$A$6:$A$105,A22)&lt;&gt;1,"SIN STOCK UNICO",INDEX(STOCK!$K$6:$K$105,MATCH(A22,STOCK!$A$6:$A$105,0))))</f>
        <v/>
      </c>
      <c r="I22" s="12" t="str">
        <f>IF(OR(A22="",COUNTIF(STOCK!$A$6:$A$105,A22)&lt;&gt;1),"",IF(INDEX(STOCK!$M$6:$M$105,MATCH(A22,STOCK!$A$6:$A$105,0))="","",INDEX(STOCK!$M$6:$M$105,MATCH(A22,STOCK!$A$6:$A$105,0))))</f>
        <v/>
      </c>
      <c r="J22" s="14" t="str">
        <f>IF(OR(A22="",COUNTIF(STOCK!$A$6:$A$105,A22)&lt;&gt;1),"",IF(INDEX(STOCK!$L$6:$L$105,MATCH(A22,STOCK!$A$6:$A$105,0))="","",INDEX(STOCK!$L$6:$L$105,MATCH(A22,STOCK!$A$6:$A$105,0))))</f>
        <v/>
      </c>
      <c r="K22" s="14" t="str">
        <f>IF(OR(A22="",COUNTIF(STOCK!$A$6:$A$105,A22)&lt;&gt;1),"",IF(INDEX(STOCK!$N$6:$N$105,MATCH(A22,STOCK!$A$6:$A$105,0))="","",INDEX(STOCK!$N$6:$N$105,MATCH(A22,STOCK!$A$6:$A$105,0))))</f>
        <v/>
      </c>
      <c r="L22" s="14" t="str">
        <f>IF(OR(A22="",COUNTIF(STOCK!$A$6:$A$105,A22)&lt;&gt;1),"",IF(INDEX(STOCK!$O$6:$O$105,MATCH(A22,STOCK!$A$6:$A$105,0))="","",INDEX(STOCK!$O$6:$O$105,MATCH(A22,STOCK!$A$6:$A$105,0))))</f>
        <v/>
      </c>
      <c r="M22" s="14" t="str">
        <f>IF(OR(A22="",COUNTIF(STOCK!$A$6:$A$105,A22)&lt;&gt;1),"",IF(INDEX(STOCK!$P$6:$P$105,MATCH(A22,STOCK!$A$6:$A$105,0))="","",INDEX(STOCK!$P$6:$P$105,MATCH(A22,STOCK!$A$6:$A$105,0))))</f>
        <v/>
      </c>
      <c r="N22" s="14" t="str">
        <f>IF(OR(A22="",COUNTIF(STOCK!$A$6:$A$105,A22)&lt;&gt;1),"",IF(INDEX(STOCK!$I$6:$I$105,MATCH(A22,STOCK!$A$6:$A$105,0))="","",INDEX(STOCK!$I$6:$I$105,MATCH(A22,STOCK!$A$6:$A$105,0))))</f>
        <v/>
      </c>
      <c r="O22" s="16" t="str">
        <f>IF(OR(A22="",COUNTIF(STOCK!$A$6:$A$105,A22)&lt;&gt;1),"",IF(INDEX(STOCK!$J$6:$J$105,MATCH(A22,STOCK!$A$6:$A$105,0))="","",INDEX(STOCK!$J$6:$J$105,MATCH(A22,STOCK!$A$6:$A$105,0))))</f>
        <v/>
      </c>
      <c r="P22" s="11" t="str">
        <f>IF(OR(A22="",COUNTIF(STOCK!$A$6:$A$105,A22)&lt;&gt;1),"",IF(INDEX(STOCK!$R$6:$R$105,MATCH(A22,STOCK!$A$6:$A$105,0))="","",INDEX(STOCK!$R$6:$R$105,MATCH(A22,STOCK!$A$6:$A$105,0))))</f>
        <v/>
      </c>
      <c r="Q22" s="12" t="str">
        <f t="shared" si="0"/>
        <v/>
      </c>
      <c r="R22" s="17" t="str">
        <f t="shared" si="1"/>
        <v/>
      </c>
      <c r="S22" s="17" t="str">
        <f t="shared" si="2"/>
        <v/>
      </c>
    </row>
    <row r="23" spans="1:19" ht="42" customHeight="1" x14ac:dyDescent="0.45">
      <c r="A23" s="12" t="str">
        <f>IF(CATALOGO!A23="","",CATALOGO!A23)</f>
        <v/>
      </c>
      <c r="B23" s="12" t="str">
        <f>IF(A23="","",CATALOGO!B23)</f>
        <v/>
      </c>
      <c r="C23" s="12" t="str">
        <f>IF(A23="","",CATALOGO!F23)</f>
        <v/>
      </c>
      <c r="D23" s="11" t="str">
        <f>IF(A23="","",CATALOGO!G23)</f>
        <v/>
      </c>
      <c r="E23" s="11" t="str">
        <f>IF(A23="","",CATALOGO!P23)</f>
        <v/>
      </c>
      <c r="F23" s="11" t="str">
        <f>IF(A23="","",CATALOGO!S23)</f>
        <v/>
      </c>
      <c r="G23" s="15" t="str">
        <f>IF(A23="","",CATALOGO!R23)</f>
        <v/>
      </c>
      <c r="H23" s="12" t="str">
        <f>IF(A23="","",IF(COUNTIF(STOCK!$A$6:$A$105,A23)&lt;&gt;1,"SIN STOCK UNICO",INDEX(STOCK!$K$6:$K$105,MATCH(A23,STOCK!$A$6:$A$105,0))))</f>
        <v/>
      </c>
      <c r="I23" s="12" t="str">
        <f>IF(OR(A23="",COUNTIF(STOCK!$A$6:$A$105,A23)&lt;&gt;1),"",IF(INDEX(STOCK!$M$6:$M$105,MATCH(A23,STOCK!$A$6:$A$105,0))="","",INDEX(STOCK!$M$6:$M$105,MATCH(A23,STOCK!$A$6:$A$105,0))))</f>
        <v/>
      </c>
      <c r="J23" s="14" t="str">
        <f>IF(OR(A23="",COUNTIF(STOCK!$A$6:$A$105,A23)&lt;&gt;1),"",IF(INDEX(STOCK!$L$6:$L$105,MATCH(A23,STOCK!$A$6:$A$105,0))="","",INDEX(STOCK!$L$6:$L$105,MATCH(A23,STOCK!$A$6:$A$105,0))))</f>
        <v/>
      </c>
      <c r="K23" s="14" t="str">
        <f>IF(OR(A23="",COUNTIF(STOCK!$A$6:$A$105,A23)&lt;&gt;1),"",IF(INDEX(STOCK!$N$6:$N$105,MATCH(A23,STOCK!$A$6:$A$105,0))="","",INDEX(STOCK!$N$6:$N$105,MATCH(A23,STOCK!$A$6:$A$105,0))))</f>
        <v/>
      </c>
      <c r="L23" s="14" t="str">
        <f>IF(OR(A23="",COUNTIF(STOCK!$A$6:$A$105,A23)&lt;&gt;1),"",IF(INDEX(STOCK!$O$6:$O$105,MATCH(A23,STOCK!$A$6:$A$105,0))="","",INDEX(STOCK!$O$6:$O$105,MATCH(A23,STOCK!$A$6:$A$105,0))))</f>
        <v/>
      </c>
      <c r="M23" s="14" t="str">
        <f>IF(OR(A23="",COUNTIF(STOCK!$A$6:$A$105,A23)&lt;&gt;1),"",IF(INDEX(STOCK!$P$6:$P$105,MATCH(A23,STOCK!$A$6:$A$105,0))="","",INDEX(STOCK!$P$6:$P$105,MATCH(A23,STOCK!$A$6:$A$105,0))))</f>
        <v/>
      </c>
      <c r="N23" s="14" t="str">
        <f>IF(OR(A23="",COUNTIF(STOCK!$A$6:$A$105,A23)&lt;&gt;1),"",IF(INDEX(STOCK!$I$6:$I$105,MATCH(A23,STOCK!$A$6:$A$105,0))="","",INDEX(STOCK!$I$6:$I$105,MATCH(A23,STOCK!$A$6:$A$105,0))))</f>
        <v/>
      </c>
      <c r="O23" s="16" t="str">
        <f>IF(OR(A23="",COUNTIF(STOCK!$A$6:$A$105,A23)&lt;&gt;1),"",IF(INDEX(STOCK!$J$6:$J$105,MATCH(A23,STOCK!$A$6:$A$105,0))="","",INDEX(STOCK!$J$6:$J$105,MATCH(A23,STOCK!$A$6:$A$105,0))))</f>
        <v/>
      </c>
      <c r="P23" s="11" t="str">
        <f>IF(OR(A23="",COUNTIF(STOCK!$A$6:$A$105,A23)&lt;&gt;1),"",IF(INDEX(STOCK!$R$6:$R$105,MATCH(A23,STOCK!$A$6:$A$105,0))="","",INDEX(STOCK!$R$6:$R$105,MATCH(A23,STOCK!$A$6:$A$105,0))))</f>
        <v/>
      </c>
      <c r="Q23" s="12" t="str">
        <f t="shared" si="0"/>
        <v/>
      </c>
      <c r="R23" s="17" t="str">
        <f t="shared" si="1"/>
        <v/>
      </c>
      <c r="S23" s="17" t="str">
        <f t="shared" si="2"/>
        <v/>
      </c>
    </row>
    <row r="24" spans="1:19" ht="42" customHeight="1" x14ac:dyDescent="0.45">
      <c r="A24" s="12" t="str">
        <f>IF(CATALOGO!A24="","",CATALOGO!A24)</f>
        <v/>
      </c>
      <c r="B24" s="12" t="str">
        <f>IF(A24="","",CATALOGO!B24)</f>
        <v/>
      </c>
      <c r="C24" s="12" t="str">
        <f>IF(A24="","",CATALOGO!F24)</f>
        <v/>
      </c>
      <c r="D24" s="11" t="str">
        <f>IF(A24="","",CATALOGO!G24)</f>
        <v/>
      </c>
      <c r="E24" s="11" t="str">
        <f>IF(A24="","",CATALOGO!P24)</f>
        <v/>
      </c>
      <c r="F24" s="11" t="str">
        <f>IF(A24="","",CATALOGO!S24)</f>
        <v/>
      </c>
      <c r="G24" s="15" t="str">
        <f>IF(A24="","",CATALOGO!R24)</f>
        <v/>
      </c>
      <c r="H24" s="12" t="str">
        <f>IF(A24="","",IF(COUNTIF(STOCK!$A$6:$A$105,A24)&lt;&gt;1,"SIN STOCK UNICO",INDEX(STOCK!$K$6:$K$105,MATCH(A24,STOCK!$A$6:$A$105,0))))</f>
        <v/>
      </c>
      <c r="I24" s="12" t="str">
        <f>IF(OR(A24="",COUNTIF(STOCK!$A$6:$A$105,A24)&lt;&gt;1),"",IF(INDEX(STOCK!$M$6:$M$105,MATCH(A24,STOCK!$A$6:$A$105,0))="","",INDEX(STOCK!$M$6:$M$105,MATCH(A24,STOCK!$A$6:$A$105,0))))</f>
        <v/>
      </c>
      <c r="J24" s="14" t="str">
        <f>IF(OR(A24="",COUNTIF(STOCK!$A$6:$A$105,A24)&lt;&gt;1),"",IF(INDEX(STOCK!$L$6:$L$105,MATCH(A24,STOCK!$A$6:$A$105,0))="","",INDEX(STOCK!$L$6:$L$105,MATCH(A24,STOCK!$A$6:$A$105,0))))</f>
        <v/>
      </c>
      <c r="K24" s="14" t="str">
        <f>IF(OR(A24="",COUNTIF(STOCK!$A$6:$A$105,A24)&lt;&gt;1),"",IF(INDEX(STOCK!$N$6:$N$105,MATCH(A24,STOCK!$A$6:$A$105,0))="","",INDEX(STOCK!$N$6:$N$105,MATCH(A24,STOCK!$A$6:$A$105,0))))</f>
        <v/>
      </c>
      <c r="L24" s="14" t="str">
        <f>IF(OR(A24="",COUNTIF(STOCK!$A$6:$A$105,A24)&lt;&gt;1),"",IF(INDEX(STOCK!$O$6:$O$105,MATCH(A24,STOCK!$A$6:$A$105,0))="","",INDEX(STOCK!$O$6:$O$105,MATCH(A24,STOCK!$A$6:$A$105,0))))</f>
        <v/>
      </c>
      <c r="M24" s="14" t="str">
        <f>IF(OR(A24="",COUNTIF(STOCK!$A$6:$A$105,A24)&lt;&gt;1),"",IF(INDEX(STOCK!$P$6:$P$105,MATCH(A24,STOCK!$A$6:$A$105,0))="","",INDEX(STOCK!$P$6:$P$105,MATCH(A24,STOCK!$A$6:$A$105,0))))</f>
        <v/>
      </c>
      <c r="N24" s="14" t="str">
        <f>IF(OR(A24="",COUNTIF(STOCK!$A$6:$A$105,A24)&lt;&gt;1),"",IF(INDEX(STOCK!$I$6:$I$105,MATCH(A24,STOCK!$A$6:$A$105,0))="","",INDEX(STOCK!$I$6:$I$105,MATCH(A24,STOCK!$A$6:$A$105,0))))</f>
        <v/>
      </c>
      <c r="O24" s="16" t="str">
        <f>IF(OR(A24="",COUNTIF(STOCK!$A$6:$A$105,A24)&lt;&gt;1),"",IF(INDEX(STOCK!$J$6:$J$105,MATCH(A24,STOCK!$A$6:$A$105,0))="","",INDEX(STOCK!$J$6:$J$105,MATCH(A24,STOCK!$A$6:$A$105,0))))</f>
        <v/>
      </c>
      <c r="P24" s="11" t="str">
        <f>IF(OR(A24="",COUNTIF(STOCK!$A$6:$A$105,A24)&lt;&gt;1),"",IF(INDEX(STOCK!$R$6:$R$105,MATCH(A24,STOCK!$A$6:$A$105,0))="","",INDEX(STOCK!$R$6:$R$105,MATCH(A24,STOCK!$A$6:$A$105,0))))</f>
        <v/>
      </c>
      <c r="Q24" s="12" t="str">
        <f t="shared" si="0"/>
        <v/>
      </c>
      <c r="R24" s="17" t="str">
        <f t="shared" si="1"/>
        <v/>
      </c>
      <c r="S24" s="17" t="str">
        <f t="shared" si="2"/>
        <v/>
      </c>
    </row>
    <row r="25" spans="1:19" ht="42" customHeight="1" x14ac:dyDescent="0.45">
      <c r="A25" s="12" t="str">
        <f>IF(CATALOGO!A25="","",CATALOGO!A25)</f>
        <v/>
      </c>
      <c r="B25" s="12" t="str">
        <f>IF(A25="","",CATALOGO!B25)</f>
        <v/>
      </c>
      <c r="C25" s="12" t="str">
        <f>IF(A25="","",CATALOGO!F25)</f>
        <v/>
      </c>
      <c r="D25" s="11" t="str">
        <f>IF(A25="","",CATALOGO!G25)</f>
        <v/>
      </c>
      <c r="E25" s="11" t="str">
        <f>IF(A25="","",CATALOGO!P25)</f>
        <v/>
      </c>
      <c r="F25" s="11" t="str">
        <f>IF(A25="","",CATALOGO!S25)</f>
        <v/>
      </c>
      <c r="G25" s="15" t="str">
        <f>IF(A25="","",CATALOGO!R25)</f>
        <v/>
      </c>
      <c r="H25" s="12" t="str">
        <f>IF(A25="","",IF(COUNTIF(STOCK!$A$6:$A$105,A25)&lt;&gt;1,"SIN STOCK UNICO",INDEX(STOCK!$K$6:$K$105,MATCH(A25,STOCK!$A$6:$A$105,0))))</f>
        <v/>
      </c>
      <c r="I25" s="12" t="str">
        <f>IF(OR(A25="",COUNTIF(STOCK!$A$6:$A$105,A25)&lt;&gt;1),"",IF(INDEX(STOCK!$M$6:$M$105,MATCH(A25,STOCK!$A$6:$A$105,0))="","",INDEX(STOCK!$M$6:$M$105,MATCH(A25,STOCK!$A$6:$A$105,0))))</f>
        <v/>
      </c>
      <c r="J25" s="14" t="str">
        <f>IF(OR(A25="",COUNTIF(STOCK!$A$6:$A$105,A25)&lt;&gt;1),"",IF(INDEX(STOCK!$L$6:$L$105,MATCH(A25,STOCK!$A$6:$A$105,0))="","",INDEX(STOCK!$L$6:$L$105,MATCH(A25,STOCK!$A$6:$A$105,0))))</f>
        <v/>
      </c>
      <c r="K25" s="14" t="str">
        <f>IF(OR(A25="",COUNTIF(STOCK!$A$6:$A$105,A25)&lt;&gt;1),"",IF(INDEX(STOCK!$N$6:$N$105,MATCH(A25,STOCK!$A$6:$A$105,0))="","",INDEX(STOCK!$N$6:$N$105,MATCH(A25,STOCK!$A$6:$A$105,0))))</f>
        <v/>
      </c>
      <c r="L25" s="14" t="str">
        <f>IF(OR(A25="",COUNTIF(STOCK!$A$6:$A$105,A25)&lt;&gt;1),"",IF(INDEX(STOCK!$O$6:$O$105,MATCH(A25,STOCK!$A$6:$A$105,0))="","",INDEX(STOCK!$O$6:$O$105,MATCH(A25,STOCK!$A$6:$A$105,0))))</f>
        <v/>
      </c>
      <c r="M25" s="14" t="str">
        <f>IF(OR(A25="",COUNTIF(STOCK!$A$6:$A$105,A25)&lt;&gt;1),"",IF(INDEX(STOCK!$P$6:$P$105,MATCH(A25,STOCK!$A$6:$A$105,0))="","",INDEX(STOCK!$P$6:$P$105,MATCH(A25,STOCK!$A$6:$A$105,0))))</f>
        <v/>
      </c>
      <c r="N25" s="14" t="str">
        <f>IF(OR(A25="",COUNTIF(STOCK!$A$6:$A$105,A25)&lt;&gt;1),"",IF(INDEX(STOCK!$I$6:$I$105,MATCH(A25,STOCK!$A$6:$A$105,0))="","",INDEX(STOCK!$I$6:$I$105,MATCH(A25,STOCK!$A$6:$A$105,0))))</f>
        <v/>
      </c>
      <c r="O25" s="16" t="str">
        <f>IF(OR(A25="",COUNTIF(STOCK!$A$6:$A$105,A25)&lt;&gt;1),"",IF(INDEX(STOCK!$J$6:$J$105,MATCH(A25,STOCK!$A$6:$A$105,0))="","",INDEX(STOCK!$J$6:$J$105,MATCH(A25,STOCK!$A$6:$A$105,0))))</f>
        <v/>
      </c>
      <c r="P25" s="11" t="str">
        <f>IF(OR(A25="",COUNTIF(STOCK!$A$6:$A$105,A25)&lt;&gt;1),"",IF(INDEX(STOCK!$R$6:$R$105,MATCH(A25,STOCK!$A$6:$A$105,0))="","",INDEX(STOCK!$R$6:$R$105,MATCH(A25,STOCK!$A$6:$A$105,0))))</f>
        <v/>
      </c>
      <c r="Q25" s="12" t="str">
        <f t="shared" si="0"/>
        <v/>
      </c>
      <c r="R25" s="17" t="str">
        <f t="shared" si="1"/>
        <v/>
      </c>
      <c r="S25" s="17" t="str">
        <f t="shared" si="2"/>
        <v/>
      </c>
    </row>
    <row r="26" spans="1:19" ht="42" customHeight="1" x14ac:dyDescent="0.45">
      <c r="A26" s="12" t="str">
        <f>IF(CATALOGO!A26="","",CATALOGO!A26)</f>
        <v/>
      </c>
      <c r="B26" s="12" t="str">
        <f>IF(A26="","",CATALOGO!B26)</f>
        <v/>
      </c>
      <c r="C26" s="12" t="str">
        <f>IF(A26="","",CATALOGO!F26)</f>
        <v/>
      </c>
      <c r="D26" s="11" t="str">
        <f>IF(A26="","",CATALOGO!G26)</f>
        <v/>
      </c>
      <c r="E26" s="11" t="str">
        <f>IF(A26="","",CATALOGO!P26)</f>
        <v/>
      </c>
      <c r="F26" s="11" t="str">
        <f>IF(A26="","",CATALOGO!S26)</f>
        <v/>
      </c>
      <c r="G26" s="15" t="str">
        <f>IF(A26="","",CATALOGO!R26)</f>
        <v/>
      </c>
      <c r="H26" s="12" t="str">
        <f>IF(A26="","",IF(COUNTIF(STOCK!$A$6:$A$105,A26)&lt;&gt;1,"SIN STOCK UNICO",INDEX(STOCK!$K$6:$K$105,MATCH(A26,STOCK!$A$6:$A$105,0))))</f>
        <v/>
      </c>
      <c r="I26" s="12" t="str">
        <f>IF(OR(A26="",COUNTIF(STOCK!$A$6:$A$105,A26)&lt;&gt;1),"",IF(INDEX(STOCK!$M$6:$M$105,MATCH(A26,STOCK!$A$6:$A$105,0))="","",INDEX(STOCK!$M$6:$M$105,MATCH(A26,STOCK!$A$6:$A$105,0))))</f>
        <v/>
      </c>
      <c r="J26" s="14" t="str">
        <f>IF(OR(A26="",COUNTIF(STOCK!$A$6:$A$105,A26)&lt;&gt;1),"",IF(INDEX(STOCK!$L$6:$L$105,MATCH(A26,STOCK!$A$6:$A$105,0))="","",INDEX(STOCK!$L$6:$L$105,MATCH(A26,STOCK!$A$6:$A$105,0))))</f>
        <v/>
      </c>
      <c r="K26" s="14" t="str">
        <f>IF(OR(A26="",COUNTIF(STOCK!$A$6:$A$105,A26)&lt;&gt;1),"",IF(INDEX(STOCK!$N$6:$N$105,MATCH(A26,STOCK!$A$6:$A$105,0))="","",INDEX(STOCK!$N$6:$N$105,MATCH(A26,STOCK!$A$6:$A$105,0))))</f>
        <v/>
      </c>
      <c r="L26" s="14" t="str">
        <f>IF(OR(A26="",COUNTIF(STOCK!$A$6:$A$105,A26)&lt;&gt;1),"",IF(INDEX(STOCK!$O$6:$O$105,MATCH(A26,STOCK!$A$6:$A$105,0))="","",INDEX(STOCK!$O$6:$O$105,MATCH(A26,STOCK!$A$6:$A$105,0))))</f>
        <v/>
      </c>
      <c r="M26" s="14" t="str">
        <f>IF(OR(A26="",COUNTIF(STOCK!$A$6:$A$105,A26)&lt;&gt;1),"",IF(INDEX(STOCK!$P$6:$P$105,MATCH(A26,STOCK!$A$6:$A$105,0))="","",INDEX(STOCK!$P$6:$P$105,MATCH(A26,STOCK!$A$6:$A$105,0))))</f>
        <v/>
      </c>
      <c r="N26" s="14" t="str">
        <f>IF(OR(A26="",COUNTIF(STOCK!$A$6:$A$105,A26)&lt;&gt;1),"",IF(INDEX(STOCK!$I$6:$I$105,MATCH(A26,STOCK!$A$6:$A$105,0))="","",INDEX(STOCK!$I$6:$I$105,MATCH(A26,STOCK!$A$6:$A$105,0))))</f>
        <v/>
      </c>
      <c r="O26" s="16" t="str">
        <f>IF(OR(A26="",COUNTIF(STOCK!$A$6:$A$105,A26)&lt;&gt;1),"",IF(INDEX(STOCK!$J$6:$J$105,MATCH(A26,STOCK!$A$6:$A$105,0))="","",INDEX(STOCK!$J$6:$J$105,MATCH(A26,STOCK!$A$6:$A$105,0))))</f>
        <v/>
      </c>
      <c r="P26" s="11" t="str">
        <f>IF(OR(A26="",COUNTIF(STOCK!$A$6:$A$105,A26)&lt;&gt;1),"",IF(INDEX(STOCK!$R$6:$R$105,MATCH(A26,STOCK!$A$6:$A$105,0))="","",INDEX(STOCK!$R$6:$R$105,MATCH(A26,STOCK!$A$6:$A$105,0))))</f>
        <v/>
      </c>
      <c r="Q26" s="12" t="str">
        <f t="shared" si="0"/>
        <v/>
      </c>
      <c r="R26" s="17" t="str">
        <f t="shared" si="1"/>
        <v/>
      </c>
      <c r="S26" s="17" t="str">
        <f t="shared" si="2"/>
        <v/>
      </c>
    </row>
    <row r="27" spans="1:19" ht="42" customHeight="1" x14ac:dyDescent="0.45">
      <c r="A27" s="12" t="str">
        <f>IF(CATALOGO!A27="","",CATALOGO!A27)</f>
        <v/>
      </c>
      <c r="B27" s="12" t="str">
        <f>IF(A27="","",CATALOGO!B27)</f>
        <v/>
      </c>
      <c r="C27" s="12" t="str">
        <f>IF(A27="","",CATALOGO!F27)</f>
        <v/>
      </c>
      <c r="D27" s="11" t="str">
        <f>IF(A27="","",CATALOGO!G27)</f>
        <v/>
      </c>
      <c r="E27" s="11" t="str">
        <f>IF(A27="","",CATALOGO!P27)</f>
        <v/>
      </c>
      <c r="F27" s="11" t="str">
        <f>IF(A27="","",CATALOGO!S27)</f>
        <v/>
      </c>
      <c r="G27" s="15" t="str">
        <f>IF(A27="","",CATALOGO!R27)</f>
        <v/>
      </c>
      <c r="H27" s="12" t="str">
        <f>IF(A27="","",IF(COUNTIF(STOCK!$A$6:$A$105,A27)&lt;&gt;1,"SIN STOCK UNICO",INDEX(STOCK!$K$6:$K$105,MATCH(A27,STOCK!$A$6:$A$105,0))))</f>
        <v/>
      </c>
      <c r="I27" s="12" t="str">
        <f>IF(OR(A27="",COUNTIF(STOCK!$A$6:$A$105,A27)&lt;&gt;1),"",IF(INDEX(STOCK!$M$6:$M$105,MATCH(A27,STOCK!$A$6:$A$105,0))="","",INDEX(STOCK!$M$6:$M$105,MATCH(A27,STOCK!$A$6:$A$105,0))))</f>
        <v/>
      </c>
      <c r="J27" s="14" t="str">
        <f>IF(OR(A27="",COUNTIF(STOCK!$A$6:$A$105,A27)&lt;&gt;1),"",IF(INDEX(STOCK!$L$6:$L$105,MATCH(A27,STOCK!$A$6:$A$105,0))="","",INDEX(STOCK!$L$6:$L$105,MATCH(A27,STOCK!$A$6:$A$105,0))))</f>
        <v/>
      </c>
      <c r="K27" s="14" t="str">
        <f>IF(OR(A27="",COUNTIF(STOCK!$A$6:$A$105,A27)&lt;&gt;1),"",IF(INDEX(STOCK!$N$6:$N$105,MATCH(A27,STOCK!$A$6:$A$105,0))="","",INDEX(STOCK!$N$6:$N$105,MATCH(A27,STOCK!$A$6:$A$105,0))))</f>
        <v/>
      </c>
      <c r="L27" s="14" t="str">
        <f>IF(OR(A27="",COUNTIF(STOCK!$A$6:$A$105,A27)&lt;&gt;1),"",IF(INDEX(STOCK!$O$6:$O$105,MATCH(A27,STOCK!$A$6:$A$105,0))="","",INDEX(STOCK!$O$6:$O$105,MATCH(A27,STOCK!$A$6:$A$105,0))))</f>
        <v/>
      </c>
      <c r="M27" s="14" t="str">
        <f>IF(OR(A27="",COUNTIF(STOCK!$A$6:$A$105,A27)&lt;&gt;1),"",IF(INDEX(STOCK!$P$6:$P$105,MATCH(A27,STOCK!$A$6:$A$105,0))="","",INDEX(STOCK!$P$6:$P$105,MATCH(A27,STOCK!$A$6:$A$105,0))))</f>
        <v/>
      </c>
      <c r="N27" s="14" t="str">
        <f>IF(OR(A27="",COUNTIF(STOCK!$A$6:$A$105,A27)&lt;&gt;1),"",IF(INDEX(STOCK!$I$6:$I$105,MATCH(A27,STOCK!$A$6:$A$105,0))="","",INDEX(STOCK!$I$6:$I$105,MATCH(A27,STOCK!$A$6:$A$105,0))))</f>
        <v/>
      </c>
      <c r="O27" s="16" t="str">
        <f>IF(OR(A27="",COUNTIF(STOCK!$A$6:$A$105,A27)&lt;&gt;1),"",IF(INDEX(STOCK!$J$6:$J$105,MATCH(A27,STOCK!$A$6:$A$105,0))="","",INDEX(STOCK!$J$6:$J$105,MATCH(A27,STOCK!$A$6:$A$105,0))))</f>
        <v/>
      </c>
      <c r="P27" s="11" t="str">
        <f>IF(OR(A27="",COUNTIF(STOCK!$A$6:$A$105,A27)&lt;&gt;1),"",IF(INDEX(STOCK!$R$6:$R$105,MATCH(A27,STOCK!$A$6:$A$105,0))="","",INDEX(STOCK!$R$6:$R$105,MATCH(A27,STOCK!$A$6:$A$105,0))))</f>
        <v/>
      </c>
      <c r="Q27" s="12" t="str">
        <f t="shared" si="0"/>
        <v/>
      </c>
      <c r="R27" s="17" t="str">
        <f t="shared" si="1"/>
        <v/>
      </c>
      <c r="S27" s="17" t="str">
        <f t="shared" si="2"/>
        <v/>
      </c>
    </row>
    <row r="28" spans="1:19" ht="42" customHeight="1" x14ac:dyDescent="0.45">
      <c r="A28" s="12" t="str">
        <f>IF(CATALOGO!A28="","",CATALOGO!A28)</f>
        <v/>
      </c>
      <c r="B28" s="12" t="str">
        <f>IF(A28="","",CATALOGO!B28)</f>
        <v/>
      </c>
      <c r="C28" s="12" t="str">
        <f>IF(A28="","",CATALOGO!F28)</f>
        <v/>
      </c>
      <c r="D28" s="11" t="str">
        <f>IF(A28="","",CATALOGO!G28)</f>
        <v/>
      </c>
      <c r="E28" s="11" t="str">
        <f>IF(A28="","",CATALOGO!P28)</f>
        <v/>
      </c>
      <c r="F28" s="11" t="str">
        <f>IF(A28="","",CATALOGO!S28)</f>
        <v/>
      </c>
      <c r="G28" s="15" t="str">
        <f>IF(A28="","",CATALOGO!R28)</f>
        <v/>
      </c>
      <c r="H28" s="12" t="str">
        <f>IF(A28="","",IF(COUNTIF(STOCK!$A$6:$A$105,A28)&lt;&gt;1,"SIN STOCK UNICO",INDEX(STOCK!$K$6:$K$105,MATCH(A28,STOCK!$A$6:$A$105,0))))</f>
        <v/>
      </c>
      <c r="I28" s="12" t="str">
        <f>IF(OR(A28="",COUNTIF(STOCK!$A$6:$A$105,A28)&lt;&gt;1),"",IF(INDEX(STOCK!$M$6:$M$105,MATCH(A28,STOCK!$A$6:$A$105,0))="","",INDEX(STOCK!$M$6:$M$105,MATCH(A28,STOCK!$A$6:$A$105,0))))</f>
        <v/>
      </c>
      <c r="J28" s="14" t="str">
        <f>IF(OR(A28="",COUNTIF(STOCK!$A$6:$A$105,A28)&lt;&gt;1),"",IF(INDEX(STOCK!$L$6:$L$105,MATCH(A28,STOCK!$A$6:$A$105,0))="","",INDEX(STOCK!$L$6:$L$105,MATCH(A28,STOCK!$A$6:$A$105,0))))</f>
        <v/>
      </c>
      <c r="K28" s="14" t="str">
        <f>IF(OR(A28="",COUNTIF(STOCK!$A$6:$A$105,A28)&lt;&gt;1),"",IF(INDEX(STOCK!$N$6:$N$105,MATCH(A28,STOCK!$A$6:$A$105,0))="","",INDEX(STOCK!$N$6:$N$105,MATCH(A28,STOCK!$A$6:$A$105,0))))</f>
        <v/>
      </c>
      <c r="L28" s="14" t="str">
        <f>IF(OR(A28="",COUNTIF(STOCK!$A$6:$A$105,A28)&lt;&gt;1),"",IF(INDEX(STOCK!$O$6:$O$105,MATCH(A28,STOCK!$A$6:$A$105,0))="","",INDEX(STOCK!$O$6:$O$105,MATCH(A28,STOCK!$A$6:$A$105,0))))</f>
        <v/>
      </c>
      <c r="M28" s="14" t="str">
        <f>IF(OR(A28="",COUNTIF(STOCK!$A$6:$A$105,A28)&lt;&gt;1),"",IF(INDEX(STOCK!$P$6:$P$105,MATCH(A28,STOCK!$A$6:$A$105,0))="","",INDEX(STOCK!$P$6:$P$105,MATCH(A28,STOCK!$A$6:$A$105,0))))</f>
        <v/>
      </c>
      <c r="N28" s="14" t="str">
        <f>IF(OR(A28="",COUNTIF(STOCK!$A$6:$A$105,A28)&lt;&gt;1),"",IF(INDEX(STOCK!$I$6:$I$105,MATCH(A28,STOCK!$A$6:$A$105,0))="","",INDEX(STOCK!$I$6:$I$105,MATCH(A28,STOCK!$A$6:$A$105,0))))</f>
        <v/>
      </c>
      <c r="O28" s="16" t="str">
        <f>IF(OR(A28="",COUNTIF(STOCK!$A$6:$A$105,A28)&lt;&gt;1),"",IF(INDEX(STOCK!$J$6:$J$105,MATCH(A28,STOCK!$A$6:$A$105,0))="","",INDEX(STOCK!$J$6:$J$105,MATCH(A28,STOCK!$A$6:$A$105,0))))</f>
        <v/>
      </c>
      <c r="P28" s="11" t="str">
        <f>IF(OR(A28="",COUNTIF(STOCK!$A$6:$A$105,A28)&lt;&gt;1),"",IF(INDEX(STOCK!$R$6:$R$105,MATCH(A28,STOCK!$A$6:$A$105,0))="","",INDEX(STOCK!$R$6:$R$105,MATCH(A28,STOCK!$A$6:$A$105,0))))</f>
        <v/>
      </c>
      <c r="Q28" s="12" t="str">
        <f t="shared" si="0"/>
        <v/>
      </c>
      <c r="R28" s="17" t="str">
        <f t="shared" si="1"/>
        <v/>
      </c>
      <c r="S28" s="17" t="str">
        <f t="shared" si="2"/>
        <v/>
      </c>
    </row>
    <row r="29" spans="1:19" ht="42" customHeight="1" x14ac:dyDescent="0.45">
      <c r="A29" s="12" t="str">
        <f>IF(CATALOGO!A29="","",CATALOGO!A29)</f>
        <v/>
      </c>
      <c r="B29" s="12" t="str">
        <f>IF(A29="","",CATALOGO!B29)</f>
        <v/>
      </c>
      <c r="C29" s="12" t="str">
        <f>IF(A29="","",CATALOGO!F29)</f>
        <v/>
      </c>
      <c r="D29" s="11" t="str">
        <f>IF(A29="","",CATALOGO!G29)</f>
        <v/>
      </c>
      <c r="E29" s="11" t="str">
        <f>IF(A29="","",CATALOGO!P29)</f>
        <v/>
      </c>
      <c r="F29" s="11" t="str">
        <f>IF(A29="","",CATALOGO!S29)</f>
        <v/>
      </c>
      <c r="G29" s="15" t="str">
        <f>IF(A29="","",CATALOGO!R29)</f>
        <v/>
      </c>
      <c r="H29" s="12" t="str">
        <f>IF(A29="","",IF(COUNTIF(STOCK!$A$6:$A$105,A29)&lt;&gt;1,"SIN STOCK UNICO",INDEX(STOCK!$K$6:$K$105,MATCH(A29,STOCK!$A$6:$A$105,0))))</f>
        <v/>
      </c>
      <c r="I29" s="12" t="str">
        <f>IF(OR(A29="",COUNTIF(STOCK!$A$6:$A$105,A29)&lt;&gt;1),"",IF(INDEX(STOCK!$M$6:$M$105,MATCH(A29,STOCK!$A$6:$A$105,0))="","",INDEX(STOCK!$M$6:$M$105,MATCH(A29,STOCK!$A$6:$A$105,0))))</f>
        <v/>
      </c>
      <c r="J29" s="14" t="str">
        <f>IF(OR(A29="",COUNTIF(STOCK!$A$6:$A$105,A29)&lt;&gt;1),"",IF(INDEX(STOCK!$L$6:$L$105,MATCH(A29,STOCK!$A$6:$A$105,0))="","",INDEX(STOCK!$L$6:$L$105,MATCH(A29,STOCK!$A$6:$A$105,0))))</f>
        <v/>
      </c>
      <c r="K29" s="14" t="str">
        <f>IF(OR(A29="",COUNTIF(STOCK!$A$6:$A$105,A29)&lt;&gt;1),"",IF(INDEX(STOCK!$N$6:$N$105,MATCH(A29,STOCK!$A$6:$A$105,0))="","",INDEX(STOCK!$N$6:$N$105,MATCH(A29,STOCK!$A$6:$A$105,0))))</f>
        <v/>
      </c>
      <c r="L29" s="14" t="str">
        <f>IF(OR(A29="",COUNTIF(STOCK!$A$6:$A$105,A29)&lt;&gt;1),"",IF(INDEX(STOCK!$O$6:$O$105,MATCH(A29,STOCK!$A$6:$A$105,0))="","",INDEX(STOCK!$O$6:$O$105,MATCH(A29,STOCK!$A$6:$A$105,0))))</f>
        <v/>
      </c>
      <c r="M29" s="14" t="str">
        <f>IF(OR(A29="",COUNTIF(STOCK!$A$6:$A$105,A29)&lt;&gt;1),"",IF(INDEX(STOCK!$P$6:$P$105,MATCH(A29,STOCK!$A$6:$A$105,0))="","",INDEX(STOCK!$P$6:$P$105,MATCH(A29,STOCK!$A$6:$A$105,0))))</f>
        <v/>
      </c>
      <c r="N29" s="14" t="str">
        <f>IF(OR(A29="",COUNTIF(STOCK!$A$6:$A$105,A29)&lt;&gt;1),"",IF(INDEX(STOCK!$I$6:$I$105,MATCH(A29,STOCK!$A$6:$A$105,0))="","",INDEX(STOCK!$I$6:$I$105,MATCH(A29,STOCK!$A$6:$A$105,0))))</f>
        <v/>
      </c>
      <c r="O29" s="16" t="str">
        <f>IF(OR(A29="",COUNTIF(STOCK!$A$6:$A$105,A29)&lt;&gt;1),"",IF(INDEX(STOCK!$J$6:$J$105,MATCH(A29,STOCK!$A$6:$A$105,0))="","",INDEX(STOCK!$J$6:$J$105,MATCH(A29,STOCK!$A$6:$A$105,0))))</f>
        <v/>
      </c>
      <c r="P29" s="11" t="str">
        <f>IF(OR(A29="",COUNTIF(STOCK!$A$6:$A$105,A29)&lt;&gt;1),"",IF(INDEX(STOCK!$R$6:$R$105,MATCH(A29,STOCK!$A$6:$A$105,0))="","",INDEX(STOCK!$R$6:$R$105,MATCH(A29,STOCK!$A$6:$A$105,0))))</f>
        <v/>
      </c>
      <c r="Q29" s="12" t="str">
        <f t="shared" si="0"/>
        <v/>
      </c>
      <c r="R29" s="17" t="str">
        <f t="shared" si="1"/>
        <v/>
      </c>
      <c r="S29" s="17" t="str">
        <f t="shared" si="2"/>
        <v/>
      </c>
    </row>
    <row r="30" spans="1:19" ht="42" customHeight="1" x14ac:dyDescent="0.45">
      <c r="A30" s="12" t="str">
        <f>IF(CATALOGO!A30="","",CATALOGO!A30)</f>
        <v/>
      </c>
      <c r="B30" s="12" t="str">
        <f>IF(A30="","",CATALOGO!B30)</f>
        <v/>
      </c>
      <c r="C30" s="12" t="str">
        <f>IF(A30="","",CATALOGO!F30)</f>
        <v/>
      </c>
      <c r="D30" s="11" t="str">
        <f>IF(A30="","",CATALOGO!G30)</f>
        <v/>
      </c>
      <c r="E30" s="11" t="str">
        <f>IF(A30="","",CATALOGO!P30)</f>
        <v/>
      </c>
      <c r="F30" s="11" t="str">
        <f>IF(A30="","",CATALOGO!S30)</f>
        <v/>
      </c>
      <c r="G30" s="15" t="str">
        <f>IF(A30="","",CATALOGO!R30)</f>
        <v/>
      </c>
      <c r="H30" s="12" t="str">
        <f>IF(A30="","",IF(COUNTIF(STOCK!$A$6:$A$105,A30)&lt;&gt;1,"SIN STOCK UNICO",INDEX(STOCK!$K$6:$K$105,MATCH(A30,STOCK!$A$6:$A$105,0))))</f>
        <v/>
      </c>
      <c r="I30" s="12" t="str">
        <f>IF(OR(A30="",COUNTIF(STOCK!$A$6:$A$105,A30)&lt;&gt;1),"",IF(INDEX(STOCK!$M$6:$M$105,MATCH(A30,STOCK!$A$6:$A$105,0))="","",INDEX(STOCK!$M$6:$M$105,MATCH(A30,STOCK!$A$6:$A$105,0))))</f>
        <v/>
      </c>
      <c r="J30" s="14" t="str">
        <f>IF(OR(A30="",COUNTIF(STOCK!$A$6:$A$105,A30)&lt;&gt;1),"",IF(INDEX(STOCK!$L$6:$L$105,MATCH(A30,STOCK!$A$6:$A$105,0))="","",INDEX(STOCK!$L$6:$L$105,MATCH(A30,STOCK!$A$6:$A$105,0))))</f>
        <v/>
      </c>
      <c r="K30" s="14" t="str">
        <f>IF(OR(A30="",COUNTIF(STOCK!$A$6:$A$105,A30)&lt;&gt;1),"",IF(INDEX(STOCK!$N$6:$N$105,MATCH(A30,STOCK!$A$6:$A$105,0))="","",INDEX(STOCK!$N$6:$N$105,MATCH(A30,STOCK!$A$6:$A$105,0))))</f>
        <v/>
      </c>
      <c r="L30" s="14" t="str">
        <f>IF(OR(A30="",COUNTIF(STOCK!$A$6:$A$105,A30)&lt;&gt;1),"",IF(INDEX(STOCK!$O$6:$O$105,MATCH(A30,STOCK!$A$6:$A$105,0))="","",INDEX(STOCK!$O$6:$O$105,MATCH(A30,STOCK!$A$6:$A$105,0))))</f>
        <v/>
      </c>
      <c r="M30" s="14" t="str">
        <f>IF(OR(A30="",COUNTIF(STOCK!$A$6:$A$105,A30)&lt;&gt;1),"",IF(INDEX(STOCK!$P$6:$P$105,MATCH(A30,STOCK!$A$6:$A$105,0))="","",INDEX(STOCK!$P$6:$P$105,MATCH(A30,STOCK!$A$6:$A$105,0))))</f>
        <v/>
      </c>
      <c r="N30" s="14" t="str">
        <f>IF(OR(A30="",COUNTIF(STOCK!$A$6:$A$105,A30)&lt;&gt;1),"",IF(INDEX(STOCK!$I$6:$I$105,MATCH(A30,STOCK!$A$6:$A$105,0))="","",INDEX(STOCK!$I$6:$I$105,MATCH(A30,STOCK!$A$6:$A$105,0))))</f>
        <v/>
      </c>
      <c r="O30" s="16" t="str">
        <f>IF(OR(A30="",COUNTIF(STOCK!$A$6:$A$105,A30)&lt;&gt;1),"",IF(INDEX(STOCK!$J$6:$J$105,MATCH(A30,STOCK!$A$6:$A$105,0))="","",INDEX(STOCK!$J$6:$J$105,MATCH(A30,STOCK!$A$6:$A$105,0))))</f>
        <v/>
      </c>
      <c r="P30" s="11" t="str">
        <f>IF(OR(A30="",COUNTIF(STOCK!$A$6:$A$105,A30)&lt;&gt;1),"",IF(INDEX(STOCK!$R$6:$R$105,MATCH(A30,STOCK!$A$6:$A$105,0))="","",INDEX(STOCK!$R$6:$R$105,MATCH(A30,STOCK!$A$6:$A$105,0))))</f>
        <v/>
      </c>
      <c r="Q30" s="12" t="str">
        <f t="shared" si="0"/>
        <v/>
      </c>
      <c r="R30" s="17" t="str">
        <f t="shared" si="1"/>
        <v/>
      </c>
      <c r="S30" s="17" t="str">
        <f t="shared" si="2"/>
        <v/>
      </c>
    </row>
    <row r="31" spans="1:19" ht="42" customHeight="1" x14ac:dyDescent="0.45">
      <c r="A31" s="12" t="str">
        <f>IF(CATALOGO!A31="","",CATALOGO!A31)</f>
        <v/>
      </c>
      <c r="B31" s="12" t="str">
        <f>IF(A31="","",CATALOGO!B31)</f>
        <v/>
      </c>
      <c r="C31" s="12" t="str">
        <f>IF(A31="","",CATALOGO!F31)</f>
        <v/>
      </c>
      <c r="D31" s="11" t="str">
        <f>IF(A31="","",CATALOGO!G31)</f>
        <v/>
      </c>
      <c r="E31" s="11" t="str">
        <f>IF(A31="","",CATALOGO!P31)</f>
        <v/>
      </c>
      <c r="F31" s="11" t="str">
        <f>IF(A31="","",CATALOGO!S31)</f>
        <v/>
      </c>
      <c r="G31" s="15" t="str">
        <f>IF(A31="","",CATALOGO!R31)</f>
        <v/>
      </c>
      <c r="H31" s="12" t="str">
        <f>IF(A31="","",IF(COUNTIF(STOCK!$A$6:$A$105,A31)&lt;&gt;1,"SIN STOCK UNICO",INDEX(STOCK!$K$6:$K$105,MATCH(A31,STOCK!$A$6:$A$105,0))))</f>
        <v/>
      </c>
      <c r="I31" s="12" t="str">
        <f>IF(OR(A31="",COUNTIF(STOCK!$A$6:$A$105,A31)&lt;&gt;1),"",IF(INDEX(STOCK!$M$6:$M$105,MATCH(A31,STOCK!$A$6:$A$105,0))="","",INDEX(STOCK!$M$6:$M$105,MATCH(A31,STOCK!$A$6:$A$105,0))))</f>
        <v/>
      </c>
      <c r="J31" s="14" t="str">
        <f>IF(OR(A31="",COUNTIF(STOCK!$A$6:$A$105,A31)&lt;&gt;1),"",IF(INDEX(STOCK!$L$6:$L$105,MATCH(A31,STOCK!$A$6:$A$105,0))="","",INDEX(STOCK!$L$6:$L$105,MATCH(A31,STOCK!$A$6:$A$105,0))))</f>
        <v/>
      </c>
      <c r="K31" s="14" t="str">
        <f>IF(OR(A31="",COUNTIF(STOCK!$A$6:$A$105,A31)&lt;&gt;1),"",IF(INDEX(STOCK!$N$6:$N$105,MATCH(A31,STOCK!$A$6:$A$105,0))="","",INDEX(STOCK!$N$6:$N$105,MATCH(A31,STOCK!$A$6:$A$105,0))))</f>
        <v/>
      </c>
      <c r="L31" s="14" t="str">
        <f>IF(OR(A31="",COUNTIF(STOCK!$A$6:$A$105,A31)&lt;&gt;1),"",IF(INDEX(STOCK!$O$6:$O$105,MATCH(A31,STOCK!$A$6:$A$105,0))="","",INDEX(STOCK!$O$6:$O$105,MATCH(A31,STOCK!$A$6:$A$105,0))))</f>
        <v/>
      </c>
      <c r="M31" s="14" t="str">
        <f>IF(OR(A31="",COUNTIF(STOCK!$A$6:$A$105,A31)&lt;&gt;1),"",IF(INDEX(STOCK!$P$6:$P$105,MATCH(A31,STOCK!$A$6:$A$105,0))="","",INDEX(STOCK!$P$6:$P$105,MATCH(A31,STOCK!$A$6:$A$105,0))))</f>
        <v/>
      </c>
      <c r="N31" s="14" t="str">
        <f>IF(OR(A31="",COUNTIF(STOCK!$A$6:$A$105,A31)&lt;&gt;1),"",IF(INDEX(STOCK!$I$6:$I$105,MATCH(A31,STOCK!$A$6:$A$105,0))="","",INDEX(STOCK!$I$6:$I$105,MATCH(A31,STOCK!$A$6:$A$105,0))))</f>
        <v/>
      </c>
      <c r="O31" s="16" t="str">
        <f>IF(OR(A31="",COUNTIF(STOCK!$A$6:$A$105,A31)&lt;&gt;1),"",IF(INDEX(STOCK!$J$6:$J$105,MATCH(A31,STOCK!$A$6:$A$105,0))="","",INDEX(STOCK!$J$6:$J$105,MATCH(A31,STOCK!$A$6:$A$105,0))))</f>
        <v/>
      </c>
      <c r="P31" s="11" t="str">
        <f>IF(OR(A31="",COUNTIF(STOCK!$A$6:$A$105,A31)&lt;&gt;1),"",IF(INDEX(STOCK!$R$6:$R$105,MATCH(A31,STOCK!$A$6:$A$105,0))="","",INDEX(STOCK!$R$6:$R$105,MATCH(A31,STOCK!$A$6:$A$105,0))))</f>
        <v/>
      </c>
      <c r="Q31" s="12" t="str">
        <f t="shared" si="0"/>
        <v/>
      </c>
      <c r="R31" s="17" t="str">
        <f t="shared" si="1"/>
        <v/>
      </c>
      <c r="S31" s="17" t="str">
        <f t="shared" si="2"/>
        <v/>
      </c>
    </row>
    <row r="32" spans="1:19" ht="42" customHeight="1" x14ac:dyDescent="0.45">
      <c r="A32" s="12" t="str">
        <f>IF(CATALOGO!A32="","",CATALOGO!A32)</f>
        <v/>
      </c>
      <c r="B32" s="12" t="str">
        <f>IF(A32="","",CATALOGO!B32)</f>
        <v/>
      </c>
      <c r="C32" s="12" t="str">
        <f>IF(A32="","",CATALOGO!F32)</f>
        <v/>
      </c>
      <c r="D32" s="11" t="str">
        <f>IF(A32="","",CATALOGO!G32)</f>
        <v/>
      </c>
      <c r="E32" s="11" t="str">
        <f>IF(A32="","",CATALOGO!P32)</f>
        <v/>
      </c>
      <c r="F32" s="11" t="str">
        <f>IF(A32="","",CATALOGO!S32)</f>
        <v/>
      </c>
      <c r="G32" s="15" t="str">
        <f>IF(A32="","",CATALOGO!R32)</f>
        <v/>
      </c>
      <c r="H32" s="12" t="str">
        <f>IF(A32="","",IF(COUNTIF(STOCK!$A$6:$A$105,A32)&lt;&gt;1,"SIN STOCK UNICO",INDEX(STOCK!$K$6:$K$105,MATCH(A32,STOCK!$A$6:$A$105,0))))</f>
        <v/>
      </c>
      <c r="I32" s="12" t="str">
        <f>IF(OR(A32="",COUNTIF(STOCK!$A$6:$A$105,A32)&lt;&gt;1),"",IF(INDEX(STOCK!$M$6:$M$105,MATCH(A32,STOCK!$A$6:$A$105,0))="","",INDEX(STOCK!$M$6:$M$105,MATCH(A32,STOCK!$A$6:$A$105,0))))</f>
        <v/>
      </c>
      <c r="J32" s="14" t="str">
        <f>IF(OR(A32="",COUNTIF(STOCK!$A$6:$A$105,A32)&lt;&gt;1),"",IF(INDEX(STOCK!$L$6:$L$105,MATCH(A32,STOCK!$A$6:$A$105,0))="","",INDEX(STOCK!$L$6:$L$105,MATCH(A32,STOCK!$A$6:$A$105,0))))</f>
        <v/>
      </c>
      <c r="K32" s="14" t="str">
        <f>IF(OR(A32="",COUNTIF(STOCK!$A$6:$A$105,A32)&lt;&gt;1),"",IF(INDEX(STOCK!$N$6:$N$105,MATCH(A32,STOCK!$A$6:$A$105,0))="","",INDEX(STOCK!$N$6:$N$105,MATCH(A32,STOCK!$A$6:$A$105,0))))</f>
        <v/>
      </c>
      <c r="L32" s="14" t="str">
        <f>IF(OR(A32="",COUNTIF(STOCK!$A$6:$A$105,A32)&lt;&gt;1),"",IF(INDEX(STOCK!$O$6:$O$105,MATCH(A32,STOCK!$A$6:$A$105,0))="","",INDEX(STOCK!$O$6:$O$105,MATCH(A32,STOCK!$A$6:$A$105,0))))</f>
        <v/>
      </c>
      <c r="M32" s="14" t="str">
        <f>IF(OR(A32="",COUNTIF(STOCK!$A$6:$A$105,A32)&lt;&gt;1),"",IF(INDEX(STOCK!$P$6:$P$105,MATCH(A32,STOCK!$A$6:$A$105,0))="","",INDEX(STOCK!$P$6:$P$105,MATCH(A32,STOCK!$A$6:$A$105,0))))</f>
        <v/>
      </c>
      <c r="N32" s="14" t="str">
        <f>IF(OR(A32="",COUNTIF(STOCK!$A$6:$A$105,A32)&lt;&gt;1),"",IF(INDEX(STOCK!$I$6:$I$105,MATCH(A32,STOCK!$A$6:$A$105,0))="","",INDEX(STOCK!$I$6:$I$105,MATCH(A32,STOCK!$A$6:$A$105,0))))</f>
        <v/>
      </c>
      <c r="O32" s="16" t="str">
        <f>IF(OR(A32="",COUNTIF(STOCK!$A$6:$A$105,A32)&lt;&gt;1),"",IF(INDEX(STOCK!$J$6:$J$105,MATCH(A32,STOCK!$A$6:$A$105,0))="","",INDEX(STOCK!$J$6:$J$105,MATCH(A32,STOCK!$A$6:$A$105,0))))</f>
        <v/>
      </c>
      <c r="P32" s="11" t="str">
        <f>IF(OR(A32="",COUNTIF(STOCK!$A$6:$A$105,A32)&lt;&gt;1),"",IF(INDEX(STOCK!$R$6:$R$105,MATCH(A32,STOCK!$A$6:$A$105,0))="","",INDEX(STOCK!$R$6:$R$105,MATCH(A32,STOCK!$A$6:$A$105,0))))</f>
        <v/>
      </c>
      <c r="Q32" s="12" t="str">
        <f t="shared" si="0"/>
        <v/>
      </c>
      <c r="R32" s="17" t="str">
        <f t="shared" si="1"/>
        <v/>
      </c>
      <c r="S32" s="17" t="str">
        <f t="shared" si="2"/>
        <v/>
      </c>
    </row>
    <row r="33" spans="1:19" ht="42" customHeight="1" x14ac:dyDescent="0.45">
      <c r="A33" s="12" t="str">
        <f>IF(CATALOGO!A33="","",CATALOGO!A33)</f>
        <v/>
      </c>
      <c r="B33" s="12" t="str">
        <f>IF(A33="","",CATALOGO!B33)</f>
        <v/>
      </c>
      <c r="C33" s="12" t="str">
        <f>IF(A33="","",CATALOGO!F33)</f>
        <v/>
      </c>
      <c r="D33" s="11" t="str">
        <f>IF(A33="","",CATALOGO!G33)</f>
        <v/>
      </c>
      <c r="E33" s="11" t="str">
        <f>IF(A33="","",CATALOGO!P33)</f>
        <v/>
      </c>
      <c r="F33" s="11" t="str">
        <f>IF(A33="","",CATALOGO!S33)</f>
        <v/>
      </c>
      <c r="G33" s="15" t="str">
        <f>IF(A33="","",CATALOGO!R33)</f>
        <v/>
      </c>
      <c r="H33" s="12" t="str">
        <f>IF(A33="","",IF(COUNTIF(STOCK!$A$6:$A$105,A33)&lt;&gt;1,"SIN STOCK UNICO",INDEX(STOCK!$K$6:$K$105,MATCH(A33,STOCK!$A$6:$A$105,0))))</f>
        <v/>
      </c>
      <c r="I33" s="12" t="str">
        <f>IF(OR(A33="",COUNTIF(STOCK!$A$6:$A$105,A33)&lt;&gt;1),"",IF(INDEX(STOCK!$M$6:$M$105,MATCH(A33,STOCK!$A$6:$A$105,0))="","",INDEX(STOCK!$M$6:$M$105,MATCH(A33,STOCK!$A$6:$A$105,0))))</f>
        <v/>
      </c>
      <c r="J33" s="14" t="str">
        <f>IF(OR(A33="",COUNTIF(STOCK!$A$6:$A$105,A33)&lt;&gt;1),"",IF(INDEX(STOCK!$L$6:$L$105,MATCH(A33,STOCK!$A$6:$A$105,0))="","",INDEX(STOCK!$L$6:$L$105,MATCH(A33,STOCK!$A$6:$A$105,0))))</f>
        <v/>
      </c>
      <c r="K33" s="14" t="str">
        <f>IF(OR(A33="",COUNTIF(STOCK!$A$6:$A$105,A33)&lt;&gt;1),"",IF(INDEX(STOCK!$N$6:$N$105,MATCH(A33,STOCK!$A$6:$A$105,0))="","",INDEX(STOCK!$N$6:$N$105,MATCH(A33,STOCK!$A$6:$A$105,0))))</f>
        <v/>
      </c>
      <c r="L33" s="14" t="str">
        <f>IF(OR(A33="",COUNTIF(STOCK!$A$6:$A$105,A33)&lt;&gt;1),"",IF(INDEX(STOCK!$O$6:$O$105,MATCH(A33,STOCK!$A$6:$A$105,0))="","",INDEX(STOCK!$O$6:$O$105,MATCH(A33,STOCK!$A$6:$A$105,0))))</f>
        <v/>
      </c>
      <c r="M33" s="14" t="str">
        <f>IF(OR(A33="",COUNTIF(STOCK!$A$6:$A$105,A33)&lt;&gt;1),"",IF(INDEX(STOCK!$P$6:$P$105,MATCH(A33,STOCK!$A$6:$A$105,0))="","",INDEX(STOCK!$P$6:$P$105,MATCH(A33,STOCK!$A$6:$A$105,0))))</f>
        <v/>
      </c>
      <c r="N33" s="14" t="str">
        <f>IF(OR(A33="",COUNTIF(STOCK!$A$6:$A$105,A33)&lt;&gt;1),"",IF(INDEX(STOCK!$I$6:$I$105,MATCH(A33,STOCK!$A$6:$A$105,0))="","",INDEX(STOCK!$I$6:$I$105,MATCH(A33,STOCK!$A$6:$A$105,0))))</f>
        <v/>
      </c>
      <c r="O33" s="16" t="str">
        <f>IF(OR(A33="",COUNTIF(STOCK!$A$6:$A$105,A33)&lt;&gt;1),"",IF(INDEX(STOCK!$J$6:$J$105,MATCH(A33,STOCK!$A$6:$A$105,0))="","",INDEX(STOCK!$J$6:$J$105,MATCH(A33,STOCK!$A$6:$A$105,0))))</f>
        <v/>
      </c>
      <c r="P33" s="11" t="str">
        <f>IF(OR(A33="",COUNTIF(STOCK!$A$6:$A$105,A33)&lt;&gt;1),"",IF(INDEX(STOCK!$R$6:$R$105,MATCH(A33,STOCK!$A$6:$A$105,0))="","",INDEX(STOCK!$R$6:$R$105,MATCH(A33,STOCK!$A$6:$A$105,0))))</f>
        <v/>
      </c>
      <c r="Q33" s="12" t="str">
        <f t="shared" si="0"/>
        <v/>
      </c>
      <c r="R33" s="17" t="str">
        <f t="shared" si="1"/>
        <v/>
      </c>
      <c r="S33" s="17" t="str">
        <f t="shared" si="2"/>
        <v/>
      </c>
    </row>
    <row r="34" spans="1:19" ht="42" customHeight="1" x14ac:dyDescent="0.45">
      <c r="A34" s="12" t="str">
        <f>IF(CATALOGO!A34="","",CATALOGO!A34)</f>
        <v/>
      </c>
      <c r="B34" s="12" t="str">
        <f>IF(A34="","",CATALOGO!B34)</f>
        <v/>
      </c>
      <c r="C34" s="12" t="str">
        <f>IF(A34="","",CATALOGO!F34)</f>
        <v/>
      </c>
      <c r="D34" s="11" t="str">
        <f>IF(A34="","",CATALOGO!G34)</f>
        <v/>
      </c>
      <c r="E34" s="11" t="str">
        <f>IF(A34="","",CATALOGO!P34)</f>
        <v/>
      </c>
      <c r="F34" s="11" t="str">
        <f>IF(A34="","",CATALOGO!S34)</f>
        <v/>
      </c>
      <c r="G34" s="15" t="str">
        <f>IF(A34="","",CATALOGO!R34)</f>
        <v/>
      </c>
      <c r="H34" s="12" t="str">
        <f>IF(A34="","",IF(COUNTIF(STOCK!$A$6:$A$105,A34)&lt;&gt;1,"SIN STOCK UNICO",INDEX(STOCK!$K$6:$K$105,MATCH(A34,STOCK!$A$6:$A$105,0))))</f>
        <v/>
      </c>
      <c r="I34" s="12" t="str">
        <f>IF(OR(A34="",COUNTIF(STOCK!$A$6:$A$105,A34)&lt;&gt;1),"",IF(INDEX(STOCK!$M$6:$M$105,MATCH(A34,STOCK!$A$6:$A$105,0))="","",INDEX(STOCK!$M$6:$M$105,MATCH(A34,STOCK!$A$6:$A$105,0))))</f>
        <v/>
      </c>
      <c r="J34" s="14" t="str">
        <f>IF(OR(A34="",COUNTIF(STOCK!$A$6:$A$105,A34)&lt;&gt;1),"",IF(INDEX(STOCK!$L$6:$L$105,MATCH(A34,STOCK!$A$6:$A$105,0))="","",INDEX(STOCK!$L$6:$L$105,MATCH(A34,STOCK!$A$6:$A$105,0))))</f>
        <v/>
      </c>
      <c r="K34" s="14" t="str">
        <f>IF(OR(A34="",COUNTIF(STOCK!$A$6:$A$105,A34)&lt;&gt;1),"",IF(INDEX(STOCK!$N$6:$N$105,MATCH(A34,STOCK!$A$6:$A$105,0))="","",INDEX(STOCK!$N$6:$N$105,MATCH(A34,STOCK!$A$6:$A$105,0))))</f>
        <v/>
      </c>
      <c r="L34" s="14" t="str">
        <f>IF(OR(A34="",COUNTIF(STOCK!$A$6:$A$105,A34)&lt;&gt;1),"",IF(INDEX(STOCK!$O$6:$O$105,MATCH(A34,STOCK!$A$6:$A$105,0))="","",INDEX(STOCK!$O$6:$O$105,MATCH(A34,STOCK!$A$6:$A$105,0))))</f>
        <v/>
      </c>
      <c r="M34" s="14" t="str">
        <f>IF(OR(A34="",COUNTIF(STOCK!$A$6:$A$105,A34)&lt;&gt;1),"",IF(INDEX(STOCK!$P$6:$P$105,MATCH(A34,STOCK!$A$6:$A$105,0))="","",INDEX(STOCK!$P$6:$P$105,MATCH(A34,STOCK!$A$6:$A$105,0))))</f>
        <v/>
      </c>
      <c r="N34" s="14" t="str">
        <f>IF(OR(A34="",COUNTIF(STOCK!$A$6:$A$105,A34)&lt;&gt;1),"",IF(INDEX(STOCK!$I$6:$I$105,MATCH(A34,STOCK!$A$6:$A$105,0))="","",INDEX(STOCK!$I$6:$I$105,MATCH(A34,STOCK!$A$6:$A$105,0))))</f>
        <v/>
      </c>
      <c r="O34" s="16" t="str">
        <f>IF(OR(A34="",COUNTIF(STOCK!$A$6:$A$105,A34)&lt;&gt;1),"",IF(INDEX(STOCK!$J$6:$J$105,MATCH(A34,STOCK!$A$6:$A$105,0))="","",INDEX(STOCK!$J$6:$J$105,MATCH(A34,STOCK!$A$6:$A$105,0))))</f>
        <v/>
      </c>
      <c r="P34" s="11" t="str">
        <f>IF(OR(A34="",COUNTIF(STOCK!$A$6:$A$105,A34)&lt;&gt;1),"",IF(INDEX(STOCK!$R$6:$R$105,MATCH(A34,STOCK!$A$6:$A$105,0))="","",INDEX(STOCK!$R$6:$R$105,MATCH(A34,STOCK!$A$6:$A$105,0))))</f>
        <v/>
      </c>
      <c r="Q34" s="12" t="str">
        <f t="shared" si="0"/>
        <v/>
      </c>
      <c r="R34" s="17" t="str">
        <f t="shared" si="1"/>
        <v/>
      </c>
      <c r="S34" s="17" t="str">
        <f t="shared" si="2"/>
        <v/>
      </c>
    </row>
    <row r="35" spans="1:19" ht="42" customHeight="1" x14ac:dyDescent="0.45">
      <c r="A35" s="12" t="str">
        <f>IF(CATALOGO!A35="","",CATALOGO!A35)</f>
        <v/>
      </c>
      <c r="B35" s="12" t="str">
        <f>IF(A35="","",CATALOGO!B35)</f>
        <v/>
      </c>
      <c r="C35" s="12" t="str">
        <f>IF(A35="","",CATALOGO!F35)</f>
        <v/>
      </c>
      <c r="D35" s="11" t="str">
        <f>IF(A35="","",CATALOGO!G35)</f>
        <v/>
      </c>
      <c r="E35" s="11" t="str">
        <f>IF(A35="","",CATALOGO!P35)</f>
        <v/>
      </c>
      <c r="F35" s="11" t="str">
        <f>IF(A35="","",CATALOGO!S35)</f>
        <v/>
      </c>
      <c r="G35" s="15" t="str">
        <f>IF(A35="","",CATALOGO!R35)</f>
        <v/>
      </c>
      <c r="H35" s="12" t="str">
        <f>IF(A35="","",IF(COUNTIF(STOCK!$A$6:$A$105,A35)&lt;&gt;1,"SIN STOCK UNICO",INDEX(STOCK!$K$6:$K$105,MATCH(A35,STOCK!$A$6:$A$105,0))))</f>
        <v/>
      </c>
      <c r="I35" s="12" t="str">
        <f>IF(OR(A35="",COUNTIF(STOCK!$A$6:$A$105,A35)&lt;&gt;1),"",IF(INDEX(STOCK!$M$6:$M$105,MATCH(A35,STOCK!$A$6:$A$105,0))="","",INDEX(STOCK!$M$6:$M$105,MATCH(A35,STOCK!$A$6:$A$105,0))))</f>
        <v/>
      </c>
      <c r="J35" s="14" t="str">
        <f>IF(OR(A35="",COUNTIF(STOCK!$A$6:$A$105,A35)&lt;&gt;1),"",IF(INDEX(STOCK!$L$6:$L$105,MATCH(A35,STOCK!$A$6:$A$105,0))="","",INDEX(STOCK!$L$6:$L$105,MATCH(A35,STOCK!$A$6:$A$105,0))))</f>
        <v/>
      </c>
      <c r="K35" s="14" t="str">
        <f>IF(OR(A35="",COUNTIF(STOCK!$A$6:$A$105,A35)&lt;&gt;1),"",IF(INDEX(STOCK!$N$6:$N$105,MATCH(A35,STOCK!$A$6:$A$105,0))="","",INDEX(STOCK!$N$6:$N$105,MATCH(A35,STOCK!$A$6:$A$105,0))))</f>
        <v/>
      </c>
      <c r="L35" s="14" t="str">
        <f>IF(OR(A35="",COUNTIF(STOCK!$A$6:$A$105,A35)&lt;&gt;1),"",IF(INDEX(STOCK!$O$6:$O$105,MATCH(A35,STOCK!$A$6:$A$105,0))="","",INDEX(STOCK!$O$6:$O$105,MATCH(A35,STOCK!$A$6:$A$105,0))))</f>
        <v/>
      </c>
      <c r="M35" s="14" t="str">
        <f>IF(OR(A35="",COUNTIF(STOCK!$A$6:$A$105,A35)&lt;&gt;1),"",IF(INDEX(STOCK!$P$6:$P$105,MATCH(A35,STOCK!$A$6:$A$105,0))="","",INDEX(STOCK!$P$6:$P$105,MATCH(A35,STOCK!$A$6:$A$105,0))))</f>
        <v/>
      </c>
      <c r="N35" s="14" t="str">
        <f>IF(OR(A35="",COUNTIF(STOCK!$A$6:$A$105,A35)&lt;&gt;1),"",IF(INDEX(STOCK!$I$6:$I$105,MATCH(A35,STOCK!$A$6:$A$105,0))="","",INDEX(STOCK!$I$6:$I$105,MATCH(A35,STOCK!$A$6:$A$105,0))))</f>
        <v/>
      </c>
      <c r="O35" s="16" t="str">
        <f>IF(OR(A35="",COUNTIF(STOCK!$A$6:$A$105,A35)&lt;&gt;1),"",IF(INDEX(STOCK!$J$6:$J$105,MATCH(A35,STOCK!$A$6:$A$105,0))="","",INDEX(STOCK!$J$6:$J$105,MATCH(A35,STOCK!$A$6:$A$105,0))))</f>
        <v/>
      </c>
      <c r="P35" s="11" t="str">
        <f>IF(OR(A35="",COUNTIF(STOCK!$A$6:$A$105,A35)&lt;&gt;1),"",IF(INDEX(STOCK!$R$6:$R$105,MATCH(A35,STOCK!$A$6:$A$105,0))="","",INDEX(STOCK!$R$6:$R$105,MATCH(A35,STOCK!$A$6:$A$105,0))))</f>
        <v/>
      </c>
      <c r="Q35" s="12" t="str">
        <f t="shared" si="0"/>
        <v/>
      </c>
      <c r="R35" s="17" t="str">
        <f t="shared" si="1"/>
        <v/>
      </c>
      <c r="S35" s="17" t="str">
        <f t="shared" si="2"/>
        <v/>
      </c>
    </row>
    <row r="36" spans="1:19" ht="42" customHeight="1" x14ac:dyDescent="0.45">
      <c r="A36" s="12" t="str">
        <f>IF(CATALOGO!A36="","",CATALOGO!A36)</f>
        <v/>
      </c>
      <c r="B36" s="12" t="str">
        <f>IF(A36="","",CATALOGO!B36)</f>
        <v/>
      </c>
      <c r="C36" s="12" t="str">
        <f>IF(A36="","",CATALOGO!F36)</f>
        <v/>
      </c>
      <c r="D36" s="11" t="str">
        <f>IF(A36="","",CATALOGO!G36)</f>
        <v/>
      </c>
      <c r="E36" s="11" t="str">
        <f>IF(A36="","",CATALOGO!P36)</f>
        <v/>
      </c>
      <c r="F36" s="11" t="str">
        <f>IF(A36="","",CATALOGO!S36)</f>
        <v/>
      </c>
      <c r="G36" s="15" t="str">
        <f>IF(A36="","",CATALOGO!R36)</f>
        <v/>
      </c>
      <c r="H36" s="12" t="str">
        <f>IF(A36="","",IF(COUNTIF(STOCK!$A$6:$A$105,A36)&lt;&gt;1,"SIN STOCK UNICO",INDEX(STOCK!$K$6:$K$105,MATCH(A36,STOCK!$A$6:$A$105,0))))</f>
        <v/>
      </c>
      <c r="I36" s="12" t="str">
        <f>IF(OR(A36="",COUNTIF(STOCK!$A$6:$A$105,A36)&lt;&gt;1),"",IF(INDEX(STOCK!$M$6:$M$105,MATCH(A36,STOCK!$A$6:$A$105,0))="","",INDEX(STOCK!$M$6:$M$105,MATCH(A36,STOCK!$A$6:$A$105,0))))</f>
        <v/>
      </c>
      <c r="J36" s="14" t="str">
        <f>IF(OR(A36="",COUNTIF(STOCK!$A$6:$A$105,A36)&lt;&gt;1),"",IF(INDEX(STOCK!$L$6:$L$105,MATCH(A36,STOCK!$A$6:$A$105,0))="","",INDEX(STOCK!$L$6:$L$105,MATCH(A36,STOCK!$A$6:$A$105,0))))</f>
        <v/>
      </c>
      <c r="K36" s="14" t="str">
        <f>IF(OR(A36="",COUNTIF(STOCK!$A$6:$A$105,A36)&lt;&gt;1),"",IF(INDEX(STOCK!$N$6:$N$105,MATCH(A36,STOCK!$A$6:$A$105,0))="","",INDEX(STOCK!$N$6:$N$105,MATCH(A36,STOCK!$A$6:$A$105,0))))</f>
        <v/>
      </c>
      <c r="L36" s="14" t="str">
        <f>IF(OR(A36="",COUNTIF(STOCK!$A$6:$A$105,A36)&lt;&gt;1),"",IF(INDEX(STOCK!$O$6:$O$105,MATCH(A36,STOCK!$A$6:$A$105,0))="","",INDEX(STOCK!$O$6:$O$105,MATCH(A36,STOCK!$A$6:$A$105,0))))</f>
        <v/>
      </c>
      <c r="M36" s="14" t="str">
        <f>IF(OR(A36="",COUNTIF(STOCK!$A$6:$A$105,A36)&lt;&gt;1),"",IF(INDEX(STOCK!$P$6:$P$105,MATCH(A36,STOCK!$A$6:$A$105,0))="","",INDEX(STOCK!$P$6:$P$105,MATCH(A36,STOCK!$A$6:$A$105,0))))</f>
        <v/>
      </c>
      <c r="N36" s="14" t="str">
        <f>IF(OR(A36="",COUNTIF(STOCK!$A$6:$A$105,A36)&lt;&gt;1),"",IF(INDEX(STOCK!$I$6:$I$105,MATCH(A36,STOCK!$A$6:$A$105,0))="","",INDEX(STOCK!$I$6:$I$105,MATCH(A36,STOCK!$A$6:$A$105,0))))</f>
        <v/>
      </c>
      <c r="O36" s="16" t="str">
        <f>IF(OR(A36="",COUNTIF(STOCK!$A$6:$A$105,A36)&lt;&gt;1),"",IF(INDEX(STOCK!$J$6:$J$105,MATCH(A36,STOCK!$A$6:$A$105,0))="","",INDEX(STOCK!$J$6:$J$105,MATCH(A36,STOCK!$A$6:$A$105,0))))</f>
        <v/>
      </c>
      <c r="P36" s="11" t="str">
        <f>IF(OR(A36="",COUNTIF(STOCK!$A$6:$A$105,A36)&lt;&gt;1),"",IF(INDEX(STOCK!$R$6:$R$105,MATCH(A36,STOCK!$A$6:$A$105,0))="","",INDEX(STOCK!$R$6:$R$105,MATCH(A36,STOCK!$A$6:$A$105,0))))</f>
        <v/>
      </c>
      <c r="Q36" s="12" t="str">
        <f t="shared" si="0"/>
        <v/>
      </c>
      <c r="R36" s="17" t="str">
        <f t="shared" si="1"/>
        <v/>
      </c>
      <c r="S36" s="17" t="str">
        <f t="shared" si="2"/>
        <v/>
      </c>
    </row>
    <row r="37" spans="1:19" ht="42" customHeight="1" x14ac:dyDescent="0.45">
      <c r="A37" s="12" t="str">
        <f>IF(CATALOGO!A37="","",CATALOGO!A37)</f>
        <v/>
      </c>
      <c r="B37" s="12" t="str">
        <f>IF(A37="","",CATALOGO!B37)</f>
        <v/>
      </c>
      <c r="C37" s="12" t="str">
        <f>IF(A37="","",CATALOGO!F37)</f>
        <v/>
      </c>
      <c r="D37" s="11" t="str">
        <f>IF(A37="","",CATALOGO!G37)</f>
        <v/>
      </c>
      <c r="E37" s="11" t="str">
        <f>IF(A37="","",CATALOGO!P37)</f>
        <v/>
      </c>
      <c r="F37" s="11" t="str">
        <f>IF(A37="","",CATALOGO!S37)</f>
        <v/>
      </c>
      <c r="G37" s="15" t="str">
        <f>IF(A37="","",CATALOGO!R37)</f>
        <v/>
      </c>
      <c r="H37" s="12" t="str">
        <f>IF(A37="","",IF(COUNTIF(STOCK!$A$6:$A$105,A37)&lt;&gt;1,"SIN STOCK UNICO",INDEX(STOCK!$K$6:$K$105,MATCH(A37,STOCK!$A$6:$A$105,0))))</f>
        <v/>
      </c>
      <c r="I37" s="12" t="str">
        <f>IF(OR(A37="",COUNTIF(STOCK!$A$6:$A$105,A37)&lt;&gt;1),"",IF(INDEX(STOCK!$M$6:$M$105,MATCH(A37,STOCK!$A$6:$A$105,0))="","",INDEX(STOCK!$M$6:$M$105,MATCH(A37,STOCK!$A$6:$A$105,0))))</f>
        <v/>
      </c>
      <c r="J37" s="14" t="str">
        <f>IF(OR(A37="",COUNTIF(STOCK!$A$6:$A$105,A37)&lt;&gt;1),"",IF(INDEX(STOCK!$L$6:$L$105,MATCH(A37,STOCK!$A$6:$A$105,0))="","",INDEX(STOCK!$L$6:$L$105,MATCH(A37,STOCK!$A$6:$A$105,0))))</f>
        <v/>
      </c>
      <c r="K37" s="14" t="str">
        <f>IF(OR(A37="",COUNTIF(STOCK!$A$6:$A$105,A37)&lt;&gt;1),"",IF(INDEX(STOCK!$N$6:$N$105,MATCH(A37,STOCK!$A$6:$A$105,0))="","",INDEX(STOCK!$N$6:$N$105,MATCH(A37,STOCK!$A$6:$A$105,0))))</f>
        <v/>
      </c>
      <c r="L37" s="14" t="str">
        <f>IF(OR(A37="",COUNTIF(STOCK!$A$6:$A$105,A37)&lt;&gt;1),"",IF(INDEX(STOCK!$O$6:$O$105,MATCH(A37,STOCK!$A$6:$A$105,0))="","",INDEX(STOCK!$O$6:$O$105,MATCH(A37,STOCK!$A$6:$A$105,0))))</f>
        <v/>
      </c>
      <c r="M37" s="14" t="str">
        <f>IF(OR(A37="",COUNTIF(STOCK!$A$6:$A$105,A37)&lt;&gt;1),"",IF(INDEX(STOCK!$P$6:$P$105,MATCH(A37,STOCK!$A$6:$A$105,0))="","",INDEX(STOCK!$P$6:$P$105,MATCH(A37,STOCK!$A$6:$A$105,0))))</f>
        <v/>
      </c>
      <c r="N37" s="14" t="str">
        <f>IF(OR(A37="",COUNTIF(STOCK!$A$6:$A$105,A37)&lt;&gt;1),"",IF(INDEX(STOCK!$I$6:$I$105,MATCH(A37,STOCK!$A$6:$A$105,0))="","",INDEX(STOCK!$I$6:$I$105,MATCH(A37,STOCK!$A$6:$A$105,0))))</f>
        <v/>
      </c>
      <c r="O37" s="16" t="str">
        <f>IF(OR(A37="",COUNTIF(STOCK!$A$6:$A$105,A37)&lt;&gt;1),"",IF(INDEX(STOCK!$J$6:$J$105,MATCH(A37,STOCK!$A$6:$A$105,0))="","",INDEX(STOCK!$J$6:$J$105,MATCH(A37,STOCK!$A$6:$A$105,0))))</f>
        <v/>
      </c>
      <c r="P37" s="11" t="str">
        <f>IF(OR(A37="",COUNTIF(STOCK!$A$6:$A$105,A37)&lt;&gt;1),"",IF(INDEX(STOCK!$R$6:$R$105,MATCH(A37,STOCK!$A$6:$A$105,0))="","",INDEX(STOCK!$R$6:$R$105,MATCH(A37,STOCK!$A$6:$A$105,0))))</f>
        <v/>
      </c>
      <c r="Q37" s="12" t="str">
        <f t="shared" si="0"/>
        <v/>
      </c>
      <c r="R37" s="17" t="str">
        <f t="shared" si="1"/>
        <v/>
      </c>
      <c r="S37" s="17" t="str">
        <f t="shared" si="2"/>
        <v/>
      </c>
    </row>
    <row r="38" spans="1:19" ht="42" customHeight="1" x14ac:dyDescent="0.45">
      <c r="A38" s="12" t="str">
        <f>IF(CATALOGO!A38="","",CATALOGO!A38)</f>
        <v/>
      </c>
      <c r="B38" s="12" t="str">
        <f>IF(A38="","",CATALOGO!B38)</f>
        <v/>
      </c>
      <c r="C38" s="12" t="str">
        <f>IF(A38="","",CATALOGO!F38)</f>
        <v/>
      </c>
      <c r="D38" s="11" t="str">
        <f>IF(A38="","",CATALOGO!G38)</f>
        <v/>
      </c>
      <c r="E38" s="11" t="str">
        <f>IF(A38="","",CATALOGO!P38)</f>
        <v/>
      </c>
      <c r="F38" s="11" t="str">
        <f>IF(A38="","",CATALOGO!S38)</f>
        <v/>
      </c>
      <c r="G38" s="15" t="str">
        <f>IF(A38="","",CATALOGO!R38)</f>
        <v/>
      </c>
      <c r="H38" s="12" t="str">
        <f>IF(A38="","",IF(COUNTIF(STOCK!$A$6:$A$105,A38)&lt;&gt;1,"SIN STOCK UNICO",INDEX(STOCK!$K$6:$K$105,MATCH(A38,STOCK!$A$6:$A$105,0))))</f>
        <v/>
      </c>
      <c r="I38" s="12" t="str">
        <f>IF(OR(A38="",COUNTIF(STOCK!$A$6:$A$105,A38)&lt;&gt;1),"",IF(INDEX(STOCK!$M$6:$M$105,MATCH(A38,STOCK!$A$6:$A$105,0))="","",INDEX(STOCK!$M$6:$M$105,MATCH(A38,STOCK!$A$6:$A$105,0))))</f>
        <v/>
      </c>
      <c r="J38" s="14" t="str">
        <f>IF(OR(A38="",COUNTIF(STOCK!$A$6:$A$105,A38)&lt;&gt;1),"",IF(INDEX(STOCK!$L$6:$L$105,MATCH(A38,STOCK!$A$6:$A$105,0))="","",INDEX(STOCK!$L$6:$L$105,MATCH(A38,STOCK!$A$6:$A$105,0))))</f>
        <v/>
      </c>
      <c r="K38" s="14" t="str">
        <f>IF(OR(A38="",COUNTIF(STOCK!$A$6:$A$105,A38)&lt;&gt;1),"",IF(INDEX(STOCK!$N$6:$N$105,MATCH(A38,STOCK!$A$6:$A$105,0))="","",INDEX(STOCK!$N$6:$N$105,MATCH(A38,STOCK!$A$6:$A$105,0))))</f>
        <v/>
      </c>
      <c r="L38" s="14" t="str">
        <f>IF(OR(A38="",COUNTIF(STOCK!$A$6:$A$105,A38)&lt;&gt;1),"",IF(INDEX(STOCK!$O$6:$O$105,MATCH(A38,STOCK!$A$6:$A$105,0))="","",INDEX(STOCK!$O$6:$O$105,MATCH(A38,STOCK!$A$6:$A$105,0))))</f>
        <v/>
      </c>
      <c r="M38" s="14" t="str">
        <f>IF(OR(A38="",COUNTIF(STOCK!$A$6:$A$105,A38)&lt;&gt;1),"",IF(INDEX(STOCK!$P$6:$P$105,MATCH(A38,STOCK!$A$6:$A$105,0))="","",INDEX(STOCK!$P$6:$P$105,MATCH(A38,STOCK!$A$6:$A$105,0))))</f>
        <v/>
      </c>
      <c r="N38" s="14" t="str">
        <f>IF(OR(A38="",COUNTIF(STOCK!$A$6:$A$105,A38)&lt;&gt;1),"",IF(INDEX(STOCK!$I$6:$I$105,MATCH(A38,STOCK!$A$6:$A$105,0))="","",INDEX(STOCK!$I$6:$I$105,MATCH(A38,STOCK!$A$6:$A$105,0))))</f>
        <v/>
      </c>
      <c r="O38" s="16" t="str">
        <f>IF(OR(A38="",COUNTIF(STOCK!$A$6:$A$105,A38)&lt;&gt;1),"",IF(INDEX(STOCK!$J$6:$J$105,MATCH(A38,STOCK!$A$6:$A$105,0))="","",INDEX(STOCK!$J$6:$J$105,MATCH(A38,STOCK!$A$6:$A$105,0))))</f>
        <v/>
      </c>
      <c r="P38" s="11" t="str">
        <f>IF(OR(A38="",COUNTIF(STOCK!$A$6:$A$105,A38)&lt;&gt;1),"",IF(INDEX(STOCK!$R$6:$R$105,MATCH(A38,STOCK!$A$6:$A$105,0))="","",INDEX(STOCK!$R$6:$R$105,MATCH(A38,STOCK!$A$6:$A$105,0))))</f>
        <v/>
      </c>
      <c r="Q38" s="12" t="str">
        <f t="shared" ref="Q38:Q69" si="3">IF(A38="","",IF(C38="PRELANZAMIENTO","REVISAR PRELANZAMIENTO",IF(C38="PAUSADO","SKU PAUSADO",IF(H38&lt;&gt;"ELEGIBLE","EVIDENCIA PENDIENTE",IF(M38&gt;0,"PROPUESTA CONDICIONAL","SIN COMPRA SUGERIDA")))))</f>
        <v/>
      </c>
      <c r="R38" s="17" t="str">
        <f t="shared" ref="R38:R69" si="4">IF(A38="","",IF(H38&lt;&gt;"ELEGIBLE","Se retiene la propuesta: "&amp;H38&amp;"."&amp;CHAR(10)&amp;"Blanco significa desconocido; resolver la evidencia antes de decidir.",IF(M38=0,"Disponible + tránsito elegible cubren el horizonte de lead + seguridad."&amp;CHAR(10)&amp;"Consumo diario: "&amp;TEXT(I38,"0.00")&amp;"; disponible: "&amp;TEXT(J38,"0")&amp;".","Necesidad neta: "&amp;TEXT(L38,"0")&amp;" unidades."&amp;CHAR(10)&amp;"MOQ y múltiplo elevan la propuesta a "&amp;TEXT(M38,"0")&amp;" unidades.")))</f>
        <v/>
      </c>
      <c r="S38" s="17" t="str">
        <f t="shared" ref="S38:S69" si="5">IF(A38="","",IF(H38&lt;&gt;"ELEGIBLE","Corregir o confirmar la evidencia señalada en STOCK / CONFIG; no comprar con esta hoja todavía.",IF(M38=0,"No elegir compra por reposición. Vigilar la siguiente semana y confirmar que la cobertura siga completa.","Revisar la propuesta; no es una orden."&amp;CHAR(10)&amp;"Si se decide comprar, capturar cantidad y fecha de pago en STOCK y revisar el piso de caja.")))</f>
        <v/>
      </c>
    </row>
    <row r="39" spans="1:19" ht="42" customHeight="1" x14ac:dyDescent="0.45">
      <c r="A39" s="12" t="str">
        <f>IF(CATALOGO!A39="","",CATALOGO!A39)</f>
        <v/>
      </c>
      <c r="B39" s="12" t="str">
        <f>IF(A39="","",CATALOGO!B39)</f>
        <v/>
      </c>
      <c r="C39" s="12" t="str">
        <f>IF(A39="","",CATALOGO!F39)</f>
        <v/>
      </c>
      <c r="D39" s="11" t="str">
        <f>IF(A39="","",CATALOGO!G39)</f>
        <v/>
      </c>
      <c r="E39" s="11" t="str">
        <f>IF(A39="","",CATALOGO!P39)</f>
        <v/>
      </c>
      <c r="F39" s="11" t="str">
        <f>IF(A39="","",CATALOGO!S39)</f>
        <v/>
      </c>
      <c r="G39" s="15" t="str">
        <f>IF(A39="","",CATALOGO!R39)</f>
        <v/>
      </c>
      <c r="H39" s="12" t="str">
        <f>IF(A39="","",IF(COUNTIF(STOCK!$A$6:$A$105,A39)&lt;&gt;1,"SIN STOCK UNICO",INDEX(STOCK!$K$6:$K$105,MATCH(A39,STOCK!$A$6:$A$105,0))))</f>
        <v/>
      </c>
      <c r="I39" s="12" t="str">
        <f>IF(OR(A39="",COUNTIF(STOCK!$A$6:$A$105,A39)&lt;&gt;1),"",IF(INDEX(STOCK!$M$6:$M$105,MATCH(A39,STOCK!$A$6:$A$105,0))="","",INDEX(STOCK!$M$6:$M$105,MATCH(A39,STOCK!$A$6:$A$105,0))))</f>
        <v/>
      </c>
      <c r="J39" s="14" t="str">
        <f>IF(OR(A39="",COUNTIF(STOCK!$A$6:$A$105,A39)&lt;&gt;1),"",IF(INDEX(STOCK!$L$6:$L$105,MATCH(A39,STOCK!$A$6:$A$105,0))="","",INDEX(STOCK!$L$6:$L$105,MATCH(A39,STOCK!$A$6:$A$105,0))))</f>
        <v/>
      </c>
      <c r="K39" s="14" t="str">
        <f>IF(OR(A39="",COUNTIF(STOCK!$A$6:$A$105,A39)&lt;&gt;1),"",IF(INDEX(STOCK!$N$6:$N$105,MATCH(A39,STOCK!$A$6:$A$105,0))="","",INDEX(STOCK!$N$6:$N$105,MATCH(A39,STOCK!$A$6:$A$105,0))))</f>
        <v/>
      </c>
      <c r="L39" s="14" t="str">
        <f>IF(OR(A39="",COUNTIF(STOCK!$A$6:$A$105,A39)&lt;&gt;1),"",IF(INDEX(STOCK!$O$6:$O$105,MATCH(A39,STOCK!$A$6:$A$105,0))="","",INDEX(STOCK!$O$6:$O$105,MATCH(A39,STOCK!$A$6:$A$105,0))))</f>
        <v/>
      </c>
      <c r="M39" s="14" t="str">
        <f>IF(OR(A39="",COUNTIF(STOCK!$A$6:$A$105,A39)&lt;&gt;1),"",IF(INDEX(STOCK!$P$6:$P$105,MATCH(A39,STOCK!$A$6:$A$105,0))="","",INDEX(STOCK!$P$6:$P$105,MATCH(A39,STOCK!$A$6:$A$105,0))))</f>
        <v/>
      </c>
      <c r="N39" s="14" t="str">
        <f>IF(OR(A39="",COUNTIF(STOCK!$A$6:$A$105,A39)&lt;&gt;1),"",IF(INDEX(STOCK!$I$6:$I$105,MATCH(A39,STOCK!$A$6:$A$105,0))="","",INDEX(STOCK!$I$6:$I$105,MATCH(A39,STOCK!$A$6:$A$105,0))))</f>
        <v/>
      </c>
      <c r="O39" s="16" t="str">
        <f>IF(OR(A39="",COUNTIF(STOCK!$A$6:$A$105,A39)&lt;&gt;1),"",IF(INDEX(STOCK!$J$6:$J$105,MATCH(A39,STOCK!$A$6:$A$105,0))="","",INDEX(STOCK!$J$6:$J$105,MATCH(A39,STOCK!$A$6:$A$105,0))))</f>
        <v/>
      </c>
      <c r="P39" s="11" t="str">
        <f>IF(OR(A39="",COUNTIF(STOCK!$A$6:$A$105,A39)&lt;&gt;1),"",IF(INDEX(STOCK!$R$6:$R$105,MATCH(A39,STOCK!$A$6:$A$105,0))="","",INDEX(STOCK!$R$6:$R$105,MATCH(A39,STOCK!$A$6:$A$105,0))))</f>
        <v/>
      </c>
      <c r="Q39" s="12" t="str">
        <f t="shared" si="3"/>
        <v/>
      </c>
      <c r="R39" s="17" t="str">
        <f t="shared" si="4"/>
        <v/>
      </c>
      <c r="S39" s="17" t="str">
        <f t="shared" si="5"/>
        <v/>
      </c>
    </row>
    <row r="40" spans="1:19" ht="42" customHeight="1" x14ac:dyDescent="0.45">
      <c r="A40" s="12" t="str">
        <f>IF(CATALOGO!A40="","",CATALOGO!A40)</f>
        <v/>
      </c>
      <c r="B40" s="12" t="str">
        <f>IF(A40="","",CATALOGO!B40)</f>
        <v/>
      </c>
      <c r="C40" s="12" t="str">
        <f>IF(A40="","",CATALOGO!F40)</f>
        <v/>
      </c>
      <c r="D40" s="11" t="str">
        <f>IF(A40="","",CATALOGO!G40)</f>
        <v/>
      </c>
      <c r="E40" s="11" t="str">
        <f>IF(A40="","",CATALOGO!P40)</f>
        <v/>
      </c>
      <c r="F40" s="11" t="str">
        <f>IF(A40="","",CATALOGO!S40)</f>
        <v/>
      </c>
      <c r="G40" s="15" t="str">
        <f>IF(A40="","",CATALOGO!R40)</f>
        <v/>
      </c>
      <c r="H40" s="12" t="str">
        <f>IF(A40="","",IF(COUNTIF(STOCK!$A$6:$A$105,A40)&lt;&gt;1,"SIN STOCK UNICO",INDEX(STOCK!$K$6:$K$105,MATCH(A40,STOCK!$A$6:$A$105,0))))</f>
        <v/>
      </c>
      <c r="I40" s="12" t="str">
        <f>IF(OR(A40="",COUNTIF(STOCK!$A$6:$A$105,A40)&lt;&gt;1),"",IF(INDEX(STOCK!$M$6:$M$105,MATCH(A40,STOCK!$A$6:$A$105,0))="","",INDEX(STOCK!$M$6:$M$105,MATCH(A40,STOCK!$A$6:$A$105,0))))</f>
        <v/>
      </c>
      <c r="J40" s="14" t="str">
        <f>IF(OR(A40="",COUNTIF(STOCK!$A$6:$A$105,A40)&lt;&gt;1),"",IF(INDEX(STOCK!$L$6:$L$105,MATCH(A40,STOCK!$A$6:$A$105,0))="","",INDEX(STOCK!$L$6:$L$105,MATCH(A40,STOCK!$A$6:$A$105,0))))</f>
        <v/>
      </c>
      <c r="K40" s="14" t="str">
        <f>IF(OR(A40="",COUNTIF(STOCK!$A$6:$A$105,A40)&lt;&gt;1),"",IF(INDEX(STOCK!$N$6:$N$105,MATCH(A40,STOCK!$A$6:$A$105,0))="","",INDEX(STOCK!$N$6:$N$105,MATCH(A40,STOCK!$A$6:$A$105,0))))</f>
        <v/>
      </c>
      <c r="L40" s="14" t="str">
        <f>IF(OR(A40="",COUNTIF(STOCK!$A$6:$A$105,A40)&lt;&gt;1),"",IF(INDEX(STOCK!$O$6:$O$105,MATCH(A40,STOCK!$A$6:$A$105,0))="","",INDEX(STOCK!$O$6:$O$105,MATCH(A40,STOCK!$A$6:$A$105,0))))</f>
        <v/>
      </c>
      <c r="M40" s="14" t="str">
        <f>IF(OR(A40="",COUNTIF(STOCK!$A$6:$A$105,A40)&lt;&gt;1),"",IF(INDEX(STOCK!$P$6:$P$105,MATCH(A40,STOCK!$A$6:$A$105,0))="","",INDEX(STOCK!$P$6:$P$105,MATCH(A40,STOCK!$A$6:$A$105,0))))</f>
        <v/>
      </c>
      <c r="N40" s="14" t="str">
        <f>IF(OR(A40="",COUNTIF(STOCK!$A$6:$A$105,A40)&lt;&gt;1),"",IF(INDEX(STOCK!$I$6:$I$105,MATCH(A40,STOCK!$A$6:$A$105,0))="","",INDEX(STOCK!$I$6:$I$105,MATCH(A40,STOCK!$A$6:$A$105,0))))</f>
        <v/>
      </c>
      <c r="O40" s="16" t="str">
        <f>IF(OR(A40="",COUNTIF(STOCK!$A$6:$A$105,A40)&lt;&gt;1),"",IF(INDEX(STOCK!$J$6:$J$105,MATCH(A40,STOCK!$A$6:$A$105,0))="","",INDEX(STOCK!$J$6:$J$105,MATCH(A40,STOCK!$A$6:$A$105,0))))</f>
        <v/>
      </c>
      <c r="P40" s="11" t="str">
        <f>IF(OR(A40="",COUNTIF(STOCK!$A$6:$A$105,A40)&lt;&gt;1),"",IF(INDEX(STOCK!$R$6:$R$105,MATCH(A40,STOCK!$A$6:$A$105,0))="","",INDEX(STOCK!$R$6:$R$105,MATCH(A40,STOCK!$A$6:$A$105,0))))</f>
        <v/>
      </c>
      <c r="Q40" s="12" t="str">
        <f t="shared" si="3"/>
        <v/>
      </c>
      <c r="R40" s="17" t="str">
        <f t="shared" si="4"/>
        <v/>
      </c>
      <c r="S40" s="17" t="str">
        <f t="shared" si="5"/>
        <v/>
      </c>
    </row>
    <row r="41" spans="1:19" ht="42" customHeight="1" x14ac:dyDescent="0.45">
      <c r="A41" s="12" t="str">
        <f>IF(CATALOGO!A41="","",CATALOGO!A41)</f>
        <v/>
      </c>
      <c r="B41" s="12" t="str">
        <f>IF(A41="","",CATALOGO!B41)</f>
        <v/>
      </c>
      <c r="C41" s="12" t="str">
        <f>IF(A41="","",CATALOGO!F41)</f>
        <v/>
      </c>
      <c r="D41" s="11" t="str">
        <f>IF(A41="","",CATALOGO!G41)</f>
        <v/>
      </c>
      <c r="E41" s="11" t="str">
        <f>IF(A41="","",CATALOGO!P41)</f>
        <v/>
      </c>
      <c r="F41" s="11" t="str">
        <f>IF(A41="","",CATALOGO!S41)</f>
        <v/>
      </c>
      <c r="G41" s="15" t="str">
        <f>IF(A41="","",CATALOGO!R41)</f>
        <v/>
      </c>
      <c r="H41" s="12" t="str">
        <f>IF(A41="","",IF(COUNTIF(STOCK!$A$6:$A$105,A41)&lt;&gt;1,"SIN STOCK UNICO",INDEX(STOCK!$K$6:$K$105,MATCH(A41,STOCK!$A$6:$A$105,0))))</f>
        <v/>
      </c>
      <c r="I41" s="12" t="str">
        <f>IF(OR(A41="",COUNTIF(STOCK!$A$6:$A$105,A41)&lt;&gt;1),"",IF(INDEX(STOCK!$M$6:$M$105,MATCH(A41,STOCK!$A$6:$A$105,0))="","",INDEX(STOCK!$M$6:$M$105,MATCH(A41,STOCK!$A$6:$A$105,0))))</f>
        <v/>
      </c>
      <c r="J41" s="14" t="str">
        <f>IF(OR(A41="",COUNTIF(STOCK!$A$6:$A$105,A41)&lt;&gt;1),"",IF(INDEX(STOCK!$L$6:$L$105,MATCH(A41,STOCK!$A$6:$A$105,0))="","",INDEX(STOCK!$L$6:$L$105,MATCH(A41,STOCK!$A$6:$A$105,0))))</f>
        <v/>
      </c>
      <c r="K41" s="14" t="str">
        <f>IF(OR(A41="",COUNTIF(STOCK!$A$6:$A$105,A41)&lt;&gt;1),"",IF(INDEX(STOCK!$N$6:$N$105,MATCH(A41,STOCK!$A$6:$A$105,0))="","",INDEX(STOCK!$N$6:$N$105,MATCH(A41,STOCK!$A$6:$A$105,0))))</f>
        <v/>
      </c>
      <c r="L41" s="14" t="str">
        <f>IF(OR(A41="",COUNTIF(STOCK!$A$6:$A$105,A41)&lt;&gt;1),"",IF(INDEX(STOCK!$O$6:$O$105,MATCH(A41,STOCK!$A$6:$A$105,0))="","",INDEX(STOCK!$O$6:$O$105,MATCH(A41,STOCK!$A$6:$A$105,0))))</f>
        <v/>
      </c>
      <c r="M41" s="14" t="str">
        <f>IF(OR(A41="",COUNTIF(STOCK!$A$6:$A$105,A41)&lt;&gt;1),"",IF(INDEX(STOCK!$P$6:$P$105,MATCH(A41,STOCK!$A$6:$A$105,0))="","",INDEX(STOCK!$P$6:$P$105,MATCH(A41,STOCK!$A$6:$A$105,0))))</f>
        <v/>
      </c>
      <c r="N41" s="14" t="str">
        <f>IF(OR(A41="",COUNTIF(STOCK!$A$6:$A$105,A41)&lt;&gt;1),"",IF(INDEX(STOCK!$I$6:$I$105,MATCH(A41,STOCK!$A$6:$A$105,0))="","",INDEX(STOCK!$I$6:$I$105,MATCH(A41,STOCK!$A$6:$A$105,0))))</f>
        <v/>
      </c>
      <c r="O41" s="16" t="str">
        <f>IF(OR(A41="",COUNTIF(STOCK!$A$6:$A$105,A41)&lt;&gt;1),"",IF(INDEX(STOCK!$J$6:$J$105,MATCH(A41,STOCK!$A$6:$A$105,0))="","",INDEX(STOCK!$J$6:$J$105,MATCH(A41,STOCK!$A$6:$A$105,0))))</f>
        <v/>
      </c>
      <c r="P41" s="11" t="str">
        <f>IF(OR(A41="",COUNTIF(STOCK!$A$6:$A$105,A41)&lt;&gt;1),"",IF(INDEX(STOCK!$R$6:$R$105,MATCH(A41,STOCK!$A$6:$A$105,0))="","",INDEX(STOCK!$R$6:$R$105,MATCH(A41,STOCK!$A$6:$A$105,0))))</f>
        <v/>
      </c>
      <c r="Q41" s="12" t="str">
        <f t="shared" si="3"/>
        <v/>
      </c>
      <c r="R41" s="17" t="str">
        <f t="shared" si="4"/>
        <v/>
      </c>
      <c r="S41" s="17" t="str">
        <f t="shared" si="5"/>
        <v/>
      </c>
    </row>
    <row r="42" spans="1:19" ht="42" customHeight="1" x14ac:dyDescent="0.45">
      <c r="A42" s="12" t="str">
        <f>IF(CATALOGO!A42="","",CATALOGO!A42)</f>
        <v/>
      </c>
      <c r="B42" s="12" t="str">
        <f>IF(A42="","",CATALOGO!B42)</f>
        <v/>
      </c>
      <c r="C42" s="12" t="str">
        <f>IF(A42="","",CATALOGO!F42)</f>
        <v/>
      </c>
      <c r="D42" s="11" t="str">
        <f>IF(A42="","",CATALOGO!G42)</f>
        <v/>
      </c>
      <c r="E42" s="11" t="str">
        <f>IF(A42="","",CATALOGO!P42)</f>
        <v/>
      </c>
      <c r="F42" s="11" t="str">
        <f>IF(A42="","",CATALOGO!S42)</f>
        <v/>
      </c>
      <c r="G42" s="15" t="str">
        <f>IF(A42="","",CATALOGO!R42)</f>
        <v/>
      </c>
      <c r="H42" s="12" t="str">
        <f>IF(A42="","",IF(COUNTIF(STOCK!$A$6:$A$105,A42)&lt;&gt;1,"SIN STOCK UNICO",INDEX(STOCK!$K$6:$K$105,MATCH(A42,STOCK!$A$6:$A$105,0))))</f>
        <v/>
      </c>
      <c r="I42" s="12" t="str">
        <f>IF(OR(A42="",COUNTIF(STOCK!$A$6:$A$105,A42)&lt;&gt;1),"",IF(INDEX(STOCK!$M$6:$M$105,MATCH(A42,STOCK!$A$6:$A$105,0))="","",INDEX(STOCK!$M$6:$M$105,MATCH(A42,STOCK!$A$6:$A$105,0))))</f>
        <v/>
      </c>
      <c r="J42" s="14" t="str">
        <f>IF(OR(A42="",COUNTIF(STOCK!$A$6:$A$105,A42)&lt;&gt;1),"",IF(INDEX(STOCK!$L$6:$L$105,MATCH(A42,STOCK!$A$6:$A$105,0))="","",INDEX(STOCK!$L$6:$L$105,MATCH(A42,STOCK!$A$6:$A$105,0))))</f>
        <v/>
      </c>
      <c r="K42" s="14" t="str">
        <f>IF(OR(A42="",COUNTIF(STOCK!$A$6:$A$105,A42)&lt;&gt;1),"",IF(INDEX(STOCK!$N$6:$N$105,MATCH(A42,STOCK!$A$6:$A$105,0))="","",INDEX(STOCK!$N$6:$N$105,MATCH(A42,STOCK!$A$6:$A$105,0))))</f>
        <v/>
      </c>
      <c r="L42" s="14" t="str">
        <f>IF(OR(A42="",COUNTIF(STOCK!$A$6:$A$105,A42)&lt;&gt;1),"",IF(INDEX(STOCK!$O$6:$O$105,MATCH(A42,STOCK!$A$6:$A$105,0))="","",INDEX(STOCK!$O$6:$O$105,MATCH(A42,STOCK!$A$6:$A$105,0))))</f>
        <v/>
      </c>
      <c r="M42" s="14" t="str">
        <f>IF(OR(A42="",COUNTIF(STOCK!$A$6:$A$105,A42)&lt;&gt;1),"",IF(INDEX(STOCK!$P$6:$P$105,MATCH(A42,STOCK!$A$6:$A$105,0))="","",INDEX(STOCK!$P$6:$P$105,MATCH(A42,STOCK!$A$6:$A$105,0))))</f>
        <v/>
      </c>
      <c r="N42" s="14" t="str">
        <f>IF(OR(A42="",COUNTIF(STOCK!$A$6:$A$105,A42)&lt;&gt;1),"",IF(INDEX(STOCK!$I$6:$I$105,MATCH(A42,STOCK!$A$6:$A$105,0))="","",INDEX(STOCK!$I$6:$I$105,MATCH(A42,STOCK!$A$6:$A$105,0))))</f>
        <v/>
      </c>
      <c r="O42" s="16" t="str">
        <f>IF(OR(A42="",COUNTIF(STOCK!$A$6:$A$105,A42)&lt;&gt;1),"",IF(INDEX(STOCK!$J$6:$J$105,MATCH(A42,STOCK!$A$6:$A$105,0))="","",INDEX(STOCK!$J$6:$J$105,MATCH(A42,STOCK!$A$6:$A$105,0))))</f>
        <v/>
      </c>
      <c r="P42" s="11" t="str">
        <f>IF(OR(A42="",COUNTIF(STOCK!$A$6:$A$105,A42)&lt;&gt;1),"",IF(INDEX(STOCK!$R$6:$R$105,MATCH(A42,STOCK!$A$6:$A$105,0))="","",INDEX(STOCK!$R$6:$R$105,MATCH(A42,STOCK!$A$6:$A$105,0))))</f>
        <v/>
      </c>
      <c r="Q42" s="12" t="str">
        <f t="shared" si="3"/>
        <v/>
      </c>
      <c r="R42" s="17" t="str">
        <f t="shared" si="4"/>
        <v/>
      </c>
      <c r="S42" s="17" t="str">
        <f t="shared" si="5"/>
        <v/>
      </c>
    </row>
    <row r="43" spans="1:19" ht="42" customHeight="1" x14ac:dyDescent="0.45">
      <c r="A43" s="12" t="str">
        <f>IF(CATALOGO!A43="","",CATALOGO!A43)</f>
        <v/>
      </c>
      <c r="B43" s="12" t="str">
        <f>IF(A43="","",CATALOGO!B43)</f>
        <v/>
      </c>
      <c r="C43" s="12" t="str">
        <f>IF(A43="","",CATALOGO!F43)</f>
        <v/>
      </c>
      <c r="D43" s="11" t="str">
        <f>IF(A43="","",CATALOGO!G43)</f>
        <v/>
      </c>
      <c r="E43" s="11" t="str">
        <f>IF(A43="","",CATALOGO!P43)</f>
        <v/>
      </c>
      <c r="F43" s="11" t="str">
        <f>IF(A43="","",CATALOGO!S43)</f>
        <v/>
      </c>
      <c r="G43" s="15" t="str">
        <f>IF(A43="","",CATALOGO!R43)</f>
        <v/>
      </c>
      <c r="H43" s="12" t="str">
        <f>IF(A43="","",IF(COUNTIF(STOCK!$A$6:$A$105,A43)&lt;&gt;1,"SIN STOCK UNICO",INDEX(STOCK!$K$6:$K$105,MATCH(A43,STOCK!$A$6:$A$105,0))))</f>
        <v/>
      </c>
      <c r="I43" s="12" t="str">
        <f>IF(OR(A43="",COUNTIF(STOCK!$A$6:$A$105,A43)&lt;&gt;1),"",IF(INDEX(STOCK!$M$6:$M$105,MATCH(A43,STOCK!$A$6:$A$105,0))="","",INDEX(STOCK!$M$6:$M$105,MATCH(A43,STOCK!$A$6:$A$105,0))))</f>
        <v/>
      </c>
      <c r="J43" s="14" t="str">
        <f>IF(OR(A43="",COUNTIF(STOCK!$A$6:$A$105,A43)&lt;&gt;1),"",IF(INDEX(STOCK!$L$6:$L$105,MATCH(A43,STOCK!$A$6:$A$105,0))="","",INDEX(STOCK!$L$6:$L$105,MATCH(A43,STOCK!$A$6:$A$105,0))))</f>
        <v/>
      </c>
      <c r="K43" s="14" t="str">
        <f>IF(OR(A43="",COUNTIF(STOCK!$A$6:$A$105,A43)&lt;&gt;1),"",IF(INDEX(STOCK!$N$6:$N$105,MATCH(A43,STOCK!$A$6:$A$105,0))="","",INDEX(STOCK!$N$6:$N$105,MATCH(A43,STOCK!$A$6:$A$105,0))))</f>
        <v/>
      </c>
      <c r="L43" s="14" t="str">
        <f>IF(OR(A43="",COUNTIF(STOCK!$A$6:$A$105,A43)&lt;&gt;1),"",IF(INDEX(STOCK!$O$6:$O$105,MATCH(A43,STOCK!$A$6:$A$105,0))="","",INDEX(STOCK!$O$6:$O$105,MATCH(A43,STOCK!$A$6:$A$105,0))))</f>
        <v/>
      </c>
      <c r="M43" s="14" t="str">
        <f>IF(OR(A43="",COUNTIF(STOCK!$A$6:$A$105,A43)&lt;&gt;1),"",IF(INDEX(STOCK!$P$6:$P$105,MATCH(A43,STOCK!$A$6:$A$105,0))="","",INDEX(STOCK!$P$6:$P$105,MATCH(A43,STOCK!$A$6:$A$105,0))))</f>
        <v/>
      </c>
      <c r="N43" s="14" t="str">
        <f>IF(OR(A43="",COUNTIF(STOCK!$A$6:$A$105,A43)&lt;&gt;1),"",IF(INDEX(STOCK!$I$6:$I$105,MATCH(A43,STOCK!$A$6:$A$105,0))="","",INDEX(STOCK!$I$6:$I$105,MATCH(A43,STOCK!$A$6:$A$105,0))))</f>
        <v/>
      </c>
      <c r="O43" s="16" t="str">
        <f>IF(OR(A43="",COUNTIF(STOCK!$A$6:$A$105,A43)&lt;&gt;1),"",IF(INDEX(STOCK!$J$6:$J$105,MATCH(A43,STOCK!$A$6:$A$105,0))="","",INDEX(STOCK!$J$6:$J$105,MATCH(A43,STOCK!$A$6:$A$105,0))))</f>
        <v/>
      </c>
      <c r="P43" s="11" t="str">
        <f>IF(OR(A43="",COUNTIF(STOCK!$A$6:$A$105,A43)&lt;&gt;1),"",IF(INDEX(STOCK!$R$6:$R$105,MATCH(A43,STOCK!$A$6:$A$105,0))="","",INDEX(STOCK!$R$6:$R$105,MATCH(A43,STOCK!$A$6:$A$105,0))))</f>
        <v/>
      </c>
      <c r="Q43" s="12" t="str">
        <f t="shared" si="3"/>
        <v/>
      </c>
      <c r="R43" s="17" t="str">
        <f t="shared" si="4"/>
        <v/>
      </c>
      <c r="S43" s="17" t="str">
        <f t="shared" si="5"/>
        <v/>
      </c>
    </row>
    <row r="44" spans="1:19" ht="42" customHeight="1" x14ac:dyDescent="0.45">
      <c r="A44" s="12" t="str">
        <f>IF(CATALOGO!A44="","",CATALOGO!A44)</f>
        <v/>
      </c>
      <c r="B44" s="12" t="str">
        <f>IF(A44="","",CATALOGO!B44)</f>
        <v/>
      </c>
      <c r="C44" s="12" t="str">
        <f>IF(A44="","",CATALOGO!F44)</f>
        <v/>
      </c>
      <c r="D44" s="11" t="str">
        <f>IF(A44="","",CATALOGO!G44)</f>
        <v/>
      </c>
      <c r="E44" s="11" t="str">
        <f>IF(A44="","",CATALOGO!P44)</f>
        <v/>
      </c>
      <c r="F44" s="11" t="str">
        <f>IF(A44="","",CATALOGO!S44)</f>
        <v/>
      </c>
      <c r="G44" s="15" t="str">
        <f>IF(A44="","",CATALOGO!R44)</f>
        <v/>
      </c>
      <c r="H44" s="12" t="str">
        <f>IF(A44="","",IF(COUNTIF(STOCK!$A$6:$A$105,A44)&lt;&gt;1,"SIN STOCK UNICO",INDEX(STOCK!$K$6:$K$105,MATCH(A44,STOCK!$A$6:$A$105,0))))</f>
        <v/>
      </c>
      <c r="I44" s="12" t="str">
        <f>IF(OR(A44="",COUNTIF(STOCK!$A$6:$A$105,A44)&lt;&gt;1),"",IF(INDEX(STOCK!$M$6:$M$105,MATCH(A44,STOCK!$A$6:$A$105,0))="","",INDEX(STOCK!$M$6:$M$105,MATCH(A44,STOCK!$A$6:$A$105,0))))</f>
        <v/>
      </c>
      <c r="J44" s="14" t="str">
        <f>IF(OR(A44="",COUNTIF(STOCK!$A$6:$A$105,A44)&lt;&gt;1),"",IF(INDEX(STOCK!$L$6:$L$105,MATCH(A44,STOCK!$A$6:$A$105,0))="","",INDEX(STOCK!$L$6:$L$105,MATCH(A44,STOCK!$A$6:$A$105,0))))</f>
        <v/>
      </c>
      <c r="K44" s="14" t="str">
        <f>IF(OR(A44="",COUNTIF(STOCK!$A$6:$A$105,A44)&lt;&gt;1),"",IF(INDEX(STOCK!$N$6:$N$105,MATCH(A44,STOCK!$A$6:$A$105,0))="","",INDEX(STOCK!$N$6:$N$105,MATCH(A44,STOCK!$A$6:$A$105,0))))</f>
        <v/>
      </c>
      <c r="L44" s="14" t="str">
        <f>IF(OR(A44="",COUNTIF(STOCK!$A$6:$A$105,A44)&lt;&gt;1),"",IF(INDEX(STOCK!$O$6:$O$105,MATCH(A44,STOCK!$A$6:$A$105,0))="","",INDEX(STOCK!$O$6:$O$105,MATCH(A44,STOCK!$A$6:$A$105,0))))</f>
        <v/>
      </c>
      <c r="M44" s="14" t="str">
        <f>IF(OR(A44="",COUNTIF(STOCK!$A$6:$A$105,A44)&lt;&gt;1),"",IF(INDEX(STOCK!$P$6:$P$105,MATCH(A44,STOCK!$A$6:$A$105,0))="","",INDEX(STOCK!$P$6:$P$105,MATCH(A44,STOCK!$A$6:$A$105,0))))</f>
        <v/>
      </c>
      <c r="N44" s="14" t="str">
        <f>IF(OR(A44="",COUNTIF(STOCK!$A$6:$A$105,A44)&lt;&gt;1),"",IF(INDEX(STOCK!$I$6:$I$105,MATCH(A44,STOCK!$A$6:$A$105,0))="","",INDEX(STOCK!$I$6:$I$105,MATCH(A44,STOCK!$A$6:$A$105,0))))</f>
        <v/>
      </c>
      <c r="O44" s="16" t="str">
        <f>IF(OR(A44="",COUNTIF(STOCK!$A$6:$A$105,A44)&lt;&gt;1),"",IF(INDEX(STOCK!$J$6:$J$105,MATCH(A44,STOCK!$A$6:$A$105,0))="","",INDEX(STOCK!$J$6:$J$105,MATCH(A44,STOCK!$A$6:$A$105,0))))</f>
        <v/>
      </c>
      <c r="P44" s="11" t="str">
        <f>IF(OR(A44="",COUNTIF(STOCK!$A$6:$A$105,A44)&lt;&gt;1),"",IF(INDEX(STOCK!$R$6:$R$105,MATCH(A44,STOCK!$A$6:$A$105,0))="","",INDEX(STOCK!$R$6:$R$105,MATCH(A44,STOCK!$A$6:$A$105,0))))</f>
        <v/>
      </c>
      <c r="Q44" s="12" t="str">
        <f t="shared" si="3"/>
        <v/>
      </c>
      <c r="R44" s="17" t="str">
        <f t="shared" si="4"/>
        <v/>
      </c>
      <c r="S44" s="17" t="str">
        <f t="shared" si="5"/>
        <v/>
      </c>
    </row>
    <row r="45" spans="1:19" ht="42" customHeight="1" x14ac:dyDescent="0.45">
      <c r="A45" s="12" t="str">
        <f>IF(CATALOGO!A45="","",CATALOGO!A45)</f>
        <v/>
      </c>
      <c r="B45" s="12" t="str">
        <f>IF(A45="","",CATALOGO!B45)</f>
        <v/>
      </c>
      <c r="C45" s="12" t="str">
        <f>IF(A45="","",CATALOGO!F45)</f>
        <v/>
      </c>
      <c r="D45" s="11" t="str">
        <f>IF(A45="","",CATALOGO!G45)</f>
        <v/>
      </c>
      <c r="E45" s="11" t="str">
        <f>IF(A45="","",CATALOGO!P45)</f>
        <v/>
      </c>
      <c r="F45" s="11" t="str">
        <f>IF(A45="","",CATALOGO!S45)</f>
        <v/>
      </c>
      <c r="G45" s="15" t="str">
        <f>IF(A45="","",CATALOGO!R45)</f>
        <v/>
      </c>
      <c r="H45" s="12" t="str">
        <f>IF(A45="","",IF(COUNTIF(STOCK!$A$6:$A$105,A45)&lt;&gt;1,"SIN STOCK UNICO",INDEX(STOCK!$K$6:$K$105,MATCH(A45,STOCK!$A$6:$A$105,0))))</f>
        <v/>
      </c>
      <c r="I45" s="12" t="str">
        <f>IF(OR(A45="",COUNTIF(STOCK!$A$6:$A$105,A45)&lt;&gt;1),"",IF(INDEX(STOCK!$M$6:$M$105,MATCH(A45,STOCK!$A$6:$A$105,0))="","",INDEX(STOCK!$M$6:$M$105,MATCH(A45,STOCK!$A$6:$A$105,0))))</f>
        <v/>
      </c>
      <c r="J45" s="14" t="str">
        <f>IF(OR(A45="",COUNTIF(STOCK!$A$6:$A$105,A45)&lt;&gt;1),"",IF(INDEX(STOCK!$L$6:$L$105,MATCH(A45,STOCK!$A$6:$A$105,0))="","",INDEX(STOCK!$L$6:$L$105,MATCH(A45,STOCK!$A$6:$A$105,0))))</f>
        <v/>
      </c>
      <c r="K45" s="14" t="str">
        <f>IF(OR(A45="",COUNTIF(STOCK!$A$6:$A$105,A45)&lt;&gt;1),"",IF(INDEX(STOCK!$N$6:$N$105,MATCH(A45,STOCK!$A$6:$A$105,0))="","",INDEX(STOCK!$N$6:$N$105,MATCH(A45,STOCK!$A$6:$A$105,0))))</f>
        <v/>
      </c>
      <c r="L45" s="14" t="str">
        <f>IF(OR(A45="",COUNTIF(STOCK!$A$6:$A$105,A45)&lt;&gt;1),"",IF(INDEX(STOCK!$O$6:$O$105,MATCH(A45,STOCK!$A$6:$A$105,0))="","",INDEX(STOCK!$O$6:$O$105,MATCH(A45,STOCK!$A$6:$A$105,0))))</f>
        <v/>
      </c>
      <c r="M45" s="14" t="str">
        <f>IF(OR(A45="",COUNTIF(STOCK!$A$6:$A$105,A45)&lt;&gt;1),"",IF(INDEX(STOCK!$P$6:$P$105,MATCH(A45,STOCK!$A$6:$A$105,0))="","",INDEX(STOCK!$P$6:$P$105,MATCH(A45,STOCK!$A$6:$A$105,0))))</f>
        <v/>
      </c>
      <c r="N45" s="14" t="str">
        <f>IF(OR(A45="",COUNTIF(STOCK!$A$6:$A$105,A45)&lt;&gt;1),"",IF(INDEX(STOCK!$I$6:$I$105,MATCH(A45,STOCK!$A$6:$A$105,0))="","",INDEX(STOCK!$I$6:$I$105,MATCH(A45,STOCK!$A$6:$A$105,0))))</f>
        <v/>
      </c>
      <c r="O45" s="16" t="str">
        <f>IF(OR(A45="",COUNTIF(STOCK!$A$6:$A$105,A45)&lt;&gt;1),"",IF(INDEX(STOCK!$J$6:$J$105,MATCH(A45,STOCK!$A$6:$A$105,0))="","",INDEX(STOCK!$J$6:$J$105,MATCH(A45,STOCK!$A$6:$A$105,0))))</f>
        <v/>
      </c>
      <c r="P45" s="11" t="str">
        <f>IF(OR(A45="",COUNTIF(STOCK!$A$6:$A$105,A45)&lt;&gt;1),"",IF(INDEX(STOCK!$R$6:$R$105,MATCH(A45,STOCK!$A$6:$A$105,0))="","",INDEX(STOCK!$R$6:$R$105,MATCH(A45,STOCK!$A$6:$A$105,0))))</f>
        <v/>
      </c>
      <c r="Q45" s="12" t="str">
        <f t="shared" si="3"/>
        <v/>
      </c>
      <c r="R45" s="17" t="str">
        <f t="shared" si="4"/>
        <v/>
      </c>
      <c r="S45" s="17" t="str">
        <f t="shared" si="5"/>
        <v/>
      </c>
    </row>
    <row r="46" spans="1:19" ht="42" customHeight="1" x14ac:dyDescent="0.45">
      <c r="A46" s="12" t="str">
        <f>IF(CATALOGO!A46="","",CATALOGO!A46)</f>
        <v/>
      </c>
      <c r="B46" s="12" t="str">
        <f>IF(A46="","",CATALOGO!B46)</f>
        <v/>
      </c>
      <c r="C46" s="12" t="str">
        <f>IF(A46="","",CATALOGO!F46)</f>
        <v/>
      </c>
      <c r="D46" s="11" t="str">
        <f>IF(A46="","",CATALOGO!G46)</f>
        <v/>
      </c>
      <c r="E46" s="11" t="str">
        <f>IF(A46="","",CATALOGO!P46)</f>
        <v/>
      </c>
      <c r="F46" s="11" t="str">
        <f>IF(A46="","",CATALOGO!S46)</f>
        <v/>
      </c>
      <c r="G46" s="15" t="str">
        <f>IF(A46="","",CATALOGO!R46)</f>
        <v/>
      </c>
      <c r="H46" s="12" t="str">
        <f>IF(A46="","",IF(COUNTIF(STOCK!$A$6:$A$105,A46)&lt;&gt;1,"SIN STOCK UNICO",INDEX(STOCK!$K$6:$K$105,MATCH(A46,STOCK!$A$6:$A$105,0))))</f>
        <v/>
      </c>
      <c r="I46" s="12" t="str">
        <f>IF(OR(A46="",COUNTIF(STOCK!$A$6:$A$105,A46)&lt;&gt;1),"",IF(INDEX(STOCK!$M$6:$M$105,MATCH(A46,STOCK!$A$6:$A$105,0))="","",INDEX(STOCK!$M$6:$M$105,MATCH(A46,STOCK!$A$6:$A$105,0))))</f>
        <v/>
      </c>
      <c r="J46" s="14" t="str">
        <f>IF(OR(A46="",COUNTIF(STOCK!$A$6:$A$105,A46)&lt;&gt;1),"",IF(INDEX(STOCK!$L$6:$L$105,MATCH(A46,STOCK!$A$6:$A$105,0))="","",INDEX(STOCK!$L$6:$L$105,MATCH(A46,STOCK!$A$6:$A$105,0))))</f>
        <v/>
      </c>
      <c r="K46" s="14" t="str">
        <f>IF(OR(A46="",COUNTIF(STOCK!$A$6:$A$105,A46)&lt;&gt;1),"",IF(INDEX(STOCK!$N$6:$N$105,MATCH(A46,STOCK!$A$6:$A$105,0))="","",INDEX(STOCK!$N$6:$N$105,MATCH(A46,STOCK!$A$6:$A$105,0))))</f>
        <v/>
      </c>
      <c r="L46" s="14" t="str">
        <f>IF(OR(A46="",COUNTIF(STOCK!$A$6:$A$105,A46)&lt;&gt;1),"",IF(INDEX(STOCK!$O$6:$O$105,MATCH(A46,STOCK!$A$6:$A$105,0))="","",INDEX(STOCK!$O$6:$O$105,MATCH(A46,STOCK!$A$6:$A$105,0))))</f>
        <v/>
      </c>
      <c r="M46" s="14" t="str">
        <f>IF(OR(A46="",COUNTIF(STOCK!$A$6:$A$105,A46)&lt;&gt;1),"",IF(INDEX(STOCK!$P$6:$P$105,MATCH(A46,STOCK!$A$6:$A$105,0))="","",INDEX(STOCK!$P$6:$P$105,MATCH(A46,STOCK!$A$6:$A$105,0))))</f>
        <v/>
      </c>
      <c r="N46" s="14" t="str">
        <f>IF(OR(A46="",COUNTIF(STOCK!$A$6:$A$105,A46)&lt;&gt;1),"",IF(INDEX(STOCK!$I$6:$I$105,MATCH(A46,STOCK!$A$6:$A$105,0))="","",INDEX(STOCK!$I$6:$I$105,MATCH(A46,STOCK!$A$6:$A$105,0))))</f>
        <v/>
      </c>
      <c r="O46" s="16" t="str">
        <f>IF(OR(A46="",COUNTIF(STOCK!$A$6:$A$105,A46)&lt;&gt;1),"",IF(INDEX(STOCK!$J$6:$J$105,MATCH(A46,STOCK!$A$6:$A$105,0))="","",INDEX(STOCK!$J$6:$J$105,MATCH(A46,STOCK!$A$6:$A$105,0))))</f>
        <v/>
      </c>
      <c r="P46" s="11" t="str">
        <f>IF(OR(A46="",COUNTIF(STOCK!$A$6:$A$105,A46)&lt;&gt;1),"",IF(INDEX(STOCK!$R$6:$R$105,MATCH(A46,STOCK!$A$6:$A$105,0))="","",INDEX(STOCK!$R$6:$R$105,MATCH(A46,STOCK!$A$6:$A$105,0))))</f>
        <v/>
      </c>
      <c r="Q46" s="12" t="str">
        <f t="shared" si="3"/>
        <v/>
      </c>
      <c r="R46" s="17" t="str">
        <f t="shared" si="4"/>
        <v/>
      </c>
      <c r="S46" s="17" t="str">
        <f t="shared" si="5"/>
        <v/>
      </c>
    </row>
    <row r="47" spans="1:19" ht="42" customHeight="1" x14ac:dyDescent="0.45">
      <c r="A47" s="12" t="str">
        <f>IF(CATALOGO!A47="","",CATALOGO!A47)</f>
        <v/>
      </c>
      <c r="B47" s="12" t="str">
        <f>IF(A47="","",CATALOGO!B47)</f>
        <v/>
      </c>
      <c r="C47" s="12" t="str">
        <f>IF(A47="","",CATALOGO!F47)</f>
        <v/>
      </c>
      <c r="D47" s="11" t="str">
        <f>IF(A47="","",CATALOGO!G47)</f>
        <v/>
      </c>
      <c r="E47" s="11" t="str">
        <f>IF(A47="","",CATALOGO!P47)</f>
        <v/>
      </c>
      <c r="F47" s="11" t="str">
        <f>IF(A47="","",CATALOGO!S47)</f>
        <v/>
      </c>
      <c r="G47" s="15" t="str">
        <f>IF(A47="","",CATALOGO!R47)</f>
        <v/>
      </c>
      <c r="H47" s="12" t="str">
        <f>IF(A47="","",IF(COUNTIF(STOCK!$A$6:$A$105,A47)&lt;&gt;1,"SIN STOCK UNICO",INDEX(STOCK!$K$6:$K$105,MATCH(A47,STOCK!$A$6:$A$105,0))))</f>
        <v/>
      </c>
      <c r="I47" s="12" t="str">
        <f>IF(OR(A47="",COUNTIF(STOCK!$A$6:$A$105,A47)&lt;&gt;1),"",IF(INDEX(STOCK!$M$6:$M$105,MATCH(A47,STOCK!$A$6:$A$105,0))="","",INDEX(STOCK!$M$6:$M$105,MATCH(A47,STOCK!$A$6:$A$105,0))))</f>
        <v/>
      </c>
      <c r="J47" s="14" t="str">
        <f>IF(OR(A47="",COUNTIF(STOCK!$A$6:$A$105,A47)&lt;&gt;1),"",IF(INDEX(STOCK!$L$6:$L$105,MATCH(A47,STOCK!$A$6:$A$105,0))="","",INDEX(STOCK!$L$6:$L$105,MATCH(A47,STOCK!$A$6:$A$105,0))))</f>
        <v/>
      </c>
      <c r="K47" s="14" t="str">
        <f>IF(OR(A47="",COUNTIF(STOCK!$A$6:$A$105,A47)&lt;&gt;1),"",IF(INDEX(STOCK!$N$6:$N$105,MATCH(A47,STOCK!$A$6:$A$105,0))="","",INDEX(STOCK!$N$6:$N$105,MATCH(A47,STOCK!$A$6:$A$105,0))))</f>
        <v/>
      </c>
      <c r="L47" s="14" t="str">
        <f>IF(OR(A47="",COUNTIF(STOCK!$A$6:$A$105,A47)&lt;&gt;1),"",IF(INDEX(STOCK!$O$6:$O$105,MATCH(A47,STOCK!$A$6:$A$105,0))="","",INDEX(STOCK!$O$6:$O$105,MATCH(A47,STOCK!$A$6:$A$105,0))))</f>
        <v/>
      </c>
      <c r="M47" s="14" t="str">
        <f>IF(OR(A47="",COUNTIF(STOCK!$A$6:$A$105,A47)&lt;&gt;1),"",IF(INDEX(STOCK!$P$6:$P$105,MATCH(A47,STOCK!$A$6:$A$105,0))="","",INDEX(STOCK!$P$6:$P$105,MATCH(A47,STOCK!$A$6:$A$105,0))))</f>
        <v/>
      </c>
      <c r="N47" s="14" t="str">
        <f>IF(OR(A47="",COUNTIF(STOCK!$A$6:$A$105,A47)&lt;&gt;1),"",IF(INDEX(STOCK!$I$6:$I$105,MATCH(A47,STOCK!$A$6:$A$105,0))="","",INDEX(STOCK!$I$6:$I$105,MATCH(A47,STOCK!$A$6:$A$105,0))))</f>
        <v/>
      </c>
      <c r="O47" s="16" t="str">
        <f>IF(OR(A47="",COUNTIF(STOCK!$A$6:$A$105,A47)&lt;&gt;1),"",IF(INDEX(STOCK!$J$6:$J$105,MATCH(A47,STOCK!$A$6:$A$105,0))="","",INDEX(STOCK!$J$6:$J$105,MATCH(A47,STOCK!$A$6:$A$105,0))))</f>
        <v/>
      </c>
      <c r="P47" s="11" t="str">
        <f>IF(OR(A47="",COUNTIF(STOCK!$A$6:$A$105,A47)&lt;&gt;1),"",IF(INDEX(STOCK!$R$6:$R$105,MATCH(A47,STOCK!$A$6:$A$105,0))="","",INDEX(STOCK!$R$6:$R$105,MATCH(A47,STOCK!$A$6:$A$105,0))))</f>
        <v/>
      </c>
      <c r="Q47" s="12" t="str">
        <f t="shared" si="3"/>
        <v/>
      </c>
      <c r="R47" s="17" t="str">
        <f t="shared" si="4"/>
        <v/>
      </c>
      <c r="S47" s="17" t="str">
        <f t="shared" si="5"/>
        <v/>
      </c>
    </row>
    <row r="48" spans="1:19" ht="42" customHeight="1" x14ac:dyDescent="0.45">
      <c r="A48" s="12" t="str">
        <f>IF(CATALOGO!A48="","",CATALOGO!A48)</f>
        <v/>
      </c>
      <c r="B48" s="12" t="str">
        <f>IF(A48="","",CATALOGO!B48)</f>
        <v/>
      </c>
      <c r="C48" s="12" t="str">
        <f>IF(A48="","",CATALOGO!F48)</f>
        <v/>
      </c>
      <c r="D48" s="11" t="str">
        <f>IF(A48="","",CATALOGO!G48)</f>
        <v/>
      </c>
      <c r="E48" s="11" t="str">
        <f>IF(A48="","",CATALOGO!P48)</f>
        <v/>
      </c>
      <c r="F48" s="11" t="str">
        <f>IF(A48="","",CATALOGO!S48)</f>
        <v/>
      </c>
      <c r="G48" s="15" t="str">
        <f>IF(A48="","",CATALOGO!R48)</f>
        <v/>
      </c>
      <c r="H48" s="12" t="str">
        <f>IF(A48="","",IF(COUNTIF(STOCK!$A$6:$A$105,A48)&lt;&gt;1,"SIN STOCK UNICO",INDEX(STOCK!$K$6:$K$105,MATCH(A48,STOCK!$A$6:$A$105,0))))</f>
        <v/>
      </c>
      <c r="I48" s="12" t="str">
        <f>IF(OR(A48="",COUNTIF(STOCK!$A$6:$A$105,A48)&lt;&gt;1),"",IF(INDEX(STOCK!$M$6:$M$105,MATCH(A48,STOCK!$A$6:$A$105,0))="","",INDEX(STOCK!$M$6:$M$105,MATCH(A48,STOCK!$A$6:$A$105,0))))</f>
        <v/>
      </c>
      <c r="J48" s="14" t="str">
        <f>IF(OR(A48="",COUNTIF(STOCK!$A$6:$A$105,A48)&lt;&gt;1),"",IF(INDEX(STOCK!$L$6:$L$105,MATCH(A48,STOCK!$A$6:$A$105,0))="","",INDEX(STOCK!$L$6:$L$105,MATCH(A48,STOCK!$A$6:$A$105,0))))</f>
        <v/>
      </c>
      <c r="K48" s="14" t="str">
        <f>IF(OR(A48="",COUNTIF(STOCK!$A$6:$A$105,A48)&lt;&gt;1),"",IF(INDEX(STOCK!$N$6:$N$105,MATCH(A48,STOCK!$A$6:$A$105,0))="","",INDEX(STOCK!$N$6:$N$105,MATCH(A48,STOCK!$A$6:$A$105,0))))</f>
        <v/>
      </c>
      <c r="L48" s="14" t="str">
        <f>IF(OR(A48="",COUNTIF(STOCK!$A$6:$A$105,A48)&lt;&gt;1),"",IF(INDEX(STOCK!$O$6:$O$105,MATCH(A48,STOCK!$A$6:$A$105,0))="","",INDEX(STOCK!$O$6:$O$105,MATCH(A48,STOCK!$A$6:$A$105,0))))</f>
        <v/>
      </c>
      <c r="M48" s="14" t="str">
        <f>IF(OR(A48="",COUNTIF(STOCK!$A$6:$A$105,A48)&lt;&gt;1),"",IF(INDEX(STOCK!$P$6:$P$105,MATCH(A48,STOCK!$A$6:$A$105,0))="","",INDEX(STOCK!$P$6:$P$105,MATCH(A48,STOCK!$A$6:$A$105,0))))</f>
        <v/>
      </c>
      <c r="N48" s="14" t="str">
        <f>IF(OR(A48="",COUNTIF(STOCK!$A$6:$A$105,A48)&lt;&gt;1),"",IF(INDEX(STOCK!$I$6:$I$105,MATCH(A48,STOCK!$A$6:$A$105,0))="","",INDEX(STOCK!$I$6:$I$105,MATCH(A48,STOCK!$A$6:$A$105,0))))</f>
        <v/>
      </c>
      <c r="O48" s="16" t="str">
        <f>IF(OR(A48="",COUNTIF(STOCK!$A$6:$A$105,A48)&lt;&gt;1),"",IF(INDEX(STOCK!$J$6:$J$105,MATCH(A48,STOCK!$A$6:$A$105,0))="","",INDEX(STOCK!$J$6:$J$105,MATCH(A48,STOCK!$A$6:$A$105,0))))</f>
        <v/>
      </c>
      <c r="P48" s="11" t="str">
        <f>IF(OR(A48="",COUNTIF(STOCK!$A$6:$A$105,A48)&lt;&gt;1),"",IF(INDEX(STOCK!$R$6:$R$105,MATCH(A48,STOCK!$A$6:$A$105,0))="","",INDEX(STOCK!$R$6:$R$105,MATCH(A48,STOCK!$A$6:$A$105,0))))</f>
        <v/>
      </c>
      <c r="Q48" s="12" t="str">
        <f t="shared" si="3"/>
        <v/>
      </c>
      <c r="R48" s="17" t="str">
        <f t="shared" si="4"/>
        <v/>
      </c>
      <c r="S48" s="17" t="str">
        <f t="shared" si="5"/>
        <v/>
      </c>
    </row>
    <row r="49" spans="1:19" ht="42" customHeight="1" x14ac:dyDescent="0.45">
      <c r="A49" s="12" t="str">
        <f>IF(CATALOGO!A49="","",CATALOGO!A49)</f>
        <v/>
      </c>
      <c r="B49" s="12" t="str">
        <f>IF(A49="","",CATALOGO!B49)</f>
        <v/>
      </c>
      <c r="C49" s="12" t="str">
        <f>IF(A49="","",CATALOGO!F49)</f>
        <v/>
      </c>
      <c r="D49" s="11" t="str">
        <f>IF(A49="","",CATALOGO!G49)</f>
        <v/>
      </c>
      <c r="E49" s="11" t="str">
        <f>IF(A49="","",CATALOGO!P49)</f>
        <v/>
      </c>
      <c r="F49" s="11" t="str">
        <f>IF(A49="","",CATALOGO!S49)</f>
        <v/>
      </c>
      <c r="G49" s="15" t="str">
        <f>IF(A49="","",CATALOGO!R49)</f>
        <v/>
      </c>
      <c r="H49" s="12" t="str">
        <f>IF(A49="","",IF(COUNTIF(STOCK!$A$6:$A$105,A49)&lt;&gt;1,"SIN STOCK UNICO",INDEX(STOCK!$K$6:$K$105,MATCH(A49,STOCK!$A$6:$A$105,0))))</f>
        <v/>
      </c>
      <c r="I49" s="12" t="str">
        <f>IF(OR(A49="",COUNTIF(STOCK!$A$6:$A$105,A49)&lt;&gt;1),"",IF(INDEX(STOCK!$M$6:$M$105,MATCH(A49,STOCK!$A$6:$A$105,0))="","",INDEX(STOCK!$M$6:$M$105,MATCH(A49,STOCK!$A$6:$A$105,0))))</f>
        <v/>
      </c>
      <c r="J49" s="14" t="str">
        <f>IF(OR(A49="",COUNTIF(STOCK!$A$6:$A$105,A49)&lt;&gt;1),"",IF(INDEX(STOCK!$L$6:$L$105,MATCH(A49,STOCK!$A$6:$A$105,0))="","",INDEX(STOCK!$L$6:$L$105,MATCH(A49,STOCK!$A$6:$A$105,0))))</f>
        <v/>
      </c>
      <c r="K49" s="14" t="str">
        <f>IF(OR(A49="",COUNTIF(STOCK!$A$6:$A$105,A49)&lt;&gt;1),"",IF(INDEX(STOCK!$N$6:$N$105,MATCH(A49,STOCK!$A$6:$A$105,0))="","",INDEX(STOCK!$N$6:$N$105,MATCH(A49,STOCK!$A$6:$A$105,0))))</f>
        <v/>
      </c>
      <c r="L49" s="14" t="str">
        <f>IF(OR(A49="",COUNTIF(STOCK!$A$6:$A$105,A49)&lt;&gt;1),"",IF(INDEX(STOCK!$O$6:$O$105,MATCH(A49,STOCK!$A$6:$A$105,0))="","",INDEX(STOCK!$O$6:$O$105,MATCH(A49,STOCK!$A$6:$A$105,0))))</f>
        <v/>
      </c>
      <c r="M49" s="14" t="str">
        <f>IF(OR(A49="",COUNTIF(STOCK!$A$6:$A$105,A49)&lt;&gt;1),"",IF(INDEX(STOCK!$P$6:$P$105,MATCH(A49,STOCK!$A$6:$A$105,0))="","",INDEX(STOCK!$P$6:$P$105,MATCH(A49,STOCK!$A$6:$A$105,0))))</f>
        <v/>
      </c>
      <c r="N49" s="14" t="str">
        <f>IF(OR(A49="",COUNTIF(STOCK!$A$6:$A$105,A49)&lt;&gt;1),"",IF(INDEX(STOCK!$I$6:$I$105,MATCH(A49,STOCK!$A$6:$A$105,0))="","",INDEX(STOCK!$I$6:$I$105,MATCH(A49,STOCK!$A$6:$A$105,0))))</f>
        <v/>
      </c>
      <c r="O49" s="16" t="str">
        <f>IF(OR(A49="",COUNTIF(STOCK!$A$6:$A$105,A49)&lt;&gt;1),"",IF(INDEX(STOCK!$J$6:$J$105,MATCH(A49,STOCK!$A$6:$A$105,0))="","",INDEX(STOCK!$J$6:$J$105,MATCH(A49,STOCK!$A$6:$A$105,0))))</f>
        <v/>
      </c>
      <c r="P49" s="11" t="str">
        <f>IF(OR(A49="",COUNTIF(STOCK!$A$6:$A$105,A49)&lt;&gt;1),"",IF(INDEX(STOCK!$R$6:$R$105,MATCH(A49,STOCK!$A$6:$A$105,0))="","",INDEX(STOCK!$R$6:$R$105,MATCH(A49,STOCK!$A$6:$A$105,0))))</f>
        <v/>
      </c>
      <c r="Q49" s="12" t="str">
        <f t="shared" si="3"/>
        <v/>
      </c>
      <c r="R49" s="17" t="str">
        <f t="shared" si="4"/>
        <v/>
      </c>
      <c r="S49" s="17" t="str">
        <f t="shared" si="5"/>
        <v/>
      </c>
    </row>
    <row r="50" spans="1:19" ht="42" customHeight="1" x14ac:dyDescent="0.45">
      <c r="A50" s="12" t="str">
        <f>IF(CATALOGO!A50="","",CATALOGO!A50)</f>
        <v/>
      </c>
      <c r="B50" s="12" t="str">
        <f>IF(A50="","",CATALOGO!B50)</f>
        <v/>
      </c>
      <c r="C50" s="12" t="str">
        <f>IF(A50="","",CATALOGO!F50)</f>
        <v/>
      </c>
      <c r="D50" s="11" t="str">
        <f>IF(A50="","",CATALOGO!G50)</f>
        <v/>
      </c>
      <c r="E50" s="11" t="str">
        <f>IF(A50="","",CATALOGO!P50)</f>
        <v/>
      </c>
      <c r="F50" s="11" t="str">
        <f>IF(A50="","",CATALOGO!S50)</f>
        <v/>
      </c>
      <c r="G50" s="15" t="str">
        <f>IF(A50="","",CATALOGO!R50)</f>
        <v/>
      </c>
      <c r="H50" s="12" t="str">
        <f>IF(A50="","",IF(COUNTIF(STOCK!$A$6:$A$105,A50)&lt;&gt;1,"SIN STOCK UNICO",INDEX(STOCK!$K$6:$K$105,MATCH(A50,STOCK!$A$6:$A$105,0))))</f>
        <v/>
      </c>
      <c r="I50" s="12" t="str">
        <f>IF(OR(A50="",COUNTIF(STOCK!$A$6:$A$105,A50)&lt;&gt;1),"",IF(INDEX(STOCK!$M$6:$M$105,MATCH(A50,STOCK!$A$6:$A$105,0))="","",INDEX(STOCK!$M$6:$M$105,MATCH(A50,STOCK!$A$6:$A$105,0))))</f>
        <v/>
      </c>
      <c r="J50" s="14" t="str">
        <f>IF(OR(A50="",COUNTIF(STOCK!$A$6:$A$105,A50)&lt;&gt;1),"",IF(INDEX(STOCK!$L$6:$L$105,MATCH(A50,STOCK!$A$6:$A$105,0))="","",INDEX(STOCK!$L$6:$L$105,MATCH(A50,STOCK!$A$6:$A$105,0))))</f>
        <v/>
      </c>
      <c r="K50" s="14" t="str">
        <f>IF(OR(A50="",COUNTIF(STOCK!$A$6:$A$105,A50)&lt;&gt;1),"",IF(INDEX(STOCK!$N$6:$N$105,MATCH(A50,STOCK!$A$6:$A$105,0))="","",INDEX(STOCK!$N$6:$N$105,MATCH(A50,STOCK!$A$6:$A$105,0))))</f>
        <v/>
      </c>
      <c r="L50" s="14" t="str">
        <f>IF(OR(A50="",COUNTIF(STOCK!$A$6:$A$105,A50)&lt;&gt;1),"",IF(INDEX(STOCK!$O$6:$O$105,MATCH(A50,STOCK!$A$6:$A$105,0))="","",INDEX(STOCK!$O$6:$O$105,MATCH(A50,STOCK!$A$6:$A$105,0))))</f>
        <v/>
      </c>
      <c r="M50" s="14" t="str">
        <f>IF(OR(A50="",COUNTIF(STOCK!$A$6:$A$105,A50)&lt;&gt;1),"",IF(INDEX(STOCK!$P$6:$P$105,MATCH(A50,STOCK!$A$6:$A$105,0))="","",INDEX(STOCK!$P$6:$P$105,MATCH(A50,STOCK!$A$6:$A$105,0))))</f>
        <v/>
      </c>
      <c r="N50" s="14" t="str">
        <f>IF(OR(A50="",COUNTIF(STOCK!$A$6:$A$105,A50)&lt;&gt;1),"",IF(INDEX(STOCK!$I$6:$I$105,MATCH(A50,STOCK!$A$6:$A$105,0))="","",INDEX(STOCK!$I$6:$I$105,MATCH(A50,STOCK!$A$6:$A$105,0))))</f>
        <v/>
      </c>
      <c r="O50" s="16" t="str">
        <f>IF(OR(A50="",COUNTIF(STOCK!$A$6:$A$105,A50)&lt;&gt;1),"",IF(INDEX(STOCK!$J$6:$J$105,MATCH(A50,STOCK!$A$6:$A$105,0))="","",INDEX(STOCK!$J$6:$J$105,MATCH(A50,STOCK!$A$6:$A$105,0))))</f>
        <v/>
      </c>
      <c r="P50" s="11" t="str">
        <f>IF(OR(A50="",COUNTIF(STOCK!$A$6:$A$105,A50)&lt;&gt;1),"",IF(INDEX(STOCK!$R$6:$R$105,MATCH(A50,STOCK!$A$6:$A$105,0))="","",INDEX(STOCK!$R$6:$R$105,MATCH(A50,STOCK!$A$6:$A$105,0))))</f>
        <v/>
      </c>
      <c r="Q50" s="12" t="str">
        <f t="shared" si="3"/>
        <v/>
      </c>
      <c r="R50" s="17" t="str">
        <f t="shared" si="4"/>
        <v/>
      </c>
      <c r="S50" s="17" t="str">
        <f t="shared" si="5"/>
        <v/>
      </c>
    </row>
    <row r="51" spans="1:19" ht="42" customHeight="1" x14ac:dyDescent="0.45">
      <c r="A51" s="12" t="str">
        <f>IF(CATALOGO!A51="","",CATALOGO!A51)</f>
        <v/>
      </c>
      <c r="B51" s="12" t="str">
        <f>IF(A51="","",CATALOGO!B51)</f>
        <v/>
      </c>
      <c r="C51" s="12" t="str">
        <f>IF(A51="","",CATALOGO!F51)</f>
        <v/>
      </c>
      <c r="D51" s="11" t="str">
        <f>IF(A51="","",CATALOGO!G51)</f>
        <v/>
      </c>
      <c r="E51" s="11" t="str">
        <f>IF(A51="","",CATALOGO!P51)</f>
        <v/>
      </c>
      <c r="F51" s="11" t="str">
        <f>IF(A51="","",CATALOGO!S51)</f>
        <v/>
      </c>
      <c r="G51" s="15" t="str">
        <f>IF(A51="","",CATALOGO!R51)</f>
        <v/>
      </c>
      <c r="H51" s="12" t="str">
        <f>IF(A51="","",IF(COUNTIF(STOCK!$A$6:$A$105,A51)&lt;&gt;1,"SIN STOCK UNICO",INDEX(STOCK!$K$6:$K$105,MATCH(A51,STOCK!$A$6:$A$105,0))))</f>
        <v/>
      </c>
      <c r="I51" s="12" t="str">
        <f>IF(OR(A51="",COUNTIF(STOCK!$A$6:$A$105,A51)&lt;&gt;1),"",IF(INDEX(STOCK!$M$6:$M$105,MATCH(A51,STOCK!$A$6:$A$105,0))="","",INDEX(STOCK!$M$6:$M$105,MATCH(A51,STOCK!$A$6:$A$105,0))))</f>
        <v/>
      </c>
      <c r="J51" s="14" t="str">
        <f>IF(OR(A51="",COUNTIF(STOCK!$A$6:$A$105,A51)&lt;&gt;1),"",IF(INDEX(STOCK!$L$6:$L$105,MATCH(A51,STOCK!$A$6:$A$105,0))="","",INDEX(STOCK!$L$6:$L$105,MATCH(A51,STOCK!$A$6:$A$105,0))))</f>
        <v/>
      </c>
      <c r="K51" s="14" t="str">
        <f>IF(OR(A51="",COUNTIF(STOCK!$A$6:$A$105,A51)&lt;&gt;1),"",IF(INDEX(STOCK!$N$6:$N$105,MATCH(A51,STOCK!$A$6:$A$105,0))="","",INDEX(STOCK!$N$6:$N$105,MATCH(A51,STOCK!$A$6:$A$105,0))))</f>
        <v/>
      </c>
      <c r="L51" s="14" t="str">
        <f>IF(OR(A51="",COUNTIF(STOCK!$A$6:$A$105,A51)&lt;&gt;1),"",IF(INDEX(STOCK!$O$6:$O$105,MATCH(A51,STOCK!$A$6:$A$105,0))="","",INDEX(STOCK!$O$6:$O$105,MATCH(A51,STOCK!$A$6:$A$105,0))))</f>
        <v/>
      </c>
      <c r="M51" s="14" t="str">
        <f>IF(OR(A51="",COUNTIF(STOCK!$A$6:$A$105,A51)&lt;&gt;1),"",IF(INDEX(STOCK!$P$6:$P$105,MATCH(A51,STOCK!$A$6:$A$105,0))="","",INDEX(STOCK!$P$6:$P$105,MATCH(A51,STOCK!$A$6:$A$105,0))))</f>
        <v/>
      </c>
      <c r="N51" s="14" t="str">
        <f>IF(OR(A51="",COUNTIF(STOCK!$A$6:$A$105,A51)&lt;&gt;1),"",IF(INDEX(STOCK!$I$6:$I$105,MATCH(A51,STOCK!$A$6:$A$105,0))="","",INDEX(STOCK!$I$6:$I$105,MATCH(A51,STOCK!$A$6:$A$105,0))))</f>
        <v/>
      </c>
      <c r="O51" s="16" t="str">
        <f>IF(OR(A51="",COUNTIF(STOCK!$A$6:$A$105,A51)&lt;&gt;1),"",IF(INDEX(STOCK!$J$6:$J$105,MATCH(A51,STOCK!$A$6:$A$105,0))="","",INDEX(STOCK!$J$6:$J$105,MATCH(A51,STOCK!$A$6:$A$105,0))))</f>
        <v/>
      </c>
      <c r="P51" s="11" t="str">
        <f>IF(OR(A51="",COUNTIF(STOCK!$A$6:$A$105,A51)&lt;&gt;1),"",IF(INDEX(STOCK!$R$6:$R$105,MATCH(A51,STOCK!$A$6:$A$105,0))="","",INDEX(STOCK!$R$6:$R$105,MATCH(A51,STOCK!$A$6:$A$105,0))))</f>
        <v/>
      </c>
      <c r="Q51" s="12" t="str">
        <f t="shared" si="3"/>
        <v/>
      </c>
      <c r="R51" s="17" t="str">
        <f t="shared" si="4"/>
        <v/>
      </c>
      <c r="S51" s="17" t="str">
        <f t="shared" si="5"/>
        <v/>
      </c>
    </row>
    <row r="52" spans="1:19" ht="42" customHeight="1" x14ac:dyDescent="0.45">
      <c r="A52" s="12" t="str">
        <f>IF(CATALOGO!A52="","",CATALOGO!A52)</f>
        <v/>
      </c>
      <c r="B52" s="12" t="str">
        <f>IF(A52="","",CATALOGO!B52)</f>
        <v/>
      </c>
      <c r="C52" s="12" t="str">
        <f>IF(A52="","",CATALOGO!F52)</f>
        <v/>
      </c>
      <c r="D52" s="11" t="str">
        <f>IF(A52="","",CATALOGO!G52)</f>
        <v/>
      </c>
      <c r="E52" s="11" t="str">
        <f>IF(A52="","",CATALOGO!P52)</f>
        <v/>
      </c>
      <c r="F52" s="11" t="str">
        <f>IF(A52="","",CATALOGO!S52)</f>
        <v/>
      </c>
      <c r="G52" s="15" t="str">
        <f>IF(A52="","",CATALOGO!R52)</f>
        <v/>
      </c>
      <c r="H52" s="12" t="str">
        <f>IF(A52="","",IF(COUNTIF(STOCK!$A$6:$A$105,A52)&lt;&gt;1,"SIN STOCK UNICO",INDEX(STOCK!$K$6:$K$105,MATCH(A52,STOCK!$A$6:$A$105,0))))</f>
        <v/>
      </c>
      <c r="I52" s="12" t="str">
        <f>IF(OR(A52="",COUNTIF(STOCK!$A$6:$A$105,A52)&lt;&gt;1),"",IF(INDEX(STOCK!$M$6:$M$105,MATCH(A52,STOCK!$A$6:$A$105,0))="","",INDEX(STOCK!$M$6:$M$105,MATCH(A52,STOCK!$A$6:$A$105,0))))</f>
        <v/>
      </c>
      <c r="J52" s="14" t="str">
        <f>IF(OR(A52="",COUNTIF(STOCK!$A$6:$A$105,A52)&lt;&gt;1),"",IF(INDEX(STOCK!$L$6:$L$105,MATCH(A52,STOCK!$A$6:$A$105,0))="","",INDEX(STOCK!$L$6:$L$105,MATCH(A52,STOCK!$A$6:$A$105,0))))</f>
        <v/>
      </c>
      <c r="K52" s="14" t="str">
        <f>IF(OR(A52="",COUNTIF(STOCK!$A$6:$A$105,A52)&lt;&gt;1),"",IF(INDEX(STOCK!$N$6:$N$105,MATCH(A52,STOCK!$A$6:$A$105,0))="","",INDEX(STOCK!$N$6:$N$105,MATCH(A52,STOCK!$A$6:$A$105,0))))</f>
        <v/>
      </c>
      <c r="L52" s="14" t="str">
        <f>IF(OR(A52="",COUNTIF(STOCK!$A$6:$A$105,A52)&lt;&gt;1),"",IF(INDEX(STOCK!$O$6:$O$105,MATCH(A52,STOCK!$A$6:$A$105,0))="","",INDEX(STOCK!$O$6:$O$105,MATCH(A52,STOCK!$A$6:$A$105,0))))</f>
        <v/>
      </c>
      <c r="M52" s="14" t="str">
        <f>IF(OR(A52="",COUNTIF(STOCK!$A$6:$A$105,A52)&lt;&gt;1),"",IF(INDEX(STOCK!$P$6:$P$105,MATCH(A52,STOCK!$A$6:$A$105,0))="","",INDEX(STOCK!$P$6:$P$105,MATCH(A52,STOCK!$A$6:$A$105,0))))</f>
        <v/>
      </c>
      <c r="N52" s="14" t="str">
        <f>IF(OR(A52="",COUNTIF(STOCK!$A$6:$A$105,A52)&lt;&gt;1),"",IF(INDEX(STOCK!$I$6:$I$105,MATCH(A52,STOCK!$A$6:$A$105,0))="","",INDEX(STOCK!$I$6:$I$105,MATCH(A52,STOCK!$A$6:$A$105,0))))</f>
        <v/>
      </c>
      <c r="O52" s="16" t="str">
        <f>IF(OR(A52="",COUNTIF(STOCK!$A$6:$A$105,A52)&lt;&gt;1),"",IF(INDEX(STOCK!$J$6:$J$105,MATCH(A52,STOCK!$A$6:$A$105,0))="","",INDEX(STOCK!$J$6:$J$105,MATCH(A52,STOCK!$A$6:$A$105,0))))</f>
        <v/>
      </c>
      <c r="P52" s="11" t="str">
        <f>IF(OR(A52="",COUNTIF(STOCK!$A$6:$A$105,A52)&lt;&gt;1),"",IF(INDEX(STOCK!$R$6:$R$105,MATCH(A52,STOCK!$A$6:$A$105,0))="","",INDEX(STOCK!$R$6:$R$105,MATCH(A52,STOCK!$A$6:$A$105,0))))</f>
        <v/>
      </c>
      <c r="Q52" s="12" t="str">
        <f t="shared" si="3"/>
        <v/>
      </c>
      <c r="R52" s="17" t="str">
        <f t="shared" si="4"/>
        <v/>
      </c>
      <c r="S52" s="17" t="str">
        <f t="shared" si="5"/>
        <v/>
      </c>
    </row>
    <row r="53" spans="1:19" ht="42" customHeight="1" x14ac:dyDescent="0.45">
      <c r="A53" s="12" t="str">
        <f>IF(CATALOGO!A53="","",CATALOGO!A53)</f>
        <v/>
      </c>
      <c r="B53" s="12" t="str">
        <f>IF(A53="","",CATALOGO!B53)</f>
        <v/>
      </c>
      <c r="C53" s="12" t="str">
        <f>IF(A53="","",CATALOGO!F53)</f>
        <v/>
      </c>
      <c r="D53" s="11" t="str">
        <f>IF(A53="","",CATALOGO!G53)</f>
        <v/>
      </c>
      <c r="E53" s="11" t="str">
        <f>IF(A53="","",CATALOGO!P53)</f>
        <v/>
      </c>
      <c r="F53" s="11" t="str">
        <f>IF(A53="","",CATALOGO!S53)</f>
        <v/>
      </c>
      <c r="G53" s="15" t="str">
        <f>IF(A53="","",CATALOGO!R53)</f>
        <v/>
      </c>
      <c r="H53" s="12" t="str">
        <f>IF(A53="","",IF(COUNTIF(STOCK!$A$6:$A$105,A53)&lt;&gt;1,"SIN STOCK UNICO",INDEX(STOCK!$K$6:$K$105,MATCH(A53,STOCK!$A$6:$A$105,0))))</f>
        <v/>
      </c>
      <c r="I53" s="12" t="str">
        <f>IF(OR(A53="",COUNTIF(STOCK!$A$6:$A$105,A53)&lt;&gt;1),"",IF(INDEX(STOCK!$M$6:$M$105,MATCH(A53,STOCK!$A$6:$A$105,0))="","",INDEX(STOCK!$M$6:$M$105,MATCH(A53,STOCK!$A$6:$A$105,0))))</f>
        <v/>
      </c>
      <c r="J53" s="14" t="str">
        <f>IF(OR(A53="",COUNTIF(STOCK!$A$6:$A$105,A53)&lt;&gt;1),"",IF(INDEX(STOCK!$L$6:$L$105,MATCH(A53,STOCK!$A$6:$A$105,0))="","",INDEX(STOCK!$L$6:$L$105,MATCH(A53,STOCK!$A$6:$A$105,0))))</f>
        <v/>
      </c>
      <c r="K53" s="14" t="str">
        <f>IF(OR(A53="",COUNTIF(STOCK!$A$6:$A$105,A53)&lt;&gt;1),"",IF(INDEX(STOCK!$N$6:$N$105,MATCH(A53,STOCK!$A$6:$A$105,0))="","",INDEX(STOCK!$N$6:$N$105,MATCH(A53,STOCK!$A$6:$A$105,0))))</f>
        <v/>
      </c>
      <c r="L53" s="14" t="str">
        <f>IF(OR(A53="",COUNTIF(STOCK!$A$6:$A$105,A53)&lt;&gt;1),"",IF(INDEX(STOCK!$O$6:$O$105,MATCH(A53,STOCK!$A$6:$A$105,0))="","",INDEX(STOCK!$O$6:$O$105,MATCH(A53,STOCK!$A$6:$A$105,0))))</f>
        <v/>
      </c>
      <c r="M53" s="14" t="str">
        <f>IF(OR(A53="",COUNTIF(STOCK!$A$6:$A$105,A53)&lt;&gt;1),"",IF(INDEX(STOCK!$P$6:$P$105,MATCH(A53,STOCK!$A$6:$A$105,0))="","",INDEX(STOCK!$P$6:$P$105,MATCH(A53,STOCK!$A$6:$A$105,0))))</f>
        <v/>
      </c>
      <c r="N53" s="14" t="str">
        <f>IF(OR(A53="",COUNTIF(STOCK!$A$6:$A$105,A53)&lt;&gt;1),"",IF(INDEX(STOCK!$I$6:$I$105,MATCH(A53,STOCK!$A$6:$A$105,0))="","",INDEX(STOCK!$I$6:$I$105,MATCH(A53,STOCK!$A$6:$A$105,0))))</f>
        <v/>
      </c>
      <c r="O53" s="16" t="str">
        <f>IF(OR(A53="",COUNTIF(STOCK!$A$6:$A$105,A53)&lt;&gt;1),"",IF(INDEX(STOCK!$J$6:$J$105,MATCH(A53,STOCK!$A$6:$A$105,0))="","",INDEX(STOCK!$J$6:$J$105,MATCH(A53,STOCK!$A$6:$A$105,0))))</f>
        <v/>
      </c>
      <c r="P53" s="11" t="str">
        <f>IF(OR(A53="",COUNTIF(STOCK!$A$6:$A$105,A53)&lt;&gt;1),"",IF(INDEX(STOCK!$R$6:$R$105,MATCH(A53,STOCK!$A$6:$A$105,0))="","",INDEX(STOCK!$R$6:$R$105,MATCH(A53,STOCK!$A$6:$A$105,0))))</f>
        <v/>
      </c>
      <c r="Q53" s="12" t="str">
        <f t="shared" si="3"/>
        <v/>
      </c>
      <c r="R53" s="17" t="str">
        <f t="shared" si="4"/>
        <v/>
      </c>
      <c r="S53" s="17" t="str">
        <f t="shared" si="5"/>
        <v/>
      </c>
    </row>
    <row r="54" spans="1:19" ht="42" customHeight="1" x14ac:dyDescent="0.45">
      <c r="A54" s="12" t="str">
        <f>IF(CATALOGO!A54="","",CATALOGO!A54)</f>
        <v/>
      </c>
      <c r="B54" s="12" t="str">
        <f>IF(A54="","",CATALOGO!B54)</f>
        <v/>
      </c>
      <c r="C54" s="12" t="str">
        <f>IF(A54="","",CATALOGO!F54)</f>
        <v/>
      </c>
      <c r="D54" s="11" t="str">
        <f>IF(A54="","",CATALOGO!G54)</f>
        <v/>
      </c>
      <c r="E54" s="11" t="str">
        <f>IF(A54="","",CATALOGO!P54)</f>
        <v/>
      </c>
      <c r="F54" s="11" t="str">
        <f>IF(A54="","",CATALOGO!S54)</f>
        <v/>
      </c>
      <c r="G54" s="15" t="str">
        <f>IF(A54="","",CATALOGO!R54)</f>
        <v/>
      </c>
      <c r="H54" s="12" t="str">
        <f>IF(A54="","",IF(COUNTIF(STOCK!$A$6:$A$105,A54)&lt;&gt;1,"SIN STOCK UNICO",INDEX(STOCK!$K$6:$K$105,MATCH(A54,STOCK!$A$6:$A$105,0))))</f>
        <v/>
      </c>
      <c r="I54" s="12" t="str">
        <f>IF(OR(A54="",COUNTIF(STOCK!$A$6:$A$105,A54)&lt;&gt;1),"",IF(INDEX(STOCK!$M$6:$M$105,MATCH(A54,STOCK!$A$6:$A$105,0))="","",INDEX(STOCK!$M$6:$M$105,MATCH(A54,STOCK!$A$6:$A$105,0))))</f>
        <v/>
      </c>
      <c r="J54" s="14" t="str">
        <f>IF(OR(A54="",COUNTIF(STOCK!$A$6:$A$105,A54)&lt;&gt;1),"",IF(INDEX(STOCK!$L$6:$L$105,MATCH(A54,STOCK!$A$6:$A$105,0))="","",INDEX(STOCK!$L$6:$L$105,MATCH(A54,STOCK!$A$6:$A$105,0))))</f>
        <v/>
      </c>
      <c r="K54" s="14" t="str">
        <f>IF(OR(A54="",COUNTIF(STOCK!$A$6:$A$105,A54)&lt;&gt;1),"",IF(INDEX(STOCK!$N$6:$N$105,MATCH(A54,STOCK!$A$6:$A$105,0))="","",INDEX(STOCK!$N$6:$N$105,MATCH(A54,STOCK!$A$6:$A$105,0))))</f>
        <v/>
      </c>
      <c r="L54" s="14" t="str">
        <f>IF(OR(A54="",COUNTIF(STOCK!$A$6:$A$105,A54)&lt;&gt;1),"",IF(INDEX(STOCK!$O$6:$O$105,MATCH(A54,STOCK!$A$6:$A$105,0))="","",INDEX(STOCK!$O$6:$O$105,MATCH(A54,STOCK!$A$6:$A$105,0))))</f>
        <v/>
      </c>
      <c r="M54" s="14" t="str">
        <f>IF(OR(A54="",COUNTIF(STOCK!$A$6:$A$105,A54)&lt;&gt;1),"",IF(INDEX(STOCK!$P$6:$P$105,MATCH(A54,STOCK!$A$6:$A$105,0))="","",INDEX(STOCK!$P$6:$P$105,MATCH(A54,STOCK!$A$6:$A$105,0))))</f>
        <v/>
      </c>
      <c r="N54" s="14" t="str">
        <f>IF(OR(A54="",COUNTIF(STOCK!$A$6:$A$105,A54)&lt;&gt;1),"",IF(INDEX(STOCK!$I$6:$I$105,MATCH(A54,STOCK!$A$6:$A$105,0))="","",INDEX(STOCK!$I$6:$I$105,MATCH(A54,STOCK!$A$6:$A$105,0))))</f>
        <v/>
      </c>
      <c r="O54" s="16" t="str">
        <f>IF(OR(A54="",COUNTIF(STOCK!$A$6:$A$105,A54)&lt;&gt;1),"",IF(INDEX(STOCK!$J$6:$J$105,MATCH(A54,STOCK!$A$6:$A$105,0))="","",INDEX(STOCK!$J$6:$J$105,MATCH(A54,STOCK!$A$6:$A$105,0))))</f>
        <v/>
      </c>
      <c r="P54" s="11" t="str">
        <f>IF(OR(A54="",COUNTIF(STOCK!$A$6:$A$105,A54)&lt;&gt;1),"",IF(INDEX(STOCK!$R$6:$R$105,MATCH(A54,STOCK!$A$6:$A$105,0))="","",INDEX(STOCK!$R$6:$R$105,MATCH(A54,STOCK!$A$6:$A$105,0))))</f>
        <v/>
      </c>
      <c r="Q54" s="12" t="str">
        <f t="shared" si="3"/>
        <v/>
      </c>
      <c r="R54" s="17" t="str">
        <f t="shared" si="4"/>
        <v/>
      </c>
      <c r="S54" s="17" t="str">
        <f t="shared" si="5"/>
        <v/>
      </c>
    </row>
    <row r="55" spans="1:19" ht="42" customHeight="1" x14ac:dyDescent="0.45">
      <c r="A55" s="12" t="str">
        <f>IF(CATALOGO!A55="","",CATALOGO!A55)</f>
        <v/>
      </c>
      <c r="B55" s="12" t="str">
        <f>IF(A55="","",CATALOGO!B55)</f>
        <v/>
      </c>
      <c r="C55" s="12" t="str">
        <f>IF(A55="","",CATALOGO!F55)</f>
        <v/>
      </c>
      <c r="D55" s="11" t="str">
        <f>IF(A55="","",CATALOGO!G55)</f>
        <v/>
      </c>
      <c r="E55" s="11" t="str">
        <f>IF(A55="","",CATALOGO!P55)</f>
        <v/>
      </c>
      <c r="F55" s="11" t="str">
        <f>IF(A55="","",CATALOGO!S55)</f>
        <v/>
      </c>
      <c r="G55" s="15" t="str">
        <f>IF(A55="","",CATALOGO!R55)</f>
        <v/>
      </c>
      <c r="H55" s="12" t="str">
        <f>IF(A55="","",IF(COUNTIF(STOCK!$A$6:$A$105,A55)&lt;&gt;1,"SIN STOCK UNICO",INDEX(STOCK!$K$6:$K$105,MATCH(A55,STOCK!$A$6:$A$105,0))))</f>
        <v/>
      </c>
      <c r="I55" s="12" t="str">
        <f>IF(OR(A55="",COUNTIF(STOCK!$A$6:$A$105,A55)&lt;&gt;1),"",IF(INDEX(STOCK!$M$6:$M$105,MATCH(A55,STOCK!$A$6:$A$105,0))="","",INDEX(STOCK!$M$6:$M$105,MATCH(A55,STOCK!$A$6:$A$105,0))))</f>
        <v/>
      </c>
      <c r="J55" s="14" t="str">
        <f>IF(OR(A55="",COUNTIF(STOCK!$A$6:$A$105,A55)&lt;&gt;1),"",IF(INDEX(STOCK!$L$6:$L$105,MATCH(A55,STOCK!$A$6:$A$105,0))="","",INDEX(STOCK!$L$6:$L$105,MATCH(A55,STOCK!$A$6:$A$105,0))))</f>
        <v/>
      </c>
      <c r="K55" s="14" t="str">
        <f>IF(OR(A55="",COUNTIF(STOCK!$A$6:$A$105,A55)&lt;&gt;1),"",IF(INDEX(STOCK!$N$6:$N$105,MATCH(A55,STOCK!$A$6:$A$105,0))="","",INDEX(STOCK!$N$6:$N$105,MATCH(A55,STOCK!$A$6:$A$105,0))))</f>
        <v/>
      </c>
      <c r="L55" s="14" t="str">
        <f>IF(OR(A55="",COUNTIF(STOCK!$A$6:$A$105,A55)&lt;&gt;1),"",IF(INDEX(STOCK!$O$6:$O$105,MATCH(A55,STOCK!$A$6:$A$105,0))="","",INDEX(STOCK!$O$6:$O$105,MATCH(A55,STOCK!$A$6:$A$105,0))))</f>
        <v/>
      </c>
      <c r="M55" s="14" t="str">
        <f>IF(OR(A55="",COUNTIF(STOCK!$A$6:$A$105,A55)&lt;&gt;1),"",IF(INDEX(STOCK!$P$6:$P$105,MATCH(A55,STOCK!$A$6:$A$105,0))="","",INDEX(STOCK!$P$6:$P$105,MATCH(A55,STOCK!$A$6:$A$105,0))))</f>
        <v/>
      </c>
      <c r="N55" s="14" t="str">
        <f>IF(OR(A55="",COUNTIF(STOCK!$A$6:$A$105,A55)&lt;&gt;1),"",IF(INDEX(STOCK!$I$6:$I$105,MATCH(A55,STOCK!$A$6:$A$105,0))="","",INDEX(STOCK!$I$6:$I$105,MATCH(A55,STOCK!$A$6:$A$105,0))))</f>
        <v/>
      </c>
      <c r="O55" s="16" t="str">
        <f>IF(OR(A55="",COUNTIF(STOCK!$A$6:$A$105,A55)&lt;&gt;1),"",IF(INDEX(STOCK!$J$6:$J$105,MATCH(A55,STOCK!$A$6:$A$105,0))="","",INDEX(STOCK!$J$6:$J$105,MATCH(A55,STOCK!$A$6:$A$105,0))))</f>
        <v/>
      </c>
      <c r="P55" s="11" t="str">
        <f>IF(OR(A55="",COUNTIF(STOCK!$A$6:$A$105,A55)&lt;&gt;1),"",IF(INDEX(STOCK!$R$6:$R$105,MATCH(A55,STOCK!$A$6:$A$105,0))="","",INDEX(STOCK!$R$6:$R$105,MATCH(A55,STOCK!$A$6:$A$105,0))))</f>
        <v/>
      </c>
      <c r="Q55" s="12" t="str">
        <f t="shared" si="3"/>
        <v/>
      </c>
      <c r="R55" s="17" t="str">
        <f t="shared" si="4"/>
        <v/>
      </c>
      <c r="S55" s="17" t="str">
        <f t="shared" si="5"/>
        <v/>
      </c>
    </row>
    <row r="56" spans="1:19" ht="42" customHeight="1" x14ac:dyDescent="0.45">
      <c r="A56" s="12" t="str">
        <f>IF(CATALOGO!A56="","",CATALOGO!A56)</f>
        <v/>
      </c>
      <c r="B56" s="12" t="str">
        <f>IF(A56="","",CATALOGO!B56)</f>
        <v/>
      </c>
      <c r="C56" s="12" t="str">
        <f>IF(A56="","",CATALOGO!F56)</f>
        <v/>
      </c>
      <c r="D56" s="11" t="str">
        <f>IF(A56="","",CATALOGO!G56)</f>
        <v/>
      </c>
      <c r="E56" s="11" t="str">
        <f>IF(A56="","",CATALOGO!P56)</f>
        <v/>
      </c>
      <c r="F56" s="11" t="str">
        <f>IF(A56="","",CATALOGO!S56)</f>
        <v/>
      </c>
      <c r="G56" s="15" t="str">
        <f>IF(A56="","",CATALOGO!R56)</f>
        <v/>
      </c>
      <c r="H56" s="12" t="str">
        <f>IF(A56="","",IF(COUNTIF(STOCK!$A$6:$A$105,A56)&lt;&gt;1,"SIN STOCK UNICO",INDEX(STOCK!$K$6:$K$105,MATCH(A56,STOCK!$A$6:$A$105,0))))</f>
        <v/>
      </c>
      <c r="I56" s="12" t="str">
        <f>IF(OR(A56="",COUNTIF(STOCK!$A$6:$A$105,A56)&lt;&gt;1),"",IF(INDEX(STOCK!$M$6:$M$105,MATCH(A56,STOCK!$A$6:$A$105,0))="","",INDEX(STOCK!$M$6:$M$105,MATCH(A56,STOCK!$A$6:$A$105,0))))</f>
        <v/>
      </c>
      <c r="J56" s="14" t="str">
        <f>IF(OR(A56="",COUNTIF(STOCK!$A$6:$A$105,A56)&lt;&gt;1),"",IF(INDEX(STOCK!$L$6:$L$105,MATCH(A56,STOCK!$A$6:$A$105,0))="","",INDEX(STOCK!$L$6:$L$105,MATCH(A56,STOCK!$A$6:$A$105,0))))</f>
        <v/>
      </c>
      <c r="K56" s="14" t="str">
        <f>IF(OR(A56="",COUNTIF(STOCK!$A$6:$A$105,A56)&lt;&gt;1),"",IF(INDEX(STOCK!$N$6:$N$105,MATCH(A56,STOCK!$A$6:$A$105,0))="","",INDEX(STOCK!$N$6:$N$105,MATCH(A56,STOCK!$A$6:$A$105,0))))</f>
        <v/>
      </c>
      <c r="L56" s="14" t="str">
        <f>IF(OR(A56="",COUNTIF(STOCK!$A$6:$A$105,A56)&lt;&gt;1),"",IF(INDEX(STOCK!$O$6:$O$105,MATCH(A56,STOCK!$A$6:$A$105,0))="","",INDEX(STOCK!$O$6:$O$105,MATCH(A56,STOCK!$A$6:$A$105,0))))</f>
        <v/>
      </c>
      <c r="M56" s="14" t="str">
        <f>IF(OR(A56="",COUNTIF(STOCK!$A$6:$A$105,A56)&lt;&gt;1),"",IF(INDEX(STOCK!$P$6:$P$105,MATCH(A56,STOCK!$A$6:$A$105,0))="","",INDEX(STOCK!$P$6:$P$105,MATCH(A56,STOCK!$A$6:$A$105,0))))</f>
        <v/>
      </c>
      <c r="N56" s="14" t="str">
        <f>IF(OR(A56="",COUNTIF(STOCK!$A$6:$A$105,A56)&lt;&gt;1),"",IF(INDEX(STOCK!$I$6:$I$105,MATCH(A56,STOCK!$A$6:$A$105,0))="","",INDEX(STOCK!$I$6:$I$105,MATCH(A56,STOCK!$A$6:$A$105,0))))</f>
        <v/>
      </c>
      <c r="O56" s="16" t="str">
        <f>IF(OR(A56="",COUNTIF(STOCK!$A$6:$A$105,A56)&lt;&gt;1),"",IF(INDEX(STOCK!$J$6:$J$105,MATCH(A56,STOCK!$A$6:$A$105,0))="","",INDEX(STOCK!$J$6:$J$105,MATCH(A56,STOCK!$A$6:$A$105,0))))</f>
        <v/>
      </c>
      <c r="P56" s="11" t="str">
        <f>IF(OR(A56="",COUNTIF(STOCK!$A$6:$A$105,A56)&lt;&gt;1),"",IF(INDEX(STOCK!$R$6:$R$105,MATCH(A56,STOCK!$A$6:$A$105,0))="","",INDEX(STOCK!$R$6:$R$105,MATCH(A56,STOCK!$A$6:$A$105,0))))</f>
        <v/>
      </c>
      <c r="Q56" s="12" t="str">
        <f t="shared" si="3"/>
        <v/>
      </c>
      <c r="R56" s="17" t="str">
        <f t="shared" si="4"/>
        <v/>
      </c>
      <c r="S56" s="17" t="str">
        <f t="shared" si="5"/>
        <v/>
      </c>
    </row>
    <row r="57" spans="1:19" ht="42" customHeight="1" x14ac:dyDescent="0.45">
      <c r="A57" s="12" t="str">
        <f>IF(CATALOGO!A57="","",CATALOGO!A57)</f>
        <v/>
      </c>
      <c r="B57" s="12" t="str">
        <f>IF(A57="","",CATALOGO!B57)</f>
        <v/>
      </c>
      <c r="C57" s="12" t="str">
        <f>IF(A57="","",CATALOGO!F57)</f>
        <v/>
      </c>
      <c r="D57" s="11" t="str">
        <f>IF(A57="","",CATALOGO!G57)</f>
        <v/>
      </c>
      <c r="E57" s="11" t="str">
        <f>IF(A57="","",CATALOGO!P57)</f>
        <v/>
      </c>
      <c r="F57" s="11" t="str">
        <f>IF(A57="","",CATALOGO!S57)</f>
        <v/>
      </c>
      <c r="G57" s="15" t="str">
        <f>IF(A57="","",CATALOGO!R57)</f>
        <v/>
      </c>
      <c r="H57" s="12" t="str">
        <f>IF(A57="","",IF(COUNTIF(STOCK!$A$6:$A$105,A57)&lt;&gt;1,"SIN STOCK UNICO",INDEX(STOCK!$K$6:$K$105,MATCH(A57,STOCK!$A$6:$A$105,0))))</f>
        <v/>
      </c>
      <c r="I57" s="12" t="str">
        <f>IF(OR(A57="",COUNTIF(STOCK!$A$6:$A$105,A57)&lt;&gt;1),"",IF(INDEX(STOCK!$M$6:$M$105,MATCH(A57,STOCK!$A$6:$A$105,0))="","",INDEX(STOCK!$M$6:$M$105,MATCH(A57,STOCK!$A$6:$A$105,0))))</f>
        <v/>
      </c>
      <c r="J57" s="14" t="str">
        <f>IF(OR(A57="",COUNTIF(STOCK!$A$6:$A$105,A57)&lt;&gt;1),"",IF(INDEX(STOCK!$L$6:$L$105,MATCH(A57,STOCK!$A$6:$A$105,0))="","",INDEX(STOCK!$L$6:$L$105,MATCH(A57,STOCK!$A$6:$A$105,0))))</f>
        <v/>
      </c>
      <c r="K57" s="14" t="str">
        <f>IF(OR(A57="",COUNTIF(STOCK!$A$6:$A$105,A57)&lt;&gt;1),"",IF(INDEX(STOCK!$N$6:$N$105,MATCH(A57,STOCK!$A$6:$A$105,0))="","",INDEX(STOCK!$N$6:$N$105,MATCH(A57,STOCK!$A$6:$A$105,0))))</f>
        <v/>
      </c>
      <c r="L57" s="14" t="str">
        <f>IF(OR(A57="",COUNTIF(STOCK!$A$6:$A$105,A57)&lt;&gt;1),"",IF(INDEX(STOCK!$O$6:$O$105,MATCH(A57,STOCK!$A$6:$A$105,0))="","",INDEX(STOCK!$O$6:$O$105,MATCH(A57,STOCK!$A$6:$A$105,0))))</f>
        <v/>
      </c>
      <c r="M57" s="14" t="str">
        <f>IF(OR(A57="",COUNTIF(STOCK!$A$6:$A$105,A57)&lt;&gt;1),"",IF(INDEX(STOCK!$P$6:$P$105,MATCH(A57,STOCK!$A$6:$A$105,0))="","",INDEX(STOCK!$P$6:$P$105,MATCH(A57,STOCK!$A$6:$A$105,0))))</f>
        <v/>
      </c>
      <c r="N57" s="14" t="str">
        <f>IF(OR(A57="",COUNTIF(STOCK!$A$6:$A$105,A57)&lt;&gt;1),"",IF(INDEX(STOCK!$I$6:$I$105,MATCH(A57,STOCK!$A$6:$A$105,0))="","",INDEX(STOCK!$I$6:$I$105,MATCH(A57,STOCK!$A$6:$A$105,0))))</f>
        <v/>
      </c>
      <c r="O57" s="16" t="str">
        <f>IF(OR(A57="",COUNTIF(STOCK!$A$6:$A$105,A57)&lt;&gt;1),"",IF(INDEX(STOCK!$J$6:$J$105,MATCH(A57,STOCK!$A$6:$A$105,0))="","",INDEX(STOCK!$J$6:$J$105,MATCH(A57,STOCK!$A$6:$A$105,0))))</f>
        <v/>
      </c>
      <c r="P57" s="11" t="str">
        <f>IF(OR(A57="",COUNTIF(STOCK!$A$6:$A$105,A57)&lt;&gt;1),"",IF(INDEX(STOCK!$R$6:$R$105,MATCH(A57,STOCK!$A$6:$A$105,0))="","",INDEX(STOCK!$R$6:$R$105,MATCH(A57,STOCK!$A$6:$A$105,0))))</f>
        <v/>
      </c>
      <c r="Q57" s="12" t="str">
        <f t="shared" si="3"/>
        <v/>
      </c>
      <c r="R57" s="17" t="str">
        <f t="shared" si="4"/>
        <v/>
      </c>
      <c r="S57" s="17" t="str">
        <f t="shared" si="5"/>
        <v/>
      </c>
    </row>
    <row r="58" spans="1:19" ht="42" customHeight="1" x14ac:dyDescent="0.45">
      <c r="A58" s="12" t="str">
        <f>IF(CATALOGO!A58="","",CATALOGO!A58)</f>
        <v/>
      </c>
      <c r="B58" s="12" t="str">
        <f>IF(A58="","",CATALOGO!B58)</f>
        <v/>
      </c>
      <c r="C58" s="12" t="str">
        <f>IF(A58="","",CATALOGO!F58)</f>
        <v/>
      </c>
      <c r="D58" s="11" t="str">
        <f>IF(A58="","",CATALOGO!G58)</f>
        <v/>
      </c>
      <c r="E58" s="11" t="str">
        <f>IF(A58="","",CATALOGO!P58)</f>
        <v/>
      </c>
      <c r="F58" s="11" t="str">
        <f>IF(A58="","",CATALOGO!S58)</f>
        <v/>
      </c>
      <c r="G58" s="15" t="str">
        <f>IF(A58="","",CATALOGO!R58)</f>
        <v/>
      </c>
      <c r="H58" s="12" t="str">
        <f>IF(A58="","",IF(COUNTIF(STOCK!$A$6:$A$105,A58)&lt;&gt;1,"SIN STOCK UNICO",INDEX(STOCK!$K$6:$K$105,MATCH(A58,STOCK!$A$6:$A$105,0))))</f>
        <v/>
      </c>
      <c r="I58" s="12" t="str">
        <f>IF(OR(A58="",COUNTIF(STOCK!$A$6:$A$105,A58)&lt;&gt;1),"",IF(INDEX(STOCK!$M$6:$M$105,MATCH(A58,STOCK!$A$6:$A$105,0))="","",INDEX(STOCK!$M$6:$M$105,MATCH(A58,STOCK!$A$6:$A$105,0))))</f>
        <v/>
      </c>
      <c r="J58" s="14" t="str">
        <f>IF(OR(A58="",COUNTIF(STOCK!$A$6:$A$105,A58)&lt;&gt;1),"",IF(INDEX(STOCK!$L$6:$L$105,MATCH(A58,STOCK!$A$6:$A$105,0))="","",INDEX(STOCK!$L$6:$L$105,MATCH(A58,STOCK!$A$6:$A$105,0))))</f>
        <v/>
      </c>
      <c r="K58" s="14" t="str">
        <f>IF(OR(A58="",COUNTIF(STOCK!$A$6:$A$105,A58)&lt;&gt;1),"",IF(INDEX(STOCK!$N$6:$N$105,MATCH(A58,STOCK!$A$6:$A$105,0))="","",INDEX(STOCK!$N$6:$N$105,MATCH(A58,STOCK!$A$6:$A$105,0))))</f>
        <v/>
      </c>
      <c r="L58" s="14" t="str">
        <f>IF(OR(A58="",COUNTIF(STOCK!$A$6:$A$105,A58)&lt;&gt;1),"",IF(INDEX(STOCK!$O$6:$O$105,MATCH(A58,STOCK!$A$6:$A$105,0))="","",INDEX(STOCK!$O$6:$O$105,MATCH(A58,STOCK!$A$6:$A$105,0))))</f>
        <v/>
      </c>
      <c r="M58" s="14" t="str">
        <f>IF(OR(A58="",COUNTIF(STOCK!$A$6:$A$105,A58)&lt;&gt;1),"",IF(INDEX(STOCK!$P$6:$P$105,MATCH(A58,STOCK!$A$6:$A$105,0))="","",INDEX(STOCK!$P$6:$P$105,MATCH(A58,STOCK!$A$6:$A$105,0))))</f>
        <v/>
      </c>
      <c r="N58" s="14" t="str">
        <f>IF(OR(A58="",COUNTIF(STOCK!$A$6:$A$105,A58)&lt;&gt;1),"",IF(INDEX(STOCK!$I$6:$I$105,MATCH(A58,STOCK!$A$6:$A$105,0))="","",INDEX(STOCK!$I$6:$I$105,MATCH(A58,STOCK!$A$6:$A$105,0))))</f>
        <v/>
      </c>
      <c r="O58" s="16" t="str">
        <f>IF(OR(A58="",COUNTIF(STOCK!$A$6:$A$105,A58)&lt;&gt;1),"",IF(INDEX(STOCK!$J$6:$J$105,MATCH(A58,STOCK!$A$6:$A$105,0))="","",INDEX(STOCK!$J$6:$J$105,MATCH(A58,STOCK!$A$6:$A$105,0))))</f>
        <v/>
      </c>
      <c r="P58" s="11" t="str">
        <f>IF(OR(A58="",COUNTIF(STOCK!$A$6:$A$105,A58)&lt;&gt;1),"",IF(INDEX(STOCK!$R$6:$R$105,MATCH(A58,STOCK!$A$6:$A$105,0))="","",INDEX(STOCK!$R$6:$R$105,MATCH(A58,STOCK!$A$6:$A$105,0))))</f>
        <v/>
      </c>
      <c r="Q58" s="12" t="str">
        <f t="shared" si="3"/>
        <v/>
      </c>
      <c r="R58" s="17" t="str">
        <f t="shared" si="4"/>
        <v/>
      </c>
      <c r="S58" s="17" t="str">
        <f t="shared" si="5"/>
        <v/>
      </c>
    </row>
    <row r="59" spans="1:19" ht="42" customHeight="1" x14ac:dyDescent="0.45">
      <c r="A59" s="12" t="str">
        <f>IF(CATALOGO!A59="","",CATALOGO!A59)</f>
        <v/>
      </c>
      <c r="B59" s="12" t="str">
        <f>IF(A59="","",CATALOGO!B59)</f>
        <v/>
      </c>
      <c r="C59" s="12" t="str">
        <f>IF(A59="","",CATALOGO!F59)</f>
        <v/>
      </c>
      <c r="D59" s="11" t="str">
        <f>IF(A59="","",CATALOGO!G59)</f>
        <v/>
      </c>
      <c r="E59" s="11" t="str">
        <f>IF(A59="","",CATALOGO!P59)</f>
        <v/>
      </c>
      <c r="F59" s="11" t="str">
        <f>IF(A59="","",CATALOGO!S59)</f>
        <v/>
      </c>
      <c r="G59" s="15" t="str">
        <f>IF(A59="","",CATALOGO!R59)</f>
        <v/>
      </c>
      <c r="H59" s="12" t="str">
        <f>IF(A59="","",IF(COUNTIF(STOCK!$A$6:$A$105,A59)&lt;&gt;1,"SIN STOCK UNICO",INDEX(STOCK!$K$6:$K$105,MATCH(A59,STOCK!$A$6:$A$105,0))))</f>
        <v/>
      </c>
      <c r="I59" s="12" t="str">
        <f>IF(OR(A59="",COUNTIF(STOCK!$A$6:$A$105,A59)&lt;&gt;1),"",IF(INDEX(STOCK!$M$6:$M$105,MATCH(A59,STOCK!$A$6:$A$105,0))="","",INDEX(STOCK!$M$6:$M$105,MATCH(A59,STOCK!$A$6:$A$105,0))))</f>
        <v/>
      </c>
      <c r="J59" s="14" t="str">
        <f>IF(OR(A59="",COUNTIF(STOCK!$A$6:$A$105,A59)&lt;&gt;1),"",IF(INDEX(STOCK!$L$6:$L$105,MATCH(A59,STOCK!$A$6:$A$105,0))="","",INDEX(STOCK!$L$6:$L$105,MATCH(A59,STOCK!$A$6:$A$105,0))))</f>
        <v/>
      </c>
      <c r="K59" s="14" t="str">
        <f>IF(OR(A59="",COUNTIF(STOCK!$A$6:$A$105,A59)&lt;&gt;1),"",IF(INDEX(STOCK!$N$6:$N$105,MATCH(A59,STOCK!$A$6:$A$105,0))="","",INDEX(STOCK!$N$6:$N$105,MATCH(A59,STOCK!$A$6:$A$105,0))))</f>
        <v/>
      </c>
      <c r="L59" s="14" t="str">
        <f>IF(OR(A59="",COUNTIF(STOCK!$A$6:$A$105,A59)&lt;&gt;1),"",IF(INDEX(STOCK!$O$6:$O$105,MATCH(A59,STOCK!$A$6:$A$105,0))="","",INDEX(STOCK!$O$6:$O$105,MATCH(A59,STOCK!$A$6:$A$105,0))))</f>
        <v/>
      </c>
      <c r="M59" s="14" t="str">
        <f>IF(OR(A59="",COUNTIF(STOCK!$A$6:$A$105,A59)&lt;&gt;1),"",IF(INDEX(STOCK!$P$6:$P$105,MATCH(A59,STOCK!$A$6:$A$105,0))="","",INDEX(STOCK!$P$6:$P$105,MATCH(A59,STOCK!$A$6:$A$105,0))))</f>
        <v/>
      </c>
      <c r="N59" s="14" t="str">
        <f>IF(OR(A59="",COUNTIF(STOCK!$A$6:$A$105,A59)&lt;&gt;1),"",IF(INDEX(STOCK!$I$6:$I$105,MATCH(A59,STOCK!$A$6:$A$105,0))="","",INDEX(STOCK!$I$6:$I$105,MATCH(A59,STOCK!$A$6:$A$105,0))))</f>
        <v/>
      </c>
      <c r="O59" s="16" t="str">
        <f>IF(OR(A59="",COUNTIF(STOCK!$A$6:$A$105,A59)&lt;&gt;1),"",IF(INDEX(STOCK!$J$6:$J$105,MATCH(A59,STOCK!$A$6:$A$105,0))="","",INDEX(STOCK!$J$6:$J$105,MATCH(A59,STOCK!$A$6:$A$105,0))))</f>
        <v/>
      </c>
      <c r="P59" s="11" t="str">
        <f>IF(OR(A59="",COUNTIF(STOCK!$A$6:$A$105,A59)&lt;&gt;1),"",IF(INDEX(STOCK!$R$6:$R$105,MATCH(A59,STOCK!$A$6:$A$105,0))="","",INDEX(STOCK!$R$6:$R$105,MATCH(A59,STOCK!$A$6:$A$105,0))))</f>
        <v/>
      </c>
      <c r="Q59" s="12" t="str">
        <f t="shared" si="3"/>
        <v/>
      </c>
      <c r="R59" s="17" t="str">
        <f t="shared" si="4"/>
        <v/>
      </c>
      <c r="S59" s="17" t="str">
        <f t="shared" si="5"/>
        <v/>
      </c>
    </row>
    <row r="60" spans="1:19" ht="42" customHeight="1" x14ac:dyDescent="0.45">
      <c r="A60" s="12" t="str">
        <f>IF(CATALOGO!A60="","",CATALOGO!A60)</f>
        <v/>
      </c>
      <c r="B60" s="12" t="str">
        <f>IF(A60="","",CATALOGO!B60)</f>
        <v/>
      </c>
      <c r="C60" s="12" t="str">
        <f>IF(A60="","",CATALOGO!F60)</f>
        <v/>
      </c>
      <c r="D60" s="11" t="str">
        <f>IF(A60="","",CATALOGO!G60)</f>
        <v/>
      </c>
      <c r="E60" s="11" t="str">
        <f>IF(A60="","",CATALOGO!P60)</f>
        <v/>
      </c>
      <c r="F60" s="11" t="str">
        <f>IF(A60="","",CATALOGO!S60)</f>
        <v/>
      </c>
      <c r="G60" s="15" t="str">
        <f>IF(A60="","",CATALOGO!R60)</f>
        <v/>
      </c>
      <c r="H60" s="12" t="str">
        <f>IF(A60="","",IF(COUNTIF(STOCK!$A$6:$A$105,A60)&lt;&gt;1,"SIN STOCK UNICO",INDEX(STOCK!$K$6:$K$105,MATCH(A60,STOCK!$A$6:$A$105,0))))</f>
        <v/>
      </c>
      <c r="I60" s="12" t="str">
        <f>IF(OR(A60="",COUNTIF(STOCK!$A$6:$A$105,A60)&lt;&gt;1),"",IF(INDEX(STOCK!$M$6:$M$105,MATCH(A60,STOCK!$A$6:$A$105,0))="","",INDEX(STOCK!$M$6:$M$105,MATCH(A60,STOCK!$A$6:$A$105,0))))</f>
        <v/>
      </c>
      <c r="J60" s="14" t="str">
        <f>IF(OR(A60="",COUNTIF(STOCK!$A$6:$A$105,A60)&lt;&gt;1),"",IF(INDEX(STOCK!$L$6:$L$105,MATCH(A60,STOCK!$A$6:$A$105,0))="","",INDEX(STOCK!$L$6:$L$105,MATCH(A60,STOCK!$A$6:$A$105,0))))</f>
        <v/>
      </c>
      <c r="K60" s="14" t="str">
        <f>IF(OR(A60="",COUNTIF(STOCK!$A$6:$A$105,A60)&lt;&gt;1),"",IF(INDEX(STOCK!$N$6:$N$105,MATCH(A60,STOCK!$A$6:$A$105,0))="","",INDEX(STOCK!$N$6:$N$105,MATCH(A60,STOCK!$A$6:$A$105,0))))</f>
        <v/>
      </c>
      <c r="L60" s="14" t="str">
        <f>IF(OR(A60="",COUNTIF(STOCK!$A$6:$A$105,A60)&lt;&gt;1),"",IF(INDEX(STOCK!$O$6:$O$105,MATCH(A60,STOCK!$A$6:$A$105,0))="","",INDEX(STOCK!$O$6:$O$105,MATCH(A60,STOCK!$A$6:$A$105,0))))</f>
        <v/>
      </c>
      <c r="M60" s="14" t="str">
        <f>IF(OR(A60="",COUNTIF(STOCK!$A$6:$A$105,A60)&lt;&gt;1),"",IF(INDEX(STOCK!$P$6:$P$105,MATCH(A60,STOCK!$A$6:$A$105,0))="","",INDEX(STOCK!$P$6:$P$105,MATCH(A60,STOCK!$A$6:$A$105,0))))</f>
        <v/>
      </c>
      <c r="N60" s="14" t="str">
        <f>IF(OR(A60="",COUNTIF(STOCK!$A$6:$A$105,A60)&lt;&gt;1),"",IF(INDEX(STOCK!$I$6:$I$105,MATCH(A60,STOCK!$A$6:$A$105,0))="","",INDEX(STOCK!$I$6:$I$105,MATCH(A60,STOCK!$A$6:$A$105,0))))</f>
        <v/>
      </c>
      <c r="O60" s="16" t="str">
        <f>IF(OR(A60="",COUNTIF(STOCK!$A$6:$A$105,A60)&lt;&gt;1),"",IF(INDEX(STOCK!$J$6:$J$105,MATCH(A60,STOCK!$A$6:$A$105,0))="","",INDEX(STOCK!$J$6:$J$105,MATCH(A60,STOCK!$A$6:$A$105,0))))</f>
        <v/>
      </c>
      <c r="P60" s="11" t="str">
        <f>IF(OR(A60="",COUNTIF(STOCK!$A$6:$A$105,A60)&lt;&gt;1),"",IF(INDEX(STOCK!$R$6:$R$105,MATCH(A60,STOCK!$A$6:$A$105,0))="","",INDEX(STOCK!$R$6:$R$105,MATCH(A60,STOCK!$A$6:$A$105,0))))</f>
        <v/>
      </c>
      <c r="Q60" s="12" t="str">
        <f t="shared" si="3"/>
        <v/>
      </c>
      <c r="R60" s="17" t="str">
        <f t="shared" si="4"/>
        <v/>
      </c>
      <c r="S60" s="17" t="str">
        <f t="shared" si="5"/>
        <v/>
      </c>
    </row>
    <row r="61" spans="1:19" ht="42" customHeight="1" x14ac:dyDescent="0.45">
      <c r="A61" s="12" t="str">
        <f>IF(CATALOGO!A61="","",CATALOGO!A61)</f>
        <v/>
      </c>
      <c r="B61" s="12" t="str">
        <f>IF(A61="","",CATALOGO!B61)</f>
        <v/>
      </c>
      <c r="C61" s="12" t="str">
        <f>IF(A61="","",CATALOGO!F61)</f>
        <v/>
      </c>
      <c r="D61" s="11" t="str">
        <f>IF(A61="","",CATALOGO!G61)</f>
        <v/>
      </c>
      <c r="E61" s="11" t="str">
        <f>IF(A61="","",CATALOGO!P61)</f>
        <v/>
      </c>
      <c r="F61" s="11" t="str">
        <f>IF(A61="","",CATALOGO!S61)</f>
        <v/>
      </c>
      <c r="G61" s="15" t="str">
        <f>IF(A61="","",CATALOGO!R61)</f>
        <v/>
      </c>
      <c r="H61" s="12" t="str">
        <f>IF(A61="","",IF(COUNTIF(STOCK!$A$6:$A$105,A61)&lt;&gt;1,"SIN STOCK UNICO",INDEX(STOCK!$K$6:$K$105,MATCH(A61,STOCK!$A$6:$A$105,0))))</f>
        <v/>
      </c>
      <c r="I61" s="12" t="str">
        <f>IF(OR(A61="",COUNTIF(STOCK!$A$6:$A$105,A61)&lt;&gt;1),"",IF(INDEX(STOCK!$M$6:$M$105,MATCH(A61,STOCK!$A$6:$A$105,0))="","",INDEX(STOCK!$M$6:$M$105,MATCH(A61,STOCK!$A$6:$A$105,0))))</f>
        <v/>
      </c>
      <c r="J61" s="14" t="str">
        <f>IF(OR(A61="",COUNTIF(STOCK!$A$6:$A$105,A61)&lt;&gt;1),"",IF(INDEX(STOCK!$L$6:$L$105,MATCH(A61,STOCK!$A$6:$A$105,0))="","",INDEX(STOCK!$L$6:$L$105,MATCH(A61,STOCK!$A$6:$A$105,0))))</f>
        <v/>
      </c>
      <c r="K61" s="14" t="str">
        <f>IF(OR(A61="",COUNTIF(STOCK!$A$6:$A$105,A61)&lt;&gt;1),"",IF(INDEX(STOCK!$N$6:$N$105,MATCH(A61,STOCK!$A$6:$A$105,0))="","",INDEX(STOCK!$N$6:$N$105,MATCH(A61,STOCK!$A$6:$A$105,0))))</f>
        <v/>
      </c>
      <c r="L61" s="14" t="str">
        <f>IF(OR(A61="",COUNTIF(STOCK!$A$6:$A$105,A61)&lt;&gt;1),"",IF(INDEX(STOCK!$O$6:$O$105,MATCH(A61,STOCK!$A$6:$A$105,0))="","",INDEX(STOCK!$O$6:$O$105,MATCH(A61,STOCK!$A$6:$A$105,0))))</f>
        <v/>
      </c>
      <c r="M61" s="14" t="str">
        <f>IF(OR(A61="",COUNTIF(STOCK!$A$6:$A$105,A61)&lt;&gt;1),"",IF(INDEX(STOCK!$P$6:$P$105,MATCH(A61,STOCK!$A$6:$A$105,0))="","",INDEX(STOCK!$P$6:$P$105,MATCH(A61,STOCK!$A$6:$A$105,0))))</f>
        <v/>
      </c>
      <c r="N61" s="14" t="str">
        <f>IF(OR(A61="",COUNTIF(STOCK!$A$6:$A$105,A61)&lt;&gt;1),"",IF(INDEX(STOCK!$I$6:$I$105,MATCH(A61,STOCK!$A$6:$A$105,0))="","",INDEX(STOCK!$I$6:$I$105,MATCH(A61,STOCK!$A$6:$A$105,0))))</f>
        <v/>
      </c>
      <c r="O61" s="16" t="str">
        <f>IF(OR(A61="",COUNTIF(STOCK!$A$6:$A$105,A61)&lt;&gt;1),"",IF(INDEX(STOCK!$J$6:$J$105,MATCH(A61,STOCK!$A$6:$A$105,0))="","",INDEX(STOCK!$J$6:$J$105,MATCH(A61,STOCK!$A$6:$A$105,0))))</f>
        <v/>
      </c>
      <c r="P61" s="11" t="str">
        <f>IF(OR(A61="",COUNTIF(STOCK!$A$6:$A$105,A61)&lt;&gt;1),"",IF(INDEX(STOCK!$R$6:$R$105,MATCH(A61,STOCK!$A$6:$A$105,0))="","",INDEX(STOCK!$R$6:$R$105,MATCH(A61,STOCK!$A$6:$A$105,0))))</f>
        <v/>
      </c>
      <c r="Q61" s="12" t="str">
        <f t="shared" si="3"/>
        <v/>
      </c>
      <c r="R61" s="17" t="str">
        <f t="shared" si="4"/>
        <v/>
      </c>
      <c r="S61" s="17" t="str">
        <f t="shared" si="5"/>
        <v/>
      </c>
    </row>
    <row r="62" spans="1:19" ht="42" customHeight="1" x14ac:dyDescent="0.45">
      <c r="A62" s="12" t="str">
        <f>IF(CATALOGO!A62="","",CATALOGO!A62)</f>
        <v/>
      </c>
      <c r="B62" s="12" t="str">
        <f>IF(A62="","",CATALOGO!B62)</f>
        <v/>
      </c>
      <c r="C62" s="12" t="str">
        <f>IF(A62="","",CATALOGO!F62)</f>
        <v/>
      </c>
      <c r="D62" s="11" t="str">
        <f>IF(A62="","",CATALOGO!G62)</f>
        <v/>
      </c>
      <c r="E62" s="11" t="str">
        <f>IF(A62="","",CATALOGO!P62)</f>
        <v/>
      </c>
      <c r="F62" s="11" t="str">
        <f>IF(A62="","",CATALOGO!S62)</f>
        <v/>
      </c>
      <c r="G62" s="15" t="str">
        <f>IF(A62="","",CATALOGO!R62)</f>
        <v/>
      </c>
      <c r="H62" s="12" t="str">
        <f>IF(A62="","",IF(COUNTIF(STOCK!$A$6:$A$105,A62)&lt;&gt;1,"SIN STOCK UNICO",INDEX(STOCK!$K$6:$K$105,MATCH(A62,STOCK!$A$6:$A$105,0))))</f>
        <v/>
      </c>
      <c r="I62" s="12" t="str">
        <f>IF(OR(A62="",COUNTIF(STOCK!$A$6:$A$105,A62)&lt;&gt;1),"",IF(INDEX(STOCK!$M$6:$M$105,MATCH(A62,STOCK!$A$6:$A$105,0))="","",INDEX(STOCK!$M$6:$M$105,MATCH(A62,STOCK!$A$6:$A$105,0))))</f>
        <v/>
      </c>
      <c r="J62" s="14" t="str">
        <f>IF(OR(A62="",COUNTIF(STOCK!$A$6:$A$105,A62)&lt;&gt;1),"",IF(INDEX(STOCK!$L$6:$L$105,MATCH(A62,STOCK!$A$6:$A$105,0))="","",INDEX(STOCK!$L$6:$L$105,MATCH(A62,STOCK!$A$6:$A$105,0))))</f>
        <v/>
      </c>
      <c r="K62" s="14" t="str">
        <f>IF(OR(A62="",COUNTIF(STOCK!$A$6:$A$105,A62)&lt;&gt;1),"",IF(INDEX(STOCK!$N$6:$N$105,MATCH(A62,STOCK!$A$6:$A$105,0))="","",INDEX(STOCK!$N$6:$N$105,MATCH(A62,STOCK!$A$6:$A$105,0))))</f>
        <v/>
      </c>
      <c r="L62" s="14" t="str">
        <f>IF(OR(A62="",COUNTIF(STOCK!$A$6:$A$105,A62)&lt;&gt;1),"",IF(INDEX(STOCK!$O$6:$O$105,MATCH(A62,STOCK!$A$6:$A$105,0))="","",INDEX(STOCK!$O$6:$O$105,MATCH(A62,STOCK!$A$6:$A$105,0))))</f>
        <v/>
      </c>
      <c r="M62" s="14" t="str">
        <f>IF(OR(A62="",COUNTIF(STOCK!$A$6:$A$105,A62)&lt;&gt;1),"",IF(INDEX(STOCK!$P$6:$P$105,MATCH(A62,STOCK!$A$6:$A$105,0))="","",INDEX(STOCK!$P$6:$P$105,MATCH(A62,STOCK!$A$6:$A$105,0))))</f>
        <v/>
      </c>
      <c r="N62" s="14" t="str">
        <f>IF(OR(A62="",COUNTIF(STOCK!$A$6:$A$105,A62)&lt;&gt;1),"",IF(INDEX(STOCK!$I$6:$I$105,MATCH(A62,STOCK!$A$6:$A$105,0))="","",INDEX(STOCK!$I$6:$I$105,MATCH(A62,STOCK!$A$6:$A$105,0))))</f>
        <v/>
      </c>
      <c r="O62" s="16" t="str">
        <f>IF(OR(A62="",COUNTIF(STOCK!$A$6:$A$105,A62)&lt;&gt;1),"",IF(INDEX(STOCK!$J$6:$J$105,MATCH(A62,STOCK!$A$6:$A$105,0))="","",INDEX(STOCK!$J$6:$J$105,MATCH(A62,STOCK!$A$6:$A$105,0))))</f>
        <v/>
      </c>
      <c r="P62" s="11" t="str">
        <f>IF(OR(A62="",COUNTIF(STOCK!$A$6:$A$105,A62)&lt;&gt;1),"",IF(INDEX(STOCK!$R$6:$R$105,MATCH(A62,STOCK!$A$6:$A$105,0))="","",INDEX(STOCK!$R$6:$R$105,MATCH(A62,STOCK!$A$6:$A$105,0))))</f>
        <v/>
      </c>
      <c r="Q62" s="12" t="str">
        <f t="shared" si="3"/>
        <v/>
      </c>
      <c r="R62" s="17" t="str">
        <f t="shared" si="4"/>
        <v/>
      </c>
      <c r="S62" s="17" t="str">
        <f t="shared" si="5"/>
        <v/>
      </c>
    </row>
    <row r="63" spans="1:19" ht="42" customHeight="1" x14ac:dyDescent="0.45">
      <c r="A63" s="12" t="str">
        <f>IF(CATALOGO!A63="","",CATALOGO!A63)</f>
        <v/>
      </c>
      <c r="B63" s="12" t="str">
        <f>IF(A63="","",CATALOGO!B63)</f>
        <v/>
      </c>
      <c r="C63" s="12" t="str">
        <f>IF(A63="","",CATALOGO!F63)</f>
        <v/>
      </c>
      <c r="D63" s="11" t="str">
        <f>IF(A63="","",CATALOGO!G63)</f>
        <v/>
      </c>
      <c r="E63" s="11" t="str">
        <f>IF(A63="","",CATALOGO!P63)</f>
        <v/>
      </c>
      <c r="F63" s="11" t="str">
        <f>IF(A63="","",CATALOGO!S63)</f>
        <v/>
      </c>
      <c r="G63" s="15" t="str">
        <f>IF(A63="","",CATALOGO!R63)</f>
        <v/>
      </c>
      <c r="H63" s="12" t="str">
        <f>IF(A63="","",IF(COUNTIF(STOCK!$A$6:$A$105,A63)&lt;&gt;1,"SIN STOCK UNICO",INDEX(STOCK!$K$6:$K$105,MATCH(A63,STOCK!$A$6:$A$105,0))))</f>
        <v/>
      </c>
      <c r="I63" s="12" t="str">
        <f>IF(OR(A63="",COUNTIF(STOCK!$A$6:$A$105,A63)&lt;&gt;1),"",IF(INDEX(STOCK!$M$6:$M$105,MATCH(A63,STOCK!$A$6:$A$105,0))="","",INDEX(STOCK!$M$6:$M$105,MATCH(A63,STOCK!$A$6:$A$105,0))))</f>
        <v/>
      </c>
      <c r="J63" s="14" t="str">
        <f>IF(OR(A63="",COUNTIF(STOCK!$A$6:$A$105,A63)&lt;&gt;1),"",IF(INDEX(STOCK!$L$6:$L$105,MATCH(A63,STOCK!$A$6:$A$105,0))="","",INDEX(STOCK!$L$6:$L$105,MATCH(A63,STOCK!$A$6:$A$105,0))))</f>
        <v/>
      </c>
      <c r="K63" s="14" t="str">
        <f>IF(OR(A63="",COUNTIF(STOCK!$A$6:$A$105,A63)&lt;&gt;1),"",IF(INDEX(STOCK!$N$6:$N$105,MATCH(A63,STOCK!$A$6:$A$105,0))="","",INDEX(STOCK!$N$6:$N$105,MATCH(A63,STOCK!$A$6:$A$105,0))))</f>
        <v/>
      </c>
      <c r="L63" s="14" t="str">
        <f>IF(OR(A63="",COUNTIF(STOCK!$A$6:$A$105,A63)&lt;&gt;1),"",IF(INDEX(STOCK!$O$6:$O$105,MATCH(A63,STOCK!$A$6:$A$105,0))="","",INDEX(STOCK!$O$6:$O$105,MATCH(A63,STOCK!$A$6:$A$105,0))))</f>
        <v/>
      </c>
      <c r="M63" s="14" t="str">
        <f>IF(OR(A63="",COUNTIF(STOCK!$A$6:$A$105,A63)&lt;&gt;1),"",IF(INDEX(STOCK!$P$6:$P$105,MATCH(A63,STOCK!$A$6:$A$105,0))="","",INDEX(STOCK!$P$6:$P$105,MATCH(A63,STOCK!$A$6:$A$105,0))))</f>
        <v/>
      </c>
      <c r="N63" s="14" t="str">
        <f>IF(OR(A63="",COUNTIF(STOCK!$A$6:$A$105,A63)&lt;&gt;1),"",IF(INDEX(STOCK!$I$6:$I$105,MATCH(A63,STOCK!$A$6:$A$105,0))="","",INDEX(STOCK!$I$6:$I$105,MATCH(A63,STOCK!$A$6:$A$105,0))))</f>
        <v/>
      </c>
      <c r="O63" s="16" t="str">
        <f>IF(OR(A63="",COUNTIF(STOCK!$A$6:$A$105,A63)&lt;&gt;1),"",IF(INDEX(STOCK!$J$6:$J$105,MATCH(A63,STOCK!$A$6:$A$105,0))="","",INDEX(STOCK!$J$6:$J$105,MATCH(A63,STOCK!$A$6:$A$105,0))))</f>
        <v/>
      </c>
      <c r="P63" s="11" t="str">
        <f>IF(OR(A63="",COUNTIF(STOCK!$A$6:$A$105,A63)&lt;&gt;1),"",IF(INDEX(STOCK!$R$6:$R$105,MATCH(A63,STOCK!$A$6:$A$105,0))="","",INDEX(STOCK!$R$6:$R$105,MATCH(A63,STOCK!$A$6:$A$105,0))))</f>
        <v/>
      </c>
      <c r="Q63" s="12" t="str">
        <f t="shared" si="3"/>
        <v/>
      </c>
      <c r="R63" s="17" t="str">
        <f t="shared" si="4"/>
        <v/>
      </c>
      <c r="S63" s="17" t="str">
        <f t="shared" si="5"/>
        <v/>
      </c>
    </row>
    <row r="64" spans="1:19" ht="42" customHeight="1" x14ac:dyDescent="0.45">
      <c r="A64" s="12" t="str">
        <f>IF(CATALOGO!A64="","",CATALOGO!A64)</f>
        <v/>
      </c>
      <c r="B64" s="12" t="str">
        <f>IF(A64="","",CATALOGO!B64)</f>
        <v/>
      </c>
      <c r="C64" s="12" t="str">
        <f>IF(A64="","",CATALOGO!F64)</f>
        <v/>
      </c>
      <c r="D64" s="11" t="str">
        <f>IF(A64="","",CATALOGO!G64)</f>
        <v/>
      </c>
      <c r="E64" s="11" t="str">
        <f>IF(A64="","",CATALOGO!P64)</f>
        <v/>
      </c>
      <c r="F64" s="11" t="str">
        <f>IF(A64="","",CATALOGO!S64)</f>
        <v/>
      </c>
      <c r="G64" s="15" t="str">
        <f>IF(A64="","",CATALOGO!R64)</f>
        <v/>
      </c>
      <c r="H64" s="12" t="str">
        <f>IF(A64="","",IF(COUNTIF(STOCK!$A$6:$A$105,A64)&lt;&gt;1,"SIN STOCK UNICO",INDEX(STOCK!$K$6:$K$105,MATCH(A64,STOCK!$A$6:$A$105,0))))</f>
        <v/>
      </c>
      <c r="I64" s="12" t="str">
        <f>IF(OR(A64="",COUNTIF(STOCK!$A$6:$A$105,A64)&lt;&gt;1),"",IF(INDEX(STOCK!$M$6:$M$105,MATCH(A64,STOCK!$A$6:$A$105,0))="","",INDEX(STOCK!$M$6:$M$105,MATCH(A64,STOCK!$A$6:$A$105,0))))</f>
        <v/>
      </c>
      <c r="J64" s="14" t="str">
        <f>IF(OR(A64="",COUNTIF(STOCK!$A$6:$A$105,A64)&lt;&gt;1),"",IF(INDEX(STOCK!$L$6:$L$105,MATCH(A64,STOCK!$A$6:$A$105,0))="","",INDEX(STOCK!$L$6:$L$105,MATCH(A64,STOCK!$A$6:$A$105,0))))</f>
        <v/>
      </c>
      <c r="K64" s="14" t="str">
        <f>IF(OR(A64="",COUNTIF(STOCK!$A$6:$A$105,A64)&lt;&gt;1),"",IF(INDEX(STOCK!$N$6:$N$105,MATCH(A64,STOCK!$A$6:$A$105,0))="","",INDEX(STOCK!$N$6:$N$105,MATCH(A64,STOCK!$A$6:$A$105,0))))</f>
        <v/>
      </c>
      <c r="L64" s="14" t="str">
        <f>IF(OR(A64="",COUNTIF(STOCK!$A$6:$A$105,A64)&lt;&gt;1),"",IF(INDEX(STOCK!$O$6:$O$105,MATCH(A64,STOCK!$A$6:$A$105,0))="","",INDEX(STOCK!$O$6:$O$105,MATCH(A64,STOCK!$A$6:$A$105,0))))</f>
        <v/>
      </c>
      <c r="M64" s="14" t="str">
        <f>IF(OR(A64="",COUNTIF(STOCK!$A$6:$A$105,A64)&lt;&gt;1),"",IF(INDEX(STOCK!$P$6:$P$105,MATCH(A64,STOCK!$A$6:$A$105,0))="","",INDEX(STOCK!$P$6:$P$105,MATCH(A64,STOCK!$A$6:$A$105,0))))</f>
        <v/>
      </c>
      <c r="N64" s="14" t="str">
        <f>IF(OR(A64="",COUNTIF(STOCK!$A$6:$A$105,A64)&lt;&gt;1),"",IF(INDEX(STOCK!$I$6:$I$105,MATCH(A64,STOCK!$A$6:$A$105,0))="","",INDEX(STOCK!$I$6:$I$105,MATCH(A64,STOCK!$A$6:$A$105,0))))</f>
        <v/>
      </c>
      <c r="O64" s="16" t="str">
        <f>IF(OR(A64="",COUNTIF(STOCK!$A$6:$A$105,A64)&lt;&gt;1),"",IF(INDEX(STOCK!$J$6:$J$105,MATCH(A64,STOCK!$A$6:$A$105,0))="","",INDEX(STOCK!$J$6:$J$105,MATCH(A64,STOCK!$A$6:$A$105,0))))</f>
        <v/>
      </c>
      <c r="P64" s="11" t="str">
        <f>IF(OR(A64="",COUNTIF(STOCK!$A$6:$A$105,A64)&lt;&gt;1),"",IF(INDEX(STOCK!$R$6:$R$105,MATCH(A64,STOCK!$A$6:$A$105,0))="","",INDEX(STOCK!$R$6:$R$105,MATCH(A64,STOCK!$A$6:$A$105,0))))</f>
        <v/>
      </c>
      <c r="Q64" s="12" t="str">
        <f t="shared" si="3"/>
        <v/>
      </c>
      <c r="R64" s="17" t="str">
        <f t="shared" si="4"/>
        <v/>
      </c>
      <c r="S64" s="17" t="str">
        <f t="shared" si="5"/>
        <v/>
      </c>
    </row>
    <row r="65" spans="1:19" ht="42" customHeight="1" x14ac:dyDescent="0.45">
      <c r="A65" s="12" t="str">
        <f>IF(CATALOGO!A65="","",CATALOGO!A65)</f>
        <v/>
      </c>
      <c r="B65" s="12" t="str">
        <f>IF(A65="","",CATALOGO!B65)</f>
        <v/>
      </c>
      <c r="C65" s="12" t="str">
        <f>IF(A65="","",CATALOGO!F65)</f>
        <v/>
      </c>
      <c r="D65" s="11" t="str">
        <f>IF(A65="","",CATALOGO!G65)</f>
        <v/>
      </c>
      <c r="E65" s="11" t="str">
        <f>IF(A65="","",CATALOGO!P65)</f>
        <v/>
      </c>
      <c r="F65" s="11" t="str">
        <f>IF(A65="","",CATALOGO!S65)</f>
        <v/>
      </c>
      <c r="G65" s="15" t="str">
        <f>IF(A65="","",CATALOGO!R65)</f>
        <v/>
      </c>
      <c r="H65" s="12" t="str">
        <f>IF(A65="","",IF(COUNTIF(STOCK!$A$6:$A$105,A65)&lt;&gt;1,"SIN STOCK UNICO",INDEX(STOCK!$K$6:$K$105,MATCH(A65,STOCK!$A$6:$A$105,0))))</f>
        <v/>
      </c>
      <c r="I65" s="12" t="str">
        <f>IF(OR(A65="",COUNTIF(STOCK!$A$6:$A$105,A65)&lt;&gt;1),"",IF(INDEX(STOCK!$M$6:$M$105,MATCH(A65,STOCK!$A$6:$A$105,0))="","",INDEX(STOCK!$M$6:$M$105,MATCH(A65,STOCK!$A$6:$A$105,0))))</f>
        <v/>
      </c>
      <c r="J65" s="14" t="str">
        <f>IF(OR(A65="",COUNTIF(STOCK!$A$6:$A$105,A65)&lt;&gt;1),"",IF(INDEX(STOCK!$L$6:$L$105,MATCH(A65,STOCK!$A$6:$A$105,0))="","",INDEX(STOCK!$L$6:$L$105,MATCH(A65,STOCK!$A$6:$A$105,0))))</f>
        <v/>
      </c>
      <c r="K65" s="14" t="str">
        <f>IF(OR(A65="",COUNTIF(STOCK!$A$6:$A$105,A65)&lt;&gt;1),"",IF(INDEX(STOCK!$N$6:$N$105,MATCH(A65,STOCK!$A$6:$A$105,0))="","",INDEX(STOCK!$N$6:$N$105,MATCH(A65,STOCK!$A$6:$A$105,0))))</f>
        <v/>
      </c>
      <c r="L65" s="14" t="str">
        <f>IF(OR(A65="",COUNTIF(STOCK!$A$6:$A$105,A65)&lt;&gt;1),"",IF(INDEX(STOCK!$O$6:$O$105,MATCH(A65,STOCK!$A$6:$A$105,0))="","",INDEX(STOCK!$O$6:$O$105,MATCH(A65,STOCK!$A$6:$A$105,0))))</f>
        <v/>
      </c>
      <c r="M65" s="14" t="str">
        <f>IF(OR(A65="",COUNTIF(STOCK!$A$6:$A$105,A65)&lt;&gt;1),"",IF(INDEX(STOCK!$P$6:$P$105,MATCH(A65,STOCK!$A$6:$A$105,0))="","",INDEX(STOCK!$P$6:$P$105,MATCH(A65,STOCK!$A$6:$A$105,0))))</f>
        <v/>
      </c>
      <c r="N65" s="14" t="str">
        <f>IF(OR(A65="",COUNTIF(STOCK!$A$6:$A$105,A65)&lt;&gt;1),"",IF(INDEX(STOCK!$I$6:$I$105,MATCH(A65,STOCK!$A$6:$A$105,0))="","",INDEX(STOCK!$I$6:$I$105,MATCH(A65,STOCK!$A$6:$A$105,0))))</f>
        <v/>
      </c>
      <c r="O65" s="16" t="str">
        <f>IF(OR(A65="",COUNTIF(STOCK!$A$6:$A$105,A65)&lt;&gt;1),"",IF(INDEX(STOCK!$J$6:$J$105,MATCH(A65,STOCK!$A$6:$A$105,0))="","",INDEX(STOCK!$J$6:$J$105,MATCH(A65,STOCK!$A$6:$A$105,0))))</f>
        <v/>
      </c>
      <c r="P65" s="11" t="str">
        <f>IF(OR(A65="",COUNTIF(STOCK!$A$6:$A$105,A65)&lt;&gt;1),"",IF(INDEX(STOCK!$R$6:$R$105,MATCH(A65,STOCK!$A$6:$A$105,0))="","",INDEX(STOCK!$R$6:$R$105,MATCH(A65,STOCK!$A$6:$A$105,0))))</f>
        <v/>
      </c>
      <c r="Q65" s="12" t="str">
        <f t="shared" si="3"/>
        <v/>
      </c>
      <c r="R65" s="17" t="str">
        <f t="shared" si="4"/>
        <v/>
      </c>
      <c r="S65" s="17" t="str">
        <f t="shared" si="5"/>
        <v/>
      </c>
    </row>
    <row r="66" spans="1:19" ht="42" customHeight="1" x14ac:dyDescent="0.45">
      <c r="A66" s="12" t="str">
        <f>IF(CATALOGO!A66="","",CATALOGO!A66)</f>
        <v/>
      </c>
      <c r="B66" s="12" t="str">
        <f>IF(A66="","",CATALOGO!B66)</f>
        <v/>
      </c>
      <c r="C66" s="12" t="str">
        <f>IF(A66="","",CATALOGO!F66)</f>
        <v/>
      </c>
      <c r="D66" s="11" t="str">
        <f>IF(A66="","",CATALOGO!G66)</f>
        <v/>
      </c>
      <c r="E66" s="11" t="str">
        <f>IF(A66="","",CATALOGO!P66)</f>
        <v/>
      </c>
      <c r="F66" s="11" t="str">
        <f>IF(A66="","",CATALOGO!S66)</f>
        <v/>
      </c>
      <c r="G66" s="15" t="str">
        <f>IF(A66="","",CATALOGO!R66)</f>
        <v/>
      </c>
      <c r="H66" s="12" t="str">
        <f>IF(A66="","",IF(COUNTIF(STOCK!$A$6:$A$105,A66)&lt;&gt;1,"SIN STOCK UNICO",INDEX(STOCK!$K$6:$K$105,MATCH(A66,STOCK!$A$6:$A$105,0))))</f>
        <v/>
      </c>
      <c r="I66" s="12" t="str">
        <f>IF(OR(A66="",COUNTIF(STOCK!$A$6:$A$105,A66)&lt;&gt;1),"",IF(INDEX(STOCK!$M$6:$M$105,MATCH(A66,STOCK!$A$6:$A$105,0))="","",INDEX(STOCK!$M$6:$M$105,MATCH(A66,STOCK!$A$6:$A$105,0))))</f>
        <v/>
      </c>
      <c r="J66" s="14" t="str">
        <f>IF(OR(A66="",COUNTIF(STOCK!$A$6:$A$105,A66)&lt;&gt;1),"",IF(INDEX(STOCK!$L$6:$L$105,MATCH(A66,STOCK!$A$6:$A$105,0))="","",INDEX(STOCK!$L$6:$L$105,MATCH(A66,STOCK!$A$6:$A$105,0))))</f>
        <v/>
      </c>
      <c r="K66" s="14" t="str">
        <f>IF(OR(A66="",COUNTIF(STOCK!$A$6:$A$105,A66)&lt;&gt;1),"",IF(INDEX(STOCK!$N$6:$N$105,MATCH(A66,STOCK!$A$6:$A$105,0))="","",INDEX(STOCK!$N$6:$N$105,MATCH(A66,STOCK!$A$6:$A$105,0))))</f>
        <v/>
      </c>
      <c r="L66" s="14" t="str">
        <f>IF(OR(A66="",COUNTIF(STOCK!$A$6:$A$105,A66)&lt;&gt;1),"",IF(INDEX(STOCK!$O$6:$O$105,MATCH(A66,STOCK!$A$6:$A$105,0))="","",INDEX(STOCK!$O$6:$O$105,MATCH(A66,STOCK!$A$6:$A$105,0))))</f>
        <v/>
      </c>
      <c r="M66" s="14" t="str">
        <f>IF(OR(A66="",COUNTIF(STOCK!$A$6:$A$105,A66)&lt;&gt;1),"",IF(INDEX(STOCK!$P$6:$P$105,MATCH(A66,STOCK!$A$6:$A$105,0))="","",INDEX(STOCK!$P$6:$P$105,MATCH(A66,STOCK!$A$6:$A$105,0))))</f>
        <v/>
      </c>
      <c r="N66" s="14" t="str">
        <f>IF(OR(A66="",COUNTIF(STOCK!$A$6:$A$105,A66)&lt;&gt;1),"",IF(INDEX(STOCK!$I$6:$I$105,MATCH(A66,STOCK!$A$6:$A$105,0))="","",INDEX(STOCK!$I$6:$I$105,MATCH(A66,STOCK!$A$6:$A$105,0))))</f>
        <v/>
      </c>
      <c r="O66" s="16" t="str">
        <f>IF(OR(A66="",COUNTIF(STOCK!$A$6:$A$105,A66)&lt;&gt;1),"",IF(INDEX(STOCK!$J$6:$J$105,MATCH(A66,STOCK!$A$6:$A$105,0))="","",INDEX(STOCK!$J$6:$J$105,MATCH(A66,STOCK!$A$6:$A$105,0))))</f>
        <v/>
      </c>
      <c r="P66" s="11" t="str">
        <f>IF(OR(A66="",COUNTIF(STOCK!$A$6:$A$105,A66)&lt;&gt;1),"",IF(INDEX(STOCK!$R$6:$R$105,MATCH(A66,STOCK!$A$6:$A$105,0))="","",INDEX(STOCK!$R$6:$R$105,MATCH(A66,STOCK!$A$6:$A$105,0))))</f>
        <v/>
      </c>
      <c r="Q66" s="12" t="str">
        <f t="shared" si="3"/>
        <v/>
      </c>
      <c r="R66" s="17" t="str">
        <f t="shared" si="4"/>
        <v/>
      </c>
      <c r="S66" s="17" t="str">
        <f t="shared" si="5"/>
        <v/>
      </c>
    </row>
    <row r="67" spans="1:19" ht="42" customHeight="1" x14ac:dyDescent="0.45">
      <c r="A67" s="12" t="str">
        <f>IF(CATALOGO!A67="","",CATALOGO!A67)</f>
        <v/>
      </c>
      <c r="B67" s="12" t="str">
        <f>IF(A67="","",CATALOGO!B67)</f>
        <v/>
      </c>
      <c r="C67" s="12" t="str">
        <f>IF(A67="","",CATALOGO!F67)</f>
        <v/>
      </c>
      <c r="D67" s="11" t="str">
        <f>IF(A67="","",CATALOGO!G67)</f>
        <v/>
      </c>
      <c r="E67" s="11" t="str">
        <f>IF(A67="","",CATALOGO!P67)</f>
        <v/>
      </c>
      <c r="F67" s="11" t="str">
        <f>IF(A67="","",CATALOGO!S67)</f>
        <v/>
      </c>
      <c r="G67" s="15" t="str">
        <f>IF(A67="","",CATALOGO!R67)</f>
        <v/>
      </c>
      <c r="H67" s="12" t="str">
        <f>IF(A67="","",IF(COUNTIF(STOCK!$A$6:$A$105,A67)&lt;&gt;1,"SIN STOCK UNICO",INDEX(STOCK!$K$6:$K$105,MATCH(A67,STOCK!$A$6:$A$105,0))))</f>
        <v/>
      </c>
      <c r="I67" s="12" t="str">
        <f>IF(OR(A67="",COUNTIF(STOCK!$A$6:$A$105,A67)&lt;&gt;1),"",IF(INDEX(STOCK!$M$6:$M$105,MATCH(A67,STOCK!$A$6:$A$105,0))="","",INDEX(STOCK!$M$6:$M$105,MATCH(A67,STOCK!$A$6:$A$105,0))))</f>
        <v/>
      </c>
      <c r="J67" s="14" t="str">
        <f>IF(OR(A67="",COUNTIF(STOCK!$A$6:$A$105,A67)&lt;&gt;1),"",IF(INDEX(STOCK!$L$6:$L$105,MATCH(A67,STOCK!$A$6:$A$105,0))="","",INDEX(STOCK!$L$6:$L$105,MATCH(A67,STOCK!$A$6:$A$105,0))))</f>
        <v/>
      </c>
      <c r="K67" s="14" t="str">
        <f>IF(OR(A67="",COUNTIF(STOCK!$A$6:$A$105,A67)&lt;&gt;1),"",IF(INDEX(STOCK!$N$6:$N$105,MATCH(A67,STOCK!$A$6:$A$105,0))="","",INDEX(STOCK!$N$6:$N$105,MATCH(A67,STOCK!$A$6:$A$105,0))))</f>
        <v/>
      </c>
      <c r="L67" s="14" t="str">
        <f>IF(OR(A67="",COUNTIF(STOCK!$A$6:$A$105,A67)&lt;&gt;1),"",IF(INDEX(STOCK!$O$6:$O$105,MATCH(A67,STOCK!$A$6:$A$105,0))="","",INDEX(STOCK!$O$6:$O$105,MATCH(A67,STOCK!$A$6:$A$105,0))))</f>
        <v/>
      </c>
      <c r="M67" s="14" t="str">
        <f>IF(OR(A67="",COUNTIF(STOCK!$A$6:$A$105,A67)&lt;&gt;1),"",IF(INDEX(STOCK!$P$6:$P$105,MATCH(A67,STOCK!$A$6:$A$105,0))="","",INDEX(STOCK!$P$6:$P$105,MATCH(A67,STOCK!$A$6:$A$105,0))))</f>
        <v/>
      </c>
      <c r="N67" s="14" t="str">
        <f>IF(OR(A67="",COUNTIF(STOCK!$A$6:$A$105,A67)&lt;&gt;1),"",IF(INDEX(STOCK!$I$6:$I$105,MATCH(A67,STOCK!$A$6:$A$105,0))="","",INDEX(STOCK!$I$6:$I$105,MATCH(A67,STOCK!$A$6:$A$105,0))))</f>
        <v/>
      </c>
      <c r="O67" s="16" t="str">
        <f>IF(OR(A67="",COUNTIF(STOCK!$A$6:$A$105,A67)&lt;&gt;1),"",IF(INDEX(STOCK!$J$6:$J$105,MATCH(A67,STOCK!$A$6:$A$105,0))="","",INDEX(STOCK!$J$6:$J$105,MATCH(A67,STOCK!$A$6:$A$105,0))))</f>
        <v/>
      </c>
      <c r="P67" s="11" t="str">
        <f>IF(OR(A67="",COUNTIF(STOCK!$A$6:$A$105,A67)&lt;&gt;1),"",IF(INDEX(STOCK!$R$6:$R$105,MATCH(A67,STOCK!$A$6:$A$105,0))="","",INDEX(STOCK!$R$6:$R$105,MATCH(A67,STOCK!$A$6:$A$105,0))))</f>
        <v/>
      </c>
      <c r="Q67" s="12" t="str">
        <f t="shared" si="3"/>
        <v/>
      </c>
      <c r="R67" s="17" t="str">
        <f t="shared" si="4"/>
        <v/>
      </c>
      <c r="S67" s="17" t="str">
        <f t="shared" si="5"/>
        <v/>
      </c>
    </row>
    <row r="68" spans="1:19" ht="42" customHeight="1" x14ac:dyDescent="0.45">
      <c r="A68" s="12" t="str">
        <f>IF(CATALOGO!A68="","",CATALOGO!A68)</f>
        <v/>
      </c>
      <c r="B68" s="12" t="str">
        <f>IF(A68="","",CATALOGO!B68)</f>
        <v/>
      </c>
      <c r="C68" s="12" t="str">
        <f>IF(A68="","",CATALOGO!F68)</f>
        <v/>
      </c>
      <c r="D68" s="11" t="str">
        <f>IF(A68="","",CATALOGO!G68)</f>
        <v/>
      </c>
      <c r="E68" s="11" t="str">
        <f>IF(A68="","",CATALOGO!P68)</f>
        <v/>
      </c>
      <c r="F68" s="11" t="str">
        <f>IF(A68="","",CATALOGO!S68)</f>
        <v/>
      </c>
      <c r="G68" s="15" t="str">
        <f>IF(A68="","",CATALOGO!R68)</f>
        <v/>
      </c>
      <c r="H68" s="12" t="str">
        <f>IF(A68="","",IF(COUNTIF(STOCK!$A$6:$A$105,A68)&lt;&gt;1,"SIN STOCK UNICO",INDEX(STOCK!$K$6:$K$105,MATCH(A68,STOCK!$A$6:$A$105,0))))</f>
        <v/>
      </c>
      <c r="I68" s="12" t="str">
        <f>IF(OR(A68="",COUNTIF(STOCK!$A$6:$A$105,A68)&lt;&gt;1),"",IF(INDEX(STOCK!$M$6:$M$105,MATCH(A68,STOCK!$A$6:$A$105,0))="","",INDEX(STOCK!$M$6:$M$105,MATCH(A68,STOCK!$A$6:$A$105,0))))</f>
        <v/>
      </c>
      <c r="J68" s="14" t="str">
        <f>IF(OR(A68="",COUNTIF(STOCK!$A$6:$A$105,A68)&lt;&gt;1),"",IF(INDEX(STOCK!$L$6:$L$105,MATCH(A68,STOCK!$A$6:$A$105,0))="","",INDEX(STOCK!$L$6:$L$105,MATCH(A68,STOCK!$A$6:$A$105,0))))</f>
        <v/>
      </c>
      <c r="K68" s="14" t="str">
        <f>IF(OR(A68="",COUNTIF(STOCK!$A$6:$A$105,A68)&lt;&gt;1),"",IF(INDEX(STOCK!$N$6:$N$105,MATCH(A68,STOCK!$A$6:$A$105,0))="","",INDEX(STOCK!$N$6:$N$105,MATCH(A68,STOCK!$A$6:$A$105,0))))</f>
        <v/>
      </c>
      <c r="L68" s="14" t="str">
        <f>IF(OR(A68="",COUNTIF(STOCK!$A$6:$A$105,A68)&lt;&gt;1),"",IF(INDEX(STOCK!$O$6:$O$105,MATCH(A68,STOCK!$A$6:$A$105,0))="","",INDEX(STOCK!$O$6:$O$105,MATCH(A68,STOCK!$A$6:$A$105,0))))</f>
        <v/>
      </c>
      <c r="M68" s="14" t="str">
        <f>IF(OR(A68="",COUNTIF(STOCK!$A$6:$A$105,A68)&lt;&gt;1),"",IF(INDEX(STOCK!$P$6:$P$105,MATCH(A68,STOCK!$A$6:$A$105,0))="","",INDEX(STOCK!$P$6:$P$105,MATCH(A68,STOCK!$A$6:$A$105,0))))</f>
        <v/>
      </c>
      <c r="N68" s="14" t="str">
        <f>IF(OR(A68="",COUNTIF(STOCK!$A$6:$A$105,A68)&lt;&gt;1),"",IF(INDEX(STOCK!$I$6:$I$105,MATCH(A68,STOCK!$A$6:$A$105,0))="","",INDEX(STOCK!$I$6:$I$105,MATCH(A68,STOCK!$A$6:$A$105,0))))</f>
        <v/>
      </c>
      <c r="O68" s="16" t="str">
        <f>IF(OR(A68="",COUNTIF(STOCK!$A$6:$A$105,A68)&lt;&gt;1),"",IF(INDEX(STOCK!$J$6:$J$105,MATCH(A68,STOCK!$A$6:$A$105,0))="","",INDEX(STOCK!$J$6:$J$105,MATCH(A68,STOCK!$A$6:$A$105,0))))</f>
        <v/>
      </c>
      <c r="P68" s="11" t="str">
        <f>IF(OR(A68="",COUNTIF(STOCK!$A$6:$A$105,A68)&lt;&gt;1),"",IF(INDEX(STOCK!$R$6:$R$105,MATCH(A68,STOCK!$A$6:$A$105,0))="","",INDEX(STOCK!$R$6:$R$105,MATCH(A68,STOCK!$A$6:$A$105,0))))</f>
        <v/>
      </c>
      <c r="Q68" s="12" t="str">
        <f t="shared" si="3"/>
        <v/>
      </c>
      <c r="R68" s="17" t="str">
        <f t="shared" si="4"/>
        <v/>
      </c>
      <c r="S68" s="17" t="str">
        <f t="shared" si="5"/>
        <v/>
      </c>
    </row>
    <row r="69" spans="1:19" ht="42" customHeight="1" x14ac:dyDescent="0.45">
      <c r="A69" s="12" t="str">
        <f>IF(CATALOGO!A69="","",CATALOGO!A69)</f>
        <v/>
      </c>
      <c r="B69" s="12" t="str">
        <f>IF(A69="","",CATALOGO!B69)</f>
        <v/>
      </c>
      <c r="C69" s="12" t="str">
        <f>IF(A69="","",CATALOGO!F69)</f>
        <v/>
      </c>
      <c r="D69" s="11" t="str">
        <f>IF(A69="","",CATALOGO!G69)</f>
        <v/>
      </c>
      <c r="E69" s="11" t="str">
        <f>IF(A69="","",CATALOGO!P69)</f>
        <v/>
      </c>
      <c r="F69" s="11" t="str">
        <f>IF(A69="","",CATALOGO!S69)</f>
        <v/>
      </c>
      <c r="G69" s="15" t="str">
        <f>IF(A69="","",CATALOGO!R69)</f>
        <v/>
      </c>
      <c r="H69" s="12" t="str">
        <f>IF(A69="","",IF(COUNTIF(STOCK!$A$6:$A$105,A69)&lt;&gt;1,"SIN STOCK UNICO",INDEX(STOCK!$K$6:$K$105,MATCH(A69,STOCK!$A$6:$A$105,0))))</f>
        <v/>
      </c>
      <c r="I69" s="12" t="str">
        <f>IF(OR(A69="",COUNTIF(STOCK!$A$6:$A$105,A69)&lt;&gt;1),"",IF(INDEX(STOCK!$M$6:$M$105,MATCH(A69,STOCK!$A$6:$A$105,0))="","",INDEX(STOCK!$M$6:$M$105,MATCH(A69,STOCK!$A$6:$A$105,0))))</f>
        <v/>
      </c>
      <c r="J69" s="14" t="str">
        <f>IF(OR(A69="",COUNTIF(STOCK!$A$6:$A$105,A69)&lt;&gt;1),"",IF(INDEX(STOCK!$L$6:$L$105,MATCH(A69,STOCK!$A$6:$A$105,0))="","",INDEX(STOCK!$L$6:$L$105,MATCH(A69,STOCK!$A$6:$A$105,0))))</f>
        <v/>
      </c>
      <c r="K69" s="14" t="str">
        <f>IF(OR(A69="",COUNTIF(STOCK!$A$6:$A$105,A69)&lt;&gt;1),"",IF(INDEX(STOCK!$N$6:$N$105,MATCH(A69,STOCK!$A$6:$A$105,0))="","",INDEX(STOCK!$N$6:$N$105,MATCH(A69,STOCK!$A$6:$A$105,0))))</f>
        <v/>
      </c>
      <c r="L69" s="14" t="str">
        <f>IF(OR(A69="",COUNTIF(STOCK!$A$6:$A$105,A69)&lt;&gt;1),"",IF(INDEX(STOCK!$O$6:$O$105,MATCH(A69,STOCK!$A$6:$A$105,0))="","",INDEX(STOCK!$O$6:$O$105,MATCH(A69,STOCK!$A$6:$A$105,0))))</f>
        <v/>
      </c>
      <c r="M69" s="14" t="str">
        <f>IF(OR(A69="",COUNTIF(STOCK!$A$6:$A$105,A69)&lt;&gt;1),"",IF(INDEX(STOCK!$P$6:$P$105,MATCH(A69,STOCK!$A$6:$A$105,0))="","",INDEX(STOCK!$P$6:$P$105,MATCH(A69,STOCK!$A$6:$A$105,0))))</f>
        <v/>
      </c>
      <c r="N69" s="14" t="str">
        <f>IF(OR(A69="",COUNTIF(STOCK!$A$6:$A$105,A69)&lt;&gt;1),"",IF(INDEX(STOCK!$I$6:$I$105,MATCH(A69,STOCK!$A$6:$A$105,0))="","",INDEX(STOCK!$I$6:$I$105,MATCH(A69,STOCK!$A$6:$A$105,0))))</f>
        <v/>
      </c>
      <c r="O69" s="16" t="str">
        <f>IF(OR(A69="",COUNTIF(STOCK!$A$6:$A$105,A69)&lt;&gt;1),"",IF(INDEX(STOCK!$J$6:$J$105,MATCH(A69,STOCK!$A$6:$A$105,0))="","",INDEX(STOCK!$J$6:$J$105,MATCH(A69,STOCK!$A$6:$A$105,0))))</f>
        <v/>
      </c>
      <c r="P69" s="11" t="str">
        <f>IF(OR(A69="",COUNTIF(STOCK!$A$6:$A$105,A69)&lt;&gt;1),"",IF(INDEX(STOCK!$R$6:$R$105,MATCH(A69,STOCK!$A$6:$A$105,0))="","",INDEX(STOCK!$R$6:$R$105,MATCH(A69,STOCK!$A$6:$A$105,0))))</f>
        <v/>
      </c>
      <c r="Q69" s="12" t="str">
        <f t="shared" si="3"/>
        <v/>
      </c>
      <c r="R69" s="17" t="str">
        <f t="shared" si="4"/>
        <v/>
      </c>
      <c r="S69" s="17" t="str">
        <f t="shared" si="5"/>
        <v/>
      </c>
    </row>
    <row r="70" spans="1:19" ht="42" customHeight="1" x14ac:dyDescent="0.45">
      <c r="A70" s="12" t="str">
        <f>IF(CATALOGO!A70="","",CATALOGO!A70)</f>
        <v/>
      </c>
      <c r="B70" s="12" t="str">
        <f>IF(A70="","",CATALOGO!B70)</f>
        <v/>
      </c>
      <c r="C70" s="12" t="str">
        <f>IF(A70="","",CATALOGO!F70)</f>
        <v/>
      </c>
      <c r="D70" s="11" t="str">
        <f>IF(A70="","",CATALOGO!G70)</f>
        <v/>
      </c>
      <c r="E70" s="11" t="str">
        <f>IF(A70="","",CATALOGO!P70)</f>
        <v/>
      </c>
      <c r="F70" s="11" t="str">
        <f>IF(A70="","",CATALOGO!S70)</f>
        <v/>
      </c>
      <c r="G70" s="15" t="str">
        <f>IF(A70="","",CATALOGO!R70)</f>
        <v/>
      </c>
      <c r="H70" s="12" t="str">
        <f>IF(A70="","",IF(COUNTIF(STOCK!$A$6:$A$105,A70)&lt;&gt;1,"SIN STOCK UNICO",INDEX(STOCK!$K$6:$K$105,MATCH(A70,STOCK!$A$6:$A$105,0))))</f>
        <v/>
      </c>
      <c r="I70" s="12" t="str">
        <f>IF(OR(A70="",COUNTIF(STOCK!$A$6:$A$105,A70)&lt;&gt;1),"",IF(INDEX(STOCK!$M$6:$M$105,MATCH(A70,STOCK!$A$6:$A$105,0))="","",INDEX(STOCK!$M$6:$M$105,MATCH(A70,STOCK!$A$6:$A$105,0))))</f>
        <v/>
      </c>
      <c r="J70" s="14" t="str">
        <f>IF(OR(A70="",COUNTIF(STOCK!$A$6:$A$105,A70)&lt;&gt;1),"",IF(INDEX(STOCK!$L$6:$L$105,MATCH(A70,STOCK!$A$6:$A$105,0))="","",INDEX(STOCK!$L$6:$L$105,MATCH(A70,STOCK!$A$6:$A$105,0))))</f>
        <v/>
      </c>
      <c r="K70" s="14" t="str">
        <f>IF(OR(A70="",COUNTIF(STOCK!$A$6:$A$105,A70)&lt;&gt;1),"",IF(INDEX(STOCK!$N$6:$N$105,MATCH(A70,STOCK!$A$6:$A$105,0))="","",INDEX(STOCK!$N$6:$N$105,MATCH(A70,STOCK!$A$6:$A$105,0))))</f>
        <v/>
      </c>
      <c r="L70" s="14" t="str">
        <f>IF(OR(A70="",COUNTIF(STOCK!$A$6:$A$105,A70)&lt;&gt;1),"",IF(INDEX(STOCK!$O$6:$O$105,MATCH(A70,STOCK!$A$6:$A$105,0))="","",INDEX(STOCK!$O$6:$O$105,MATCH(A70,STOCK!$A$6:$A$105,0))))</f>
        <v/>
      </c>
      <c r="M70" s="14" t="str">
        <f>IF(OR(A70="",COUNTIF(STOCK!$A$6:$A$105,A70)&lt;&gt;1),"",IF(INDEX(STOCK!$P$6:$P$105,MATCH(A70,STOCK!$A$6:$A$105,0))="","",INDEX(STOCK!$P$6:$P$105,MATCH(A70,STOCK!$A$6:$A$105,0))))</f>
        <v/>
      </c>
      <c r="N70" s="14" t="str">
        <f>IF(OR(A70="",COUNTIF(STOCK!$A$6:$A$105,A70)&lt;&gt;1),"",IF(INDEX(STOCK!$I$6:$I$105,MATCH(A70,STOCK!$A$6:$A$105,0))="","",INDEX(STOCK!$I$6:$I$105,MATCH(A70,STOCK!$A$6:$A$105,0))))</f>
        <v/>
      </c>
      <c r="O70" s="16" t="str">
        <f>IF(OR(A70="",COUNTIF(STOCK!$A$6:$A$105,A70)&lt;&gt;1),"",IF(INDEX(STOCK!$J$6:$J$105,MATCH(A70,STOCK!$A$6:$A$105,0))="","",INDEX(STOCK!$J$6:$J$105,MATCH(A70,STOCK!$A$6:$A$105,0))))</f>
        <v/>
      </c>
      <c r="P70" s="11" t="str">
        <f>IF(OR(A70="",COUNTIF(STOCK!$A$6:$A$105,A70)&lt;&gt;1),"",IF(INDEX(STOCK!$R$6:$R$105,MATCH(A70,STOCK!$A$6:$A$105,0))="","",INDEX(STOCK!$R$6:$R$105,MATCH(A70,STOCK!$A$6:$A$105,0))))</f>
        <v/>
      </c>
      <c r="Q70" s="12" t="str">
        <f t="shared" ref="Q70:Q105" si="6">IF(A70="","",IF(C70="PRELANZAMIENTO","REVISAR PRELANZAMIENTO",IF(C70="PAUSADO","SKU PAUSADO",IF(H70&lt;&gt;"ELEGIBLE","EVIDENCIA PENDIENTE",IF(M70&gt;0,"PROPUESTA CONDICIONAL","SIN COMPRA SUGERIDA")))))</f>
        <v/>
      </c>
      <c r="R70" s="17" t="str">
        <f t="shared" ref="R70:R105" si="7">IF(A70="","",IF(H70&lt;&gt;"ELEGIBLE","Se retiene la propuesta: "&amp;H70&amp;"."&amp;CHAR(10)&amp;"Blanco significa desconocido; resolver la evidencia antes de decidir.",IF(M70=0,"Disponible + tránsito elegible cubren el horizonte de lead + seguridad."&amp;CHAR(10)&amp;"Consumo diario: "&amp;TEXT(I70,"0.00")&amp;"; disponible: "&amp;TEXT(J70,"0")&amp;".","Necesidad neta: "&amp;TEXT(L70,"0")&amp;" unidades."&amp;CHAR(10)&amp;"MOQ y múltiplo elevan la propuesta a "&amp;TEXT(M70,"0")&amp;" unidades.")))</f>
        <v/>
      </c>
      <c r="S70" s="17" t="str">
        <f t="shared" ref="S70:S105" si="8">IF(A70="","",IF(H70&lt;&gt;"ELEGIBLE","Corregir o confirmar la evidencia señalada en STOCK / CONFIG; no comprar con esta hoja todavía.",IF(M70=0,"No elegir compra por reposición. Vigilar la siguiente semana y confirmar que la cobertura siga completa.","Revisar la propuesta; no es una orden."&amp;CHAR(10)&amp;"Si se decide comprar, capturar cantidad y fecha de pago en STOCK y revisar el piso de caja.")))</f>
        <v/>
      </c>
    </row>
    <row r="71" spans="1:19" ht="42" customHeight="1" x14ac:dyDescent="0.45">
      <c r="A71" s="12" t="str">
        <f>IF(CATALOGO!A71="","",CATALOGO!A71)</f>
        <v/>
      </c>
      <c r="B71" s="12" t="str">
        <f>IF(A71="","",CATALOGO!B71)</f>
        <v/>
      </c>
      <c r="C71" s="12" t="str">
        <f>IF(A71="","",CATALOGO!F71)</f>
        <v/>
      </c>
      <c r="D71" s="11" t="str">
        <f>IF(A71="","",CATALOGO!G71)</f>
        <v/>
      </c>
      <c r="E71" s="11" t="str">
        <f>IF(A71="","",CATALOGO!P71)</f>
        <v/>
      </c>
      <c r="F71" s="11" t="str">
        <f>IF(A71="","",CATALOGO!S71)</f>
        <v/>
      </c>
      <c r="G71" s="15" t="str">
        <f>IF(A71="","",CATALOGO!R71)</f>
        <v/>
      </c>
      <c r="H71" s="12" t="str">
        <f>IF(A71="","",IF(COUNTIF(STOCK!$A$6:$A$105,A71)&lt;&gt;1,"SIN STOCK UNICO",INDEX(STOCK!$K$6:$K$105,MATCH(A71,STOCK!$A$6:$A$105,0))))</f>
        <v/>
      </c>
      <c r="I71" s="12" t="str">
        <f>IF(OR(A71="",COUNTIF(STOCK!$A$6:$A$105,A71)&lt;&gt;1),"",IF(INDEX(STOCK!$M$6:$M$105,MATCH(A71,STOCK!$A$6:$A$105,0))="","",INDEX(STOCK!$M$6:$M$105,MATCH(A71,STOCK!$A$6:$A$105,0))))</f>
        <v/>
      </c>
      <c r="J71" s="14" t="str">
        <f>IF(OR(A71="",COUNTIF(STOCK!$A$6:$A$105,A71)&lt;&gt;1),"",IF(INDEX(STOCK!$L$6:$L$105,MATCH(A71,STOCK!$A$6:$A$105,0))="","",INDEX(STOCK!$L$6:$L$105,MATCH(A71,STOCK!$A$6:$A$105,0))))</f>
        <v/>
      </c>
      <c r="K71" s="14" t="str">
        <f>IF(OR(A71="",COUNTIF(STOCK!$A$6:$A$105,A71)&lt;&gt;1),"",IF(INDEX(STOCK!$N$6:$N$105,MATCH(A71,STOCK!$A$6:$A$105,0))="","",INDEX(STOCK!$N$6:$N$105,MATCH(A71,STOCK!$A$6:$A$105,0))))</f>
        <v/>
      </c>
      <c r="L71" s="14" t="str">
        <f>IF(OR(A71="",COUNTIF(STOCK!$A$6:$A$105,A71)&lt;&gt;1),"",IF(INDEX(STOCK!$O$6:$O$105,MATCH(A71,STOCK!$A$6:$A$105,0))="","",INDEX(STOCK!$O$6:$O$105,MATCH(A71,STOCK!$A$6:$A$105,0))))</f>
        <v/>
      </c>
      <c r="M71" s="14" t="str">
        <f>IF(OR(A71="",COUNTIF(STOCK!$A$6:$A$105,A71)&lt;&gt;1),"",IF(INDEX(STOCK!$P$6:$P$105,MATCH(A71,STOCK!$A$6:$A$105,0))="","",INDEX(STOCK!$P$6:$P$105,MATCH(A71,STOCK!$A$6:$A$105,0))))</f>
        <v/>
      </c>
      <c r="N71" s="14" t="str">
        <f>IF(OR(A71="",COUNTIF(STOCK!$A$6:$A$105,A71)&lt;&gt;1),"",IF(INDEX(STOCK!$I$6:$I$105,MATCH(A71,STOCK!$A$6:$A$105,0))="","",INDEX(STOCK!$I$6:$I$105,MATCH(A71,STOCK!$A$6:$A$105,0))))</f>
        <v/>
      </c>
      <c r="O71" s="16" t="str">
        <f>IF(OR(A71="",COUNTIF(STOCK!$A$6:$A$105,A71)&lt;&gt;1),"",IF(INDEX(STOCK!$J$6:$J$105,MATCH(A71,STOCK!$A$6:$A$105,0))="","",INDEX(STOCK!$J$6:$J$105,MATCH(A71,STOCK!$A$6:$A$105,0))))</f>
        <v/>
      </c>
      <c r="P71" s="11" t="str">
        <f>IF(OR(A71="",COUNTIF(STOCK!$A$6:$A$105,A71)&lt;&gt;1),"",IF(INDEX(STOCK!$R$6:$R$105,MATCH(A71,STOCK!$A$6:$A$105,0))="","",INDEX(STOCK!$R$6:$R$105,MATCH(A71,STOCK!$A$6:$A$105,0))))</f>
        <v/>
      </c>
      <c r="Q71" s="12" t="str">
        <f t="shared" si="6"/>
        <v/>
      </c>
      <c r="R71" s="17" t="str">
        <f t="shared" si="7"/>
        <v/>
      </c>
      <c r="S71" s="17" t="str">
        <f t="shared" si="8"/>
        <v/>
      </c>
    </row>
    <row r="72" spans="1:19" ht="42" customHeight="1" x14ac:dyDescent="0.45">
      <c r="A72" s="12" t="str">
        <f>IF(CATALOGO!A72="","",CATALOGO!A72)</f>
        <v/>
      </c>
      <c r="B72" s="12" t="str">
        <f>IF(A72="","",CATALOGO!B72)</f>
        <v/>
      </c>
      <c r="C72" s="12" t="str">
        <f>IF(A72="","",CATALOGO!F72)</f>
        <v/>
      </c>
      <c r="D72" s="11" t="str">
        <f>IF(A72="","",CATALOGO!G72)</f>
        <v/>
      </c>
      <c r="E72" s="11" t="str">
        <f>IF(A72="","",CATALOGO!P72)</f>
        <v/>
      </c>
      <c r="F72" s="11" t="str">
        <f>IF(A72="","",CATALOGO!S72)</f>
        <v/>
      </c>
      <c r="G72" s="15" t="str">
        <f>IF(A72="","",CATALOGO!R72)</f>
        <v/>
      </c>
      <c r="H72" s="12" t="str">
        <f>IF(A72="","",IF(COUNTIF(STOCK!$A$6:$A$105,A72)&lt;&gt;1,"SIN STOCK UNICO",INDEX(STOCK!$K$6:$K$105,MATCH(A72,STOCK!$A$6:$A$105,0))))</f>
        <v/>
      </c>
      <c r="I72" s="12" t="str">
        <f>IF(OR(A72="",COUNTIF(STOCK!$A$6:$A$105,A72)&lt;&gt;1),"",IF(INDEX(STOCK!$M$6:$M$105,MATCH(A72,STOCK!$A$6:$A$105,0))="","",INDEX(STOCK!$M$6:$M$105,MATCH(A72,STOCK!$A$6:$A$105,0))))</f>
        <v/>
      </c>
      <c r="J72" s="14" t="str">
        <f>IF(OR(A72="",COUNTIF(STOCK!$A$6:$A$105,A72)&lt;&gt;1),"",IF(INDEX(STOCK!$L$6:$L$105,MATCH(A72,STOCK!$A$6:$A$105,0))="","",INDEX(STOCK!$L$6:$L$105,MATCH(A72,STOCK!$A$6:$A$105,0))))</f>
        <v/>
      </c>
      <c r="K72" s="14" t="str">
        <f>IF(OR(A72="",COUNTIF(STOCK!$A$6:$A$105,A72)&lt;&gt;1),"",IF(INDEX(STOCK!$N$6:$N$105,MATCH(A72,STOCK!$A$6:$A$105,0))="","",INDEX(STOCK!$N$6:$N$105,MATCH(A72,STOCK!$A$6:$A$105,0))))</f>
        <v/>
      </c>
      <c r="L72" s="14" t="str">
        <f>IF(OR(A72="",COUNTIF(STOCK!$A$6:$A$105,A72)&lt;&gt;1),"",IF(INDEX(STOCK!$O$6:$O$105,MATCH(A72,STOCK!$A$6:$A$105,0))="","",INDEX(STOCK!$O$6:$O$105,MATCH(A72,STOCK!$A$6:$A$105,0))))</f>
        <v/>
      </c>
      <c r="M72" s="14" t="str">
        <f>IF(OR(A72="",COUNTIF(STOCK!$A$6:$A$105,A72)&lt;&gt;1),"",IF(INDEX(STOCK!$P$6:$P$105,MATCH(A72,STOCK!$A$6:$A$105,0))="","",INDEX(STOCK!$P$6:$P$105,MATCH(A72,STOCK!$A$6:$A$105,0))))</f>
        <v/>
      </c>
      <c r="N72" s="14" t="str">
        <f>IF(OR(A72="",COUNTIF(STOCK!$A$6:$A$105,A72)&lt;&gt;1),"",IF(INDEX(STOCK!$I$6:$I$105,MATCH(A72,STOCK!$A$6:$A$105,0))="","",INDEX(STOCK!$I$6:$I$105,MATCH(A72,STOCK!$A$6:$A$105,0))))</f>
        <v/>
      </c>
      <c r="O72" s="16" t="str">
        <f>IF(OR(A72="",COUNTIF(STOCK!$A$6:$A$105,A72)&lt;&gt;1),"",IF(INDEX(STOCK!$J$6:$J$105,MATCH(A72,STOCK!$A$6:$A$105,0))="","",INDEX(STOCK!$J$6:$J$105,MATCH(A72,STOCK!$A$6:$A$105,0))))</f>
        <v/>
      </c>
      <c r="P72" s="11" t="str">
        <f>IF(OR(A72="",COUNTIF(STOCK!$A$6:$A$105,A72)&lt;&gt;1),"",IF(INDEX(STOCK!$R$6:$R$105,MATCH(A72,STOCK!$A$6:$A$105,0))="","",INDEX(STOCK!$R$6:$R$105,MATCH(A72,STOCK!$A$6:$A$105,0))))</f>
        <v/>
      </c>
      <c r="Q72" s="12" t="str">
        <f t="shared" si="6"/>
        <v/>
      </c>
      <c r="R72" s="17" t="str">
        <f t="shared" si="7"/>
        <v/>
      </c>
      <c r="S72" s="17" t="str">
        <f t="shared" si="8"/>
        <v/>
      </c>
    </row>
    <row r="73" spans="1:19" ht="42" customHeight="1" x14ac:dyDescent="0.45">
      <c r="A73" s="12" t="str">
        <f>IF(CATALOGO!A73="","",CATALOGO!A73)</f>
        <v/>
      </c>
      <c r="B73" s="12" t="str">
        <f>IF(A73="","",CATALOGO!B73)</f>
        <v/>
      </c>
      <c r="C73" s="12" t="str">
        <f>IF(A73="","",CATALOGO!F73)</f>
        <v/>
      </c>
      <c r="D73" s="11" t="str">
        <f>IF(A73="","",CATALOGO!G73)</f>
        <v/>
      </c>
      <c r="E73" s="11" t="str">
        <f>IF(A73="","",CATALOGO!P73)</f>
        <v/>
      </c>
      <c r="F73" s="11" t="str">
        <f>IF(A73="","",CATALOGO!S73)</f>
        <v/>
      </c>
      <c r="G73" s="15" t="str">
        <f>IF(A73="","",CATALOGO!R73)</f>
        <v/>
      </c>
      <c r="H73" s="12" t="str">
        <f>IF(A73="","",IF(COUNTIF(STOCK!$A$6:$A$105,A73)&lt;&gt;1,"SIN STOCK UNICO",INDEX(STOCK!$K$6:$K$105,MATCH(A73,STOCK!$A$6:$A$105,0))))</f>
        <v/>
      </c>
      <c r="I73" s="12" t="str">
        <f>IF(OR(A73="",COUNTIF(STOCK!$A$6:$A$105,A73)&lt;&gt;1),"",IF(INDEX(STOCK!$M$6:$M$105,MATCH(A73,STOCK!$A$6:$A$105,0))="","",INDEX(STOCK!$M$6:$M$105,MATCH(A73,STOCK!$A$6:$A$105,0))))</f>
        <v/>
      </c>
      <c r="J73" s="14" t="str">
        <f>IF(OR(A73="",COUNTIF(STOCK!$A$6:$A$105,A73)&lt;&gt;1),"",IF(INDEX(STOCK!$L$6:$L$105,MATCH(A73,STOCK!$A$6:$A$105,0))="","",INDEX(STOCK!$L$6:$L$105,MATCH(A73,STOCK!$A$6:$A$105,0))))</f>
        <v/>
      </c>
      <c r="K73" s="14" t="str">
        <f>IF(OR(A73="",COUNTIF(STOCK!$A$6:$A$105,A73)&lt;&gt;1),"",IF(INDEX(STOCK!$N$6:$N$105,MATCH(A73,STOCK!$A$6:$A$105,0))="","",INDEX(STOCK!$N$6:$N$105,MATCH(A73,STOCK!$A$6:$A$105,0))))</f>
        <v/>
      </c>
      <c r="L73" s="14" t="str">
        <f>IF(OR(A73="",COUNTIF(STOCK!$A$6:$A$105,A73)&lt;&gt;1),"",IF(INDEX(STOCK!$O$6:$O$105,MATCH(A73,STOCK!$A$6:$A$105,0))="","",INDEX(STOCK!$O$6:$O$105,MATCH(A73,STOCK!$A$6:$A$105,0))))</f>
        <v/>
      </c>
      <c r="M73" s="14" t="str">
        <f>IF(OR(A73="",COUNTIF(STOCK!$A$6:$A$105,A73)&lt;&gt;1),"",IF(INDEX(STOCK!$P$6:$P$105,MATCH(A73,STOCK!$A$6:$A$105,0))="","",INDEX(STOCK!$P$6:$P$105,MATCH(A73,STOCK!$A$6:$A$105,0))))</f>
        <v/>
      </c>
      <c r="N73" s="14" t="str">
        <f>IF(OR(A73="",COUNTIF(STOCK!$A$6:$A$105,A73)&lt;&gt;1),"",IF(INDEX(STOCK!$I$6:$I$105,MATCH(A73,STOCK!$A$6:$A$105,0))="","",INDEX(STOCK!$I$6:$I$105,MATCH(A73,STOCK!$A$6:$A$105,0))))</f>
        <v/>
      </c>
      <c r="O73" s="16" t="str">
        <f>IF(OR(A73="",COUNTIF(STOCK!$A$6:$A$105,A73)&lt;&gt;1),"",IF(INDEX(STOCK!$J$6:$J$105,MATCH(A73,STOCK!$A$6:$A$105,0))="","",INDEX(STOCK!$J$6:$J$105,MATCH(A73,STOCK!$A$6:$A$105,0))))</f>
        <v/>
      </c>
      <c r="P73" s="11" t="str">
        <f>IF(OR(A73="",COUNTIF(STOCK!$A$6:$A$105,A73)&lt;&gt;1),"",IF(INDEX(STOCK!$R$6:$R$105,MATCH(A73,STOCK!$A$6:$A$105,0))="","",INDEX(STOCK!$R$6:$R$105,MATCH(A73,STOCK!$A$6:$A$105,0))))</f>
        <v/>
      </c>
      <c r="Q73" s="12" t="str">
        <f t="shared" si="6"/>
        <v/>
      </c>
      <c r="R73" s="17" t="str">
        <f t="shared" si="7"/>
        <v/>
      </c>
      <c r="S73" s="17" t="str">
        <f t="shared" si="8"/>
        <v/>
      </c>
    </row>
    <row r="74" spans="1:19" ht="42" customHeight="1" x14ac:dyDescent="0.45">
      <c r="A74" s="12" t="str">
        <f>IF(CATALOGO!A74="","",CATALOGO!A74)</f>
        <v/>
      </c>
      <c r="B74" s="12" t="str">
        <f>IF(A74="","",CATALOGO!B74)</f>
        <v/>
      </c>
      <c r="C74" s="12" t="str">
        <f>IF(A74="","",CATALOGO!F74)</f>
        <v/>
      </c>
      <c r="D74" s="11" t="str">
        <f>IF(A74="","",CATALOGO!G74)</f>
        <v/>
      </c>
      <c r="E74" s="11" t="str">
        <f>IF(A74="","",CATALOGO!P74)</f>
        <v/>
      </c>
      <c r="F74" s="11" t="str">
        <f>IF(A74="","",CATALOGO!S74)</f>
        <v/>
      </c>
      <c r="G74" s="15" t="str">
        <f>IF(A74="","",CATALOGO!R74)</f>
        <v/>
      </c>
      <c r="H74" s="12" t="str">
        <f>IF(A74="","",IF(COUNTIF(STOCK!$A$6:$A$105,A74)&lt;&gt;1,"SIN STOCK UNICO",INDEX(STOCK!$K$6:$K$105,MATCH(A74,STOCK!$A$6:$A$105,0))))</f>
        <v/>
      </c>
      <c r="I74" s="12" t="str">
        <f>IF(OR(A74="",COUNTIF(STOCK!$A$6:$A$105,A74)&lt;&gt;1),"",IF(INDEX(STOCK!$M$6:$M$105,MATCH(A74,STOCK!$A$6:$A$105,0))="","",INDEX(STOCK!$M$6:$M$105,MATCH(A74,STOCK!$A$6:$A$105,0))))</f>
        <v/>
      </c>
      <c r="J74" s="14" t="str">
        <f>IF(OR(A74="",COUNTIF(STOCK!$A$6:$A$105,A74)&lt;&gt;1),"",IF(INDEX(STOCK!$L$6:$L$105,MATCH(A74,STOCK!$A$6:$A$105,0))="","",INDEX(STOCK!$L$6:$L$105,MATCH(A74,STOCK!$A$6:$A$105,0))))</f>
        <v/>
      </c>
      <c r="K74" s="14" t="str">
        <f>IF(OR(A74="",COUNTIF(STOCK!$A$6:$A$105,A74)&lt;&gt;1),"",IF(INDEX(STOCK!$N$6:$N$105,MATCH(A74,STOCK!$A$6:$A$105,0))="","",INDEX(STOCK!$N$6:$N$105,MATCH(A74,STOCK!$A$6:$A$105,0))))</f>
        <v/>
      </c>
      <c r="L74" s="14" t="str">
        <f>IF(OR(A74="",COUNTIF(STOCK!$A$6:$A$105,A74)&lt;&gt;1),"",IF(INDEX(STOCK!$O$6:$O$105,MATCH(A74,STOCK!$A$6:$A$105,0))="","",INDEX(STOCK!$O$6:$O$105,MATCH(A74,STOCK!$A$6:$A$105,0))))</f>
        <v/>
      </c>
      <c r="M74" s="14" t="str">
        <f>IF(OR(A74="",COUNTIF(STOCK!$A$6:$A$105,A74)&lt;&gt;1),"",IF(INDEX(STOCK!$P$6:$P$105,MATCH(A74,STOCK!$A$6:$A$105,0))="","",INDEX(STOCK!$P$6:$P$105,MATCH(A74,STOCK!$A$6:$A$105,0))))</f>
        <v/>
      </c>
      <c r="N74" s="14" t="str">
        <f>IF(OR(A74="",COUNTIF(STOCK!$A$6:$A$105,A74)&lt;&gt;1),"",IF(INDEX(STOCK!$I$6:$I$105,MATCH(A74,STOCK!$A$6:$A$105,0))="","",INDEX(STOCK!$I$6:$I$105,MATCH(A74,STOCK!$A$6:$A$105,0))))</f>
        <v/>
      </c>
      <c r="O74" s="16" t="str">
        <f>IF(OR(A74="",COUNTIF(STOCK!$A$6:$A$105,A74)&lt;&gt;1),"",IF(INDEX(STOCK!$J$6:$J$105,MATCH(A74,STOCK!$A$6:$A$105,0))="","",INDEX(STOCK!$J$6:$J$105,MATCH(A74,STOCK!$A$6:$A$105,0))))</f>
        <v/>
      </c>
      <c r="P74" s="11" t="str">
        <f>IF(OR(A74="",COUNTIF(STOCK!$A$6:$A$105,A74)&lt;&gt;1),"",IF(INDEX(STOCK!$R$6:$R$105,MATCH(A74,STOCK!$A$6:$A$105,0))="","",INDEX(STOCK!$R$6:$R$105,MATCH(A74,STOCK!$A$6:$A$105,0))))</f>
        <v/>
      </c>
      <c r="Q74" s="12" t="str">
        <f t="shared" si="6"/>
        <v/>
      </c>
      <c r="R74" s="17" t="str">
        <f t="shared" si="7"/>
        <v/>
      </c>
      <c r="S74" s="17" t="str">
        <f t="shared" si="8"/>
        <v/>
      </c>
    </row>
    <row r="75" spans="1:19" ht="42" customHeight="1" x14ac:dyDescent="0.45">
      <c r="A75" s="12" t="str">
        <f>IF(CATALOGO!A75="","",CATALOGO!A75)</f>
        <v/>
      </c>
      <c r="B75" s="12" t="str">
        <f>IF(A75="","",CATALOGO!B75)</f>
        <v/>
      </c>
      <c r="C75" s="12" t="str">
        <f>IF(A75="","",CATALOGO!F75)</f>
        <v/>
      </c>
      <c r="D75" s="11" t="str">
        <f>IF(A75="","",CATALOGO!G75)</f>
        <v/>
      </c>
      <c r="E75" s="11" t="str">
        <f>IF(A75="","",CATALOGO!P75)</f>
        <v/>
      </c>
      <c r="F75" s="11" t="str">
        <f>IF(A75="","",CATALOGO!S75)</f>
        <v/>
      </c>
      <c r="G75" s="15" t="str">
        <f>IF(A75="","",CATALOGO!R75)</f>
        <v/>
      </c>
      <c r="H75" s="12" t="str">
        <f>IF(A75="","",IF(COUNTIF(STOCK!$A$6:$A$105,A75)&lt;&gt;1,"SIN STOCK UNICO",INDEX(STOCK!$K$6:$K$105,MATCH(A75,STOCK!$A$6:$A$105,0))))</f>
        <v/>
      </c>
      <c r="I75" s="12" t="str">
        <f>IF(OR(A75="",COUNTIF(STOCK!$A$6:$A$105,A75)&lt;&gt;1),"",IF(INDEX(STOCK!$M$6:$M$105,MATCH(A75,STOCK!$A$6:$A$105,0))="","",INDEX(STOCK!$M$6:$M$105,MATCH(A75,STOCK!$A$6:$A$105,0))))</f>
        <v/>
      </c>
      <c r="J75" s="14" t="str">
        <f>IF(OR(A75="",COUNTIF(STOCK!$A$6:$A$105,A75)&lt;&gt;1),"",IF(INDEX(STOCK!$L$6:$L$105,MATCH(A75,STOCK!$A$6:$A$105,0))="","",INDEX(STOCK!$L$6:$L$105,MATCH(A75,STOCK!$A$6:$A$105,0))))</f>
        <v/>
      </c>
      <c r="K75" s="14" t="str">
        <f>IF(OR(A75="",COUNTIF(STOCK!$A$6:$A$105,A75)&lt;&gt;1),"",IF(INDEX(STOCK!$N$6:$N$105,MATCH(A75,STOCK!$A$6:$A$105,0))="","",INDEX(STOCK!$N$6:$N$105,MATCH(A75,STOCK!$A$6:$A$105,0))))</f>
        <v/>
      </c>
      <c r="L75" s="14" t="str">
        <f>IF(OR(A75="",COUNTIF(STOCK!$A$6:$A$105,A75)&lt;&gt;1),"",IF(INDEX(STOCK!$O$6:$O$105,MATCH(A75,STOCK!$A$6:$A$105,0))="","",INDEX(STOCK!$O$6:$O$105,MATCH(A75,STOCK!$A$6:$A$105,0))))</f>
        <v/>
      </c>
      <c r="M75" s="14" t="str">
        <f>IF(OR(A75="",COUNTIF(STOCK!$A$6:$A$105,A75)&lt;&gt;1),"",IF(INDEX(STOCK!$P$6:$P$105,MATCH(A75,STOCK!$A$6:$A$105,0))="","",INDEX(STOCK!$P$6:$P$105,MATCH(A75,STOCK!$A$6:$A$105,0))))</f>
        <v/>
      </c>
      <c r="N75" s="14" t="str">
        <f>IF(OR(A75="",COUNTIF(STOCK!$A$6:$A$105,A75)&lt;&gt;1),"",IF(INDEX(STOCK!$I$6:$I$105,MATCH(A75,STOCK!$A$6:$A$105,0))="","",INDEX(STOCK!$I$6:$I$105,MATCH(A75,STOCK!$A$6:$A$105,0))))</f>
        <v/>
      </c>
      <c r="O75" s="16" t="str">
        <f>IF(OR(A75="",COUNTIF(STOCK!$A$6:$A$105,A75)&lt;&gt;1),"",IF(INDEX(STOCK!$J$6:$J$105,MATCH(A75,STOCK!$A$6:$A$105,0))="","",INDEX(STOCK!$J$6:$J$105,MATCH(A75,STOCK!$A$6:$A$105,0))))</f>
        <v/>
      </c>
      <c r="P75" s="11" t="str">
        <f>IF(OR(A75="",COUNTIF(STOCK!$A$6:$A$105,A75)&lt;&gt;1),"",IF(INDEX(STOCK!$R$6:$R$105,MATCH(A75,STOCK!$A$6:$A$105,0))="","",INDEX(STOCK!$R$6:$R$105,MATCH(A75,STOCK!$A$6:$A$105,0))))</f>
        <v/>
      </c>
      <c r="Q75" s="12" t="str">
        <f t="shared" si="6"/>
        <v/>
      </c>
      <c r="R75" s="17" t="str">
        <f t="shared" si="7"/>
        <v/>
      </c>
      <c r="S75" s="17" t="str">
        <f t="shared" si="8"/>
        <v/>
      </c>
    </row>
    <row r="76" spans="1:19" ht="42" customHeight="1" x14ac:dyDescent="0.45">
      <c r="A76" s="12" t="str">
        <f>IF(CATALOGO!A76="","",CATALOGO!A76)</f>
        <v/>
      </c>
      <c r="B76" s="12" t="str">
        <f>IF(A76="","",CATALOGO!B76)</f>
        <v/>
      </c>
      <c r="C76" s="12" t="str">
        <f>IF(A76="","",CATALOGO!F76)</f>
        <v/>
      </c>
      <c r="D76" s="11" t="str">
        <f>IF(A76="","",CATALOGO!G76)</f>
        <v/>
      </c>
      <c r="E76" s="11" t="str">
        <f>IF(A76="","",CATALOGO!P76)</f>
        <v/>
      </c>
      <c r="F76" s="11" t="str">
        <f>IF(A76="","",CATALOGO!S76)</f>
        <v/>
      </c>
      <c r="G76" s="15" t="str">
        <f>IF(A76="","",CATALOGO!R76)</f>
        <v/>
      </c>
      <c r="H76" s="12" t="str">
        <f>IF(A76="","",IF(COUNTIF(STOCK!$A$6:$A$105,A76)&lt;&gt;1,"SIN STOCK UNICO",INDEX(STOCK!$K$6:$K$105,MATCH(A76,STOCK!$A$6:$A$105,0))))</f>
        <v/>
      </c>
      <c r="I76" s="12" t="str">
        <f>IF(OR(A76="",COUNTIF(STOCK!$A$6:$A$105,A76)&lt;&gt;1),"",IF(INDEX(STOCK!$M$6:$M$105,MATCH(A76,STOCK!$A$6:$A$105,0))="","",INDEX(STOCK!$M$6:$M$105,MATCH(A76,STOCK!$A$6:$A$105,0))))</f>
        <v/>
      </c>
      <c r="J76" s="14" t="str">
        <f>IF(OR(A76="",COUNTIF(STOCK!$A$6:$A$105,A76)&lt;&gt;1),"",IF(INDEX(STOCK!$L$6:$L$105,MATCH(A76,STOCK!$A$6:$A$105,0))="","",INDEX(STOCK!$L$6:$L$105,MATCH(A76,STOCK!$A$6:$A$105,0))))</f>
        <v/>
      </c>
      <c r="K76" s="14" t="str">
        <f>IF(OR(A76="",COUNTIF(STOCK!$A$6:$A$105,A76)&lt;&gt;1),"",IF(INDEX(STOCK!$N$6:$N$105,MATCH(A76,STOCK!$A$6:$A$105,0))="","",INDEX(STOCK!$N$6:$N$105,MATCH(A76,STOCK!$A$6:$A$105,0))))</f>
        <v/>
      </c>
      <c r="L76" s="14" t="str">
        <f>IF(OR(A76="",COUNTIF(STOCK!$A$6:$A$105,A76)&lt;&gt;1),"",IF(INDEX(STOCK!$O$6:$O$105,MATCH(A76,STOCK!$A$6:$A$105,0))="","",INDEX(STOCK!$O$6:$O$105,MATCH(A76,STOCK!$A$6:$A$105,0))))</f>
        <v/>
      </c>
      <c r="M76" s="14" t="str">
        <f>IF(OR(A76="",COUNTIF(STOCK!$A$6:$A$105,A76)&lt;&gt;1),"",IF(INDEX(STOCK!$P$6:$P$105,MATCH(A76,STOCK!$A$6:$A$105,0))="","",INDEX(STOCK!$P$6:$P$105,MATCH(A76,STOCK!$A$6:$A$105,0))))</f>
        <v/>
      </c>
      <c r="N76" s="14" t="str">
        <f>IF(OR(A76="",COUNTIF(STOCK!$A$6:$A$105,A76)&lt;&gt;1),"",IF(INDEX(STOCK!$I$6:$I$105,MATCH(A76,STOCK!$A$6:$A$105,0))="","",INDEX(STOCK!$I$6:$I$105,MATCH(A76,STOCK!$A$6:$A$105,0))))</f>
        <v/>
      </c>
      <c r="O76" s="16" t="str">
        <f>IF(OR(A76="",COUNTIF(STOCK!$A$6:$A$105,A76)&lt;&gt;1),"",IF(INDEX(STOCK!$J$6:$J$105,MATCH(A76,STOCK!$A$6:$A$105,0))="","",INDEX(STOCK!$J$6:$J$105,MATCH(A76,STOCK!$A$6:$A$105,0))))</f>
        <v/>
      </c>
      <c r="P76" s="11" t="str">
        <f>IF(OR(A76="",COUNTIF(STOCK!$A$6:$A$105,A76)&lt;&gt;1),"",IF(INDEX(STOCK!$R$6:$R$105,MATCH(A76,STOCK!$A$6:$A$105,0))="","",INDEX(STOCK!$R$6:$R$105,MATCH(A76,STOCK!$A$6:$A$105,0))))</f>
        <v/>
      </c>
      <c r="Q76" s="12" t="str">
        <f t="shared" si="6"/>
        <v/>
      </c>
      <c r="R76" s="17" t="str">
        <f t="shared" si="7"/>
        <v/>
      </c>
      <c r="S76" s="17" t="str">
        <f t="shared" si="8"/>
        <v/>
      </c>
    </row>
    <row r="77" spans="1:19" ht="42" customHeight="1" x14ac:dyDescent="0.45">
      <c r="A77" s="12" t="str">
        <f>IF(CATALOGO!A77="","",CATALOGO!A77)</f>
        <v/>
      </c>
      <c r="B77" s="12" t="str">
        <f>IF(A77="","",CATALOGO!B77)</f>
        <v/>
      </c>
      <c r="C77" s="12" t="str">
        <f>IF(A77="","",CATALOGO!F77)</f>
        <v/>
      </c>
      <c r="D77" s="11" t="str">
        <f>IF(A77="","",CATALOGO!G77)</f>
        <v/>
      </c>
      <c r="E77" s="11" t="str">
        <f>IF(A77="","",CATALOGO!P77)</f>
        <v/>
      </c>
      <c r="F77" s="11" t="str">
        <f>IF(A77="","",CATALOGO!S77)</f>
        <v/>
      </c>
      <c r="G77" s="15" t="str">
        <f>IF(A77="","",CATALOGO!R77)</f>
        <v/>
      </c>
      <c r="H77" s="12" t="str">
        <f>IF(A77="","",IF(COUNTIF(STOCK!$A$6:$A$105,A77)&lt;&gt;1,"SIN STOCK UNICO",INDEX(STOCK!$K$6:$K$105,MATCH(A77,STOCK!$A$6:$A$105,0))))</f>
        <v/>
      </c>
      <c r="I77" s="12" t="str">
        <f>IF(OR(A77="",COUNTIF(STOCK!$A$6:$A$105,A77)&lt;&gt;1),"",IF(INDEX(STOCK!$M$6:$M$105,MATCH(A77,STOCK!$A$6:$A$105,0))="","",INDEX(STOCK!$M$6:$M$105,MATCH(A77,STOCK!$A$6:$A$105,0))))</f>
        <v/>
      </c>
      <c r="J77" s="14" t="str">
        <f>IF(OR(A77="",COUNTIF(STOCK!$A$6:$A$105,A77)&lt;&gt;1),"",IF(INDEX(STOCK!$L$6:$L$105,MATCH(A77,STOCK!$A$6:$A$105,0))="","",INDEX(STOCK!$L$6:$L$105,MATCH(A77,STOCK!$A$6:$A$105,0))))</f>
        <v/>
      </c>
      <c r="K77" s="14" t="str">
        <f>IF(OR(A77="",COUNTIF(STOCK!$A$6:$A$105,A77)&lt;&gt;1),"",IF(INDEX(STOCK!$N$6:$N$105,MATCH(A77,STOCK!$A$6:$A$105,0))="","",INDEX(STOCK!$N$6:$N$105,MATCH(A77,STOCK!$A$6:$A$105,0))))</f>
        <v/>
      </c>
      <c r="L77" s="14" t="str">
        <f>IF(OR(A77="",COUNTIF(STOCK!$A$6:$A$105,A77)&lt;&gt;1),"",IF(INDEX(STOCK!$O$6:$O$105,MATCH(A77,STOCK!$A$6:$A$105,0))="","",INDEX(STOCK!$O$6:$O$105,MATCH(A77,STOCK!$A$6:$A$105,0))))</f>
        <v/>
      </c>
      <c r="M77" s="14" t="str">
        <f>IF(OR(A77="",COUNTIF(STOCK!$A$6:$A$105,A77)&lt;&gt;1),"",IF(INDEX(STOCK!$P$6:$P$105,MATCH(A77,STOCK!$A$6:$A$105,0))="","",INDEX(STOCK!$P$6:$P$105,MATCH(A77,STOCK!$A$6:$A$105,0))))</f>
        <v/>
      </c>
      <c r="N77" s="14" t="str">
        <f>IF(OR(A77="",COUNTIF(STOCK!$A$6:$A$105,A77)&lt;&gt;1),"",IF(INDEX(STOCK!$I$6:$I$105,MATCH(A77,STOCK!$A$6:$A$105,0))="","",INDEX(STOCK!$I$6:$I$105,MATCH(A77,STOCK!$A$6:$A$105,0))))</f>
        <v/>
      </c>
      <c r="O77" s="16" t="str">
        <f>IF(OR(A77="",COUNTIF(STOCK!$A$6:$A$105,A77)&lt;&gt;1),"",IF(INDEX(STOCK!$J$6:$J$105,MATCH(A77,STOCK!$A$6:$A$105,0))="","",INDEX(STOCK!$J$6:$J$105,MATCH(A77,STOCK!$A$6:$A$105,0))))</f>
        <v/>
      </c>
      <c r="P77" s="11" t="str">
        <f>IF(OR(A77="",COUNTIF(STOCK!$A$6:$A$105,A77)&lt;&gt;1),"",IF(INDEX(STOCK!$R$6:$R$105,MATCH(A77,STOCK!$A$6:$A$105,0))="","",INDEX(STOCK!$R$6:$R$105,MATCH(A77,STOCK!$A$6:$A$105,0))))</f>
        <v/>
      </c>
      <c r="Q77" s="12" t="str">
        <f t="shared" si="6"/>
        <v/>
      </c>
      <c r="R77" s="17" t="str">
        <f t="shared" si="7"/>
        <v/>
      </c>
      <c r="S77" s="17" t="str">
        <f t="shared" si="8"/>
        <v/>
      </c>
    </row>
    <row r="78" spans="1:19" ht="42" customHeight="1" x14ac:dyDescent="0.45">
      <c r="A78" s="12" t="str">
        <f>IF(CATALOGO!A78="","",CATALOGO!A78)</f>
        <v/>
      </c>
      <c r="B78" s="12" t="str">
        <f>IF(A78="","",CATALOGO!B78)</f>
        <v/>
      </c>
      <c r="C78" s="12" t="str">
        <f>IF(A78="","",CATALOGO!F78)</f>
        <v/>
      </c>
      <c r="D78" s="11" t="str">
        <f>IF(A78="","",CATALOGO!G78)</f>
        <v/>
      </c>
      <c r="E78" s="11" t="str">
        <f>IF(A78="","",CATALOGO!P78)</f>
        <v/>
      </c>
      <c r="F78" s="11" t="str">
        <f>IF(A78="","",CATALOGO!S78)</f>
        <v/>
      </c>
      <c r="G78" s="15" t="str">
        <f>IF(A78="","",CATALOGO!R78)</f>
        <v/>
      </c>
      <c r="H78" s="12" t="str">
        <f>IF(A78="","",IF(COUNTIF(STOCK!$A$6:$A$105,A78)&lt;&gt;1,"SIN STOCK UNICO",INDEX(STOCK!$K$6:$K$105,MATCH(A78,STOCK!$A$6:$A$105,0))))</f>
        <v/>
      </c>
      <c r="I78" s="12" t="str">
        <f>IF(OR(A78="",COUNTIF(STOCK!$A$6:$A$105,A78)&lt;&gt;1),"",IF(INDEX(STOCK!$M$6:$M$105,MATCH(A78,STOCK!$A$6:$A$105,0))="","",INDEX(STOCK!$M$6:$M$105,MATCH(A78,STOCK!$A$6:$A$105,0))))</f>
        <v/>
      </c>
      <c r="J78" s="14" t="str">
        <f>IF(OR(A78="",COUNTIF(STOCK!$A$6:$A$105,A78)&lt;&gt;1),"",IF(INDEX(STOCK!$L$6:$L$105,MATCH(A78,STOCK!$A$6:$A$105,0))="","",INDEX(STOCK!$L$6:$L$105,MATCH(A78,STOCK!$A$6:$A$105,0))))</f>
        <v/>
      </c>
      <c r="K78" s="14" t="str">
        <f>IF(OR(A78="",COUNTIF(STOCK!$A$6:$A$105,A78)&lt;&gt;1),"",IF(INDEX(STOCK!$N$6:$N$105,MATCH(A78,STOCK!$A$6:$A$105,0))="","",INDEX(STOCK!$N$6:$N$105,MATCH(A78,STOCK!$A$6:$A$105,0))))</f>
        <v/>
      </c>
      <c r="L78" s="14" t="str">
        <f>IF(OR(A78="",COUNTIF(STOCK!$A$6:$A$105,A78)&lt;&gt;1),"",IF(INDEX(STOCK!$O$6:$O$105,MATCH(A78,STOCK!$A$6:$A$105,0))="","",INDEX(STOCK!$O$6:$O$105,MATCH(A78,STOCK!$A$6:$A$105,0))))</f>
        <v/>
      </c>
      <c r="M78" s="14" t="str">
        <f>IF(OR(A78="",COUNTIF(STOCK!$A$6:$A$105,A78)&lt;&gt;1),"",IF(INDEX(STOCK!$P$6:$P$105,MATCH(A78,STOCK!$A$6:$A$105,0))="","",INDEX(STOCK!$P$6:$P$105,MATCH(A78,STOCK!$A$6:$A$105,0))))</f>
        <v/>
      </c>
      <c r="N78" s="14" t="str">
        <f>IF(OR(A78="",COUNTIF(STOCK!$A$6:$A$105,A78)&lt;&gt;1),"",IF(INDEX(STOCK!$I$6:$I$105,MATCH(A78,STOCK!$A$6:$A$105,0))="","",INDEX(STOCK!$I$6:$I$105,MATCH(A78,STOCK!$A$6:$A$105,0))))</f>
        <v/>
      </c>
      <c r="O78" s="16" t="str">
        <f>IF(OR(A78="",COUNTIF(STOCK!$A$6:$A$105,A78)&lt;&gt;1),"",IF(INDEX(STOCK!$J$6:$J$105,MATCH(A78,STOCK!$A$6:$A$105,0))="","",INDEX(STOCK!$J$6:$J$105,MATCH(A78,STOCK!$A$6:$A$105,0))))</f>
        <v/>
      </c>
      <c r="P78" s="11" t="str">
        <f>IF(OR(A78="",COUNTIF(STOCK!$A$6:$A$105,A78)&lt;&gt;1),"",IF(INDEX(STOCK!$R$6:$R$105,MATCH(A78,STOCK!$A$6:$A$105,0))="","",INDEX(STOCK!$R$6:$R$105,MATCH(A78,STOCK!$A$6:$A$105,0))))</f>
        <v/>
      </c>
      <c r="Q78" s="12" t="str">
        <f t="shared" si="6"/>
        <v/>
      </c>
      <c r="R78" s="17" t="str">
        <f t="shared" si="7"/>
        <v/>
      </c>
      <c r="S78" s="17" t="str">
        <f t="shared" si="8"/>
        <v/>
      </c>
    </row>
    <row r="79" spans="1:19" ht="42" customHeight="1" x14ac:dyDescent="0.45">
      <c r="A79" s="12" t="str">
        <f>IF(CATALOGO!A79="","",CATALOGO!A79)</f>
        <v/>
      </c>
      <c r="B79" s="12" t="str">
        <f>IF(A79="","",CATALOGO!B79)</f>
        <v/>
      </c>
      <c r="C79" s="12" t="str">
        <f>IF(A79="","",CATALOGO!F79)</f>
        <v/>
      </c>
      <c r="D79" s="11" t="str">
        <f>IF(A79="","",CATALOGO!G79)</f>
        <v/>
      </c>
      <c r="E79" s="11" t="str">
        <f>IF(A79="","",CATALOGO!P79)</f>
        <v/>
      </c>
      <c r="F79" s="11" t="str">
        <f>IF(A79="","",CATALOGO!S79)</f>
        <v/>
      </c>
      <c r="G79" s="15" t="str">
        <f>IF(A79="","",CATALOGO!R79)</f>
        <v/>
      </c>
      <c r="H79" s="12" t="str">
        <f>IF(A79="","",IF(COUNTIF(STOCK!$A$6:$A$105,A79)&lt;&gt;1,"SIN STOCK UNICO",INDEX(STOCK!$K$6:$K$105,MATCH(A79,STOCK!$A$6:$A$105,0))))</f>
        <v/>
      </c>
      <c r="I79" s="12" t="str">
        <f>IF(OR(A79="",COUNTIF(STOCK!$A$6:$A$105,A79)&lt;&gt;1),"",IF(INDEX(STOCK!$M$6:$M$105,MATCH(A79,STOCK!$A$6:$A$105,0))="","",INDEX(STOCK!$M$6:$M$105,MATCH(A79,STOCK!$A$6:$A$105,0))))</f>
        <v/>
      </c>
      <c r="J79" s="14" t="str">
        <f>IF(OR(A79="",COUNTIF(STOCK!$A$6:$A$105,A79)&lt;&gt;1),"",IF(INDEX(STOCK!$L$6:$L$105,MATCH(A79,STOCK!$A$6:$A$105,0))="","",INDEX(STOCK!$L$6:$L$105,MATCH(A79,STOCK!$A$6:$A$105,0))))</f>
        <v/>
      </c>
      <c r="K79" s="14" t="str">
        <f>IF(OR(A79="",COUNTIF(STOCK!$A$6:$A$105,A79)&lt;&gt;1),"",IF(INDEX(STOCK!$N$6:$N$105,MATCH(A79,STOCK!$A$6:$A$105,0))="","",INDEX(STOCK!$N$6:$N$105,MATCH(A79,STOCK!$A$6:$A$105,0))))</f>
        <v/>
      </c>
      <c r="L79" s="14" t="str">
        <f>IF(OR(A79="",COUNTIF(STOCK!$A$6:$A$105,A79)&lt;&gt;1),"",IF(INDEX(STOCK!$O$6:$O$105,MATCH(A79,STOCK!$A$6:$A$105,0))="","",INDEX(STOCK!$O$6:$O$105,MATCH(A79,STOCK!$A$6:$A$105,0))))</f>
        <v/>
      </c>
      <c r="M79" s="14" t="str">
        <f>IF(OR(A79="",COUNTIF(STOCK!$A$6:$A$105,A79)&lt;&gt;1),"",IF(INDEX(STOCK!$P$6:$P$105,MATCH(A79,STOCK!$A$6:$A$105,0))="","",INDEX(STOCK!$P$6:$P$105,MATCH(A79,STOCK!$A$6:$A$105,0))))</f>
        <v/>
      </c>
      <c r="N79" s="14" t="str">
        <f>IF(OR(A79="",COUNTIF(STOCK!$A$6:$A$105,A79)&lt;&gt;1),"",IF(INDEX(STOCK!$I$6:$I$105,MATCH(A79,STOCK!$A$6:$A$105,0))="","",INDEX(STOCK!$I$6:$I$105,MATCH(A79,STOCK!$A$6:$A$105,0))))</f>
        <v/>
      </c>
      <c r="O79" s="16" t="str">
        <f>IF(OR(A79="",COUNTIF(STOCK!$A$6:$A$105,A79)&lt;&gt;1),"",IF(INDEX(STOCK!$J$6:$J$105,MATCH(A79,STOCK!$A$6:$A$105,0))="","",INDEX(STOCK!$J$6:$J$105,MATCH(A79,STOCK!$A$6:$A$105,0))))</f>
        <v/>
      </c>
      <c r="P79" s="11" t="str">
        <f>IF(OR(A79="",COUNTIF(STOCK!$A$6:$A$105,A79)&lt;&gt;1),"",IF(INDEX(STOCK!$R$6:$R$105,MATCH(A79,STOCK!$A$6:$A$105,0))="","",INDEX(STOCK!$R$6:$R$105,MATCH(A79,STOCK!$A$6:$A$105,0))))</f>
        <v/>
      </c>
      <c r="Q79" s="12" t="str">
        <f t="shared" si="6"/>
        <v/>
      </c>
      <c r="R79" s="17" t="str">
        <f t="shared" si="7"/>
        <v/>
      </c>
      <c r="S79" s="17" t="str">
        <f t="shared" si="8"/>
        <v/>
      </c>
    </row>
    <row r="80" spans="1:19" ht="42" customHeight="1" x14ac:dyDescent="0.45">
      <c r="A80" s="12" t="str">
        <f>IF(CATALOGO!A80="","",CATALOGO!A80)</f>
        <v/>
      </c>
      <c r="B80" s="12" t="str">
        <f>IF(A80="","",CATALOGO!B80)</f>
        <v/>
      </c>
      <c r="C80" s="12" t="str">
        <f>IF(A80="","",CATALOGO!F80)</f>
        <v/>
      </c>
      <c r="D80" s="11" t="str">
        <f>IF(A80="","",CATALOGO!G80)</f>
        <v/>
      </c>
      <c r="E80" s="11" t="str">
        <f>IF(A80="","",CATALOGO!P80)</f>
        <v/>
      </c>
      <c r="F80" s="11" t="str">
        <f>IF(A80="","",CATALOGO!S80)</f>
        <v/>
      </c>
      <c r="G80" s="15" t="str">
        <f>IF(A80="","",CATALOGO!R80)</f>
        <v/>
      </c>
      <c r="H80" s="12" t="str">
        <f>IF(A80="","",IF(COUNTIF(STOCK!$A$6:$A$105,A80)&lt;&gt;1,"SIN STOCK UNICO",INDEX(STOCK!$K$6:$K$105,MATCH(A80,STOCK!$A$6:$A$105,0))))</f>
        <v/>
      </c>
      <c r="I80" s="12" t="str">
        <f>IF(OR(A80="",COUNTIF(STOCK!$A$6:$A$105,A80)&lt;&gt;1),"",IF(INDEX(STOCK!$M$6:$M$105,MATCH(A80,STOCK!$A$6:$A$105,0))="","",INDEX(STOCK!$M$6:$M$105,MATCH(A80,STOCK!$A$6:$A$105,0))))</f>
        <v/>
      </c>
      <c r="J80" s="14" t="str">
        <f>IF(OR(A80="",COUNTIF(STOCK!$A$6:$A$105,A80)&lt;&gt;1),"",IF(INDEX(STOCK!$L$6:$L$105,MATCH(A80,STOCK!$A$6:$A$105,0))="","",INDEX(STOCK!$L$6:$L$105,MATCH(A80,STOCK!$A$6:$A$105,0))))</f>
        <v/>
      </c>
      <c r="K80" s="14" t="str">
        <f>IF(OR(A80="",COUNTIF(STOCK!$A$6:$A$105,A80)&lt;&gt;1),"",IF(INDEX(STOCK!$N$6:$N$105,MATCH(A80,STOCK!$A$6:$A$105,0))="","",INDEX(STOCK!$N$6:$N$105,MATCH(A80,STOCK!$A$6:$A$105,0))))</f>
        <v/>
      </c>
      <c r="L80" s="14" t="str">
        <f>IF(OR(A80="",COUNTIF(STOCK!$A$6:$A$105,A80)&lt;&gt;1),"",IF(INDEX(STOCK!$O$6:$O$105,MATCH(A80,STOCK!$A$6:$A$105,0))="","",INDEX(STOCK!$O$6:$O$105,MATCH(A80,STOCK!$A$6:$A$105,0))))</f>
        <v/>
      </c>
      <c r="M80" s="14" t="str">
        <f>IF(OR(A80="",COUNTIF(STOCK!$A$6:$A$105,A80)&lt;&gt;1),"",IF(INDEX(STOCK!$P$6:$P$105,MATCH(A80,STOCK!$A$6:$A$105,0))="","",INDEX(STOCK!$P$6:$P$105,MATCH(A80,STOCK!$A$6:$A$105,0))))</f>
        <v/>
      </c>
      <c r="N80" s="14" t="str">
        <f>IF(OR(A80="",COUNTIF(STOCK!$A$6:$A$105,A80)&lt;&gt;1),"",IF(INDEX(STOCK!$I$6:$I$105,MATCH(A80,STOCK!$A$6:$A$105,0))="","",INDEX(STOCK!$I$6:$I$105,MATCH(A80,STOCK!$A$6:$A$105,0))))</f>
        <v/>
      </c>
      <c r="O80" s="16" t="str">
        <f>IF(OR(A80="",COUNTIF(STOCK!$A$6:$A$105,A80)&lt;&gt;1),"",IF(INDEX(STOCK!$J$6:$J$105,MATCH(A80,STOCK!$A$6:$A$105,0))="","",INDEX(STOCK!$J$6:$J$105,MATCH(A80,STOCK!$A$6:$A$105,0))))</f>
        <v/>
      </c>
      <c r="P80" s="11" t="str">
        <f>IF(OR(A80="",COUNTIF(STOCK!$A$6:$A$105,A80)&lt;&gt;1),"",IF(INDEX(STOCK!$R$6:$R$105,MATCH(A80,STOCK!$A$6:$A$105,0))="","",INDEX(STOCK!$R$6:$R$105,MATCH(A80,STOCK!$A$6:$A$105,0))))</f>
        <v/>
      </c>
      <c r="Q80" s="12" t="str">
        <f t="shared" si="6"/>
        <v/>
      </c>
      <c r="R80" s="17" t="str">
        <f t="shared" si="7"/>
        <v/>
      </c>
      <c r="S80" s="17" t="str">
        <f t="shared" si="8"/>
        <v/>
      </c>
    </row>
    <row r="81" spans="1:19" ht="42" customHeight="1" x14ac:dyDescent="0.45">
      <c r="A81" s="12" t="str">
        <f>IF(CATALOGO!A81="","",CATALOGO!A81)</f>
        <v/>
      </c>
      <c r="B81" s="12" t="str">
        <f>IF(A81="","",CATALOGO!B81)</f>
        <v/>
      </c>
      <c r="C81" s="12" t="str">
        <f>IF(A81="","",CATALOGO!F81)</f>
        <v/>
      </c>
      <c r="D81" s="11" t="str">
        <f>IF(A81="","",CATALOGO!G81)</f>
        <v/>
      </c>
      <c r="E81" s="11" t="str">
        <f>IF(A81="","",CATALOGO!P81)</f>
        <v/>
      </c>
      <c r="F81" s="11" t="str">
        <f>IF(A81="","",CATALOGO!S81)</f>
        <v/>
      </c>
      <c r="G81" s="15" t="str">
        <f>IF(A81="","",CATALOGO!R81)</f>
        <v/>
      </c>
      <c r="H81" s="12" t="str">
        <f>IF(A81="","",IF(COUNTIF(STOCK!$A$6:$A$105,A81)&lt;&gt;1,"SIN STOCK UNICO",INDEX(STOCK!$K$6:$K$105,MATCH(A81,STOCK!$A$6:$A$105,0))))</f>
        <v/>
      </c>
      <c r="I81" s="12" t="str">
        <f>IF(OR(A81="",COUNTIF(STOCK!$A$6:$A$105,A81)&lt;&gt;1),"",IF(INDEX(STOCK!$M$6:$M$105,MATCH(A81,STOCK!$A$6:$A$105,0))="","",INDEX(STOCK!$M$6:$M$105,MATCH(A81,STOCK!$A$6:$A$105,0))))</f>
        <v/>
      </c>
      <c r="J81" s="14" t="str">
        <f>IF(OR(A81="",COUNTIF(STOCK!$A$6:$A$105,A81)&lt;&gt;1),"",IF(INDEX(STOCK!$L$6:$L$105,MATCH(A81,STOCK!$A$6:$A$105,0))="","",INDEX(STOCK!$L$6:$L$105,MATCH(A81,STOCK!$A$6:$A$105,0))))</f>
        <v/>
      </c>
      <c r="K81" s="14" t="str">
        <f>IF(OR(A81="",COUNTIF(STOCK!$A$6:$A$105,A81)&lt;&gt;1),"",IF(INDEX(STOCK!$N$6:$N$105,MATCH(A81,STOCK!$A$6:$A$105,0))="","",INDEX(STOCK!$N$6:$N$105,MATCH(A81,STOCK!$A$6:$A$105,0))))</f>
        <v/>
      </c>
      <c r="L81" s="14" t="str">
        <f>IF(OR(A81="",COUNTIF(STOCK!$A$6:$A$105,A81)&lt;&gt;1),"",IF(INDEX(STOCK!$O$6:$O$105,MATCH(A81,STOCK!$A$6:$A$105,0))="","",INDEX(STOCK!$O$6:$O$105,MATCH(A81,STOCK!$A$6:$A$105,0))))</f>
        <v/>
      </c>
      <c r="M81" s="14" t="str">
        <f>IF(OR(A81="",COUNTIF(STOCK!$A$6:$A$105,A81)&lt;&gt;1),"",IF(INDEX(STOCK!$P$6:$P$105,MATCH(A81,STOCK!$A$6:$A$105,0))="","",INDEX(STOCK!$P$6:$P$105,MATCH(A81,STOCK!$A$6:$A$105,0))))</f>
        <v/>
      </c>
      <c r="N81" s="14" t="str">
        <f>IF(OR(A81="",COUNTIF(STOCK!$A$6:$A$105,A81)&lt;&gt;1),"",IF(INDEX(STOCK!$I$6:$I$105,MATCH(A81,STOCK!$A$6:$A$105,0))="","",INDEX(STOCK!$I$6:$I$105,MATCH(A81,STOCK!$A$6:$A$105,0))))</f>
        <v/>
      </c>
      <c r="O81" s="16" t="str">
        <f>IF(OR(A81="",COUNTIF(STOCK!$A$6:$A$105,A81)&lt;&gt;1),"",IF(INDEX(STOCK!$J$6:$J$105,MATCH(A81,STOCK!$A$6:$A$105,0))="","",INDEX(STOCK!$J$6:$J$105,MATCH(A81,STOCK!$A$6:$A$105,0))))</f>
        <v/>
      </c>
      <c r="P81" s="11" t="str">
        <f>IF(OR(A81="",COUNTIF(STOCK!$A$6:$A$105,A81)&lt;&gt;1),"",IF(INDEX(STOCK!$R$6:$R$105,MATCH(A81,STOCK!$A$6:$A$105,0))="","",INDEX(STOCK!$R$6:$R$105,MATCH(A81,STOCK!$A$6:$A$105,0))))</f>
        <v/>
      </c>
      <c r="Q81" s="12" t="str">
        <f t="shared" si="6"/>
        <v/>
      </c>
      <c r="R81" s="17" t="str">
        <f t="shared" si="7"/>
        <v/>
      </c>
      <c r="S81" s="17" t="str">
        <f t="shared" si="8"/>
        <v/>
      </c>
    </row>
    <row r="82" spans="1:19" ht="42" customHeight="1" x14ac:dyDescent="0.45">
      <c r="A82" s="12" t="str">
        <f>IF(CATALOGO!A82="","",CATALOGO!A82)</f>
        <v/>
      </c>
      <c r="B82" s="12" t="str">
        <f>IF(A82="","",CATALOGO!B82)</f>
        <v/>
      </c>
      <c r="C82" s="12" t="str">
        <f>IF(A82="","",CATALOGO!F82)</f>
        <v/>
      </c>
      <c r="D82" s="11" t="str">
        <f>IF(A82="","",CATALOGO!G82)</f>
        <v/>
      </c>
      <c r="E82" s="11" t="str">
        <f>IF(A82="","",CATALOGO!P82)</f>
        <v/>
      </c>
      <c r="F82" s="11" t="str">
        <f>IF(A82="","",CATALOGO!S82)</f>
        <v/>
      </c>
      <c r="G82" s="15" t="str">
        <f>IF(A82="","",CATALOGO!R82)</f>
        <v/>
      </c>
      <c r="H82" s="12" t="str">
        <f>IF(A82="","",IF(COUNTIF(STOCK!$A$6:$A$105,A82)&lt;&gt;1,"SIN STOCK UNICO",INDEX(STOCK!$K$6:$K$105,MATCH(A82,STOCK!$A$6:$A$105,0))))</f>
        <v/>
      </c>
      <c r="I82" s="12" t="str">
        <f>IF(OR(A82="",COUNTIF(STOCK!$A$6:$A$105,A82)&lt;&gt;1),"",IF(INDEX(STOCK!$M$6:$M$105,MATCH(A82,STOCK!$A$6:$A$105,0))="","",INDEX(STOCK!$M$6:$M$105,MATCH(A82,STOCK!$A$6:$A$105,0))))</f>
        <v/>
      </c>
      <c r="J82" s="14" t="str">
        <f>IF(OR(A82="",COUNTIF(STOCK!$A$6:$A$105,A82)&lt;&gt;1),"",IF(INDEX(STOCK!$L$6:$L$105,MATCH(A82,STOCK!$A$6:$A$105,0))="","",INDEX(STOCK!$L$6:$L$105,MATCH(A82,STOCK!$A$6:$A$105,0))))</f>
        <v/>
      </c>
      <c r="K82" s="14" t="str">
        <f>IF(OR(A82="",COUNTIF(STOCK!$A$6:$A$105,A82)&lt;&gt;1),"",IF(INDEX(STOCK!$N$6:$N$105,MATCH(A82,STOCK!$A$6:$A$105,0))="","",INDEX(STOCK!$N$6:$N$105,MATCH(A82,STOCK!$A$6:$A$105,0))))</f>
        <v/>
      </c>
      <c r="L82" s="14" t="str">
        <f>IF(OR(A82="",COUNTIF(STOCK!$A$6:$A$105,A82)&lt;&gt;1),"",IF(INDEX(STOCK!$O$6:$O$105,MATCH(A82,STOCK!$A$6:$A$105,0))="","",INDEX(STOCK!$O$6:$O$105,MATCH(A82,STOCK!$A$6:$A$105,0))))</f>
        <v/>
      </c>
      <c r="M82" s="14" t="str">
        <f>IF(OR(A82="",COUNTIF(STOCK!$A$6:$A$105,A82)&lt;&gt;1),"",IF(INDEX(STOCK!$P$6:$P$105,MATCH(A82,STOCK!$A$6:$A$105,0))="","",INDEX(STOCK!$P$6:$P$105,MATCH(A82,STOCK!$A$6:$A$105,0))))</f>
        <v/>
      </c>
      <c r="N82" s="14" t="str">
        <f>IF(OR(A82="",COUNTIF(STOCK!$A$6:$A$105,A82)&lt;&gt;1),"",IF(INDEX(STOCK!$I$6:$I$105,MATCH(A82,STOCK!$A$6:$A$105,0))="","",INDEX(STOCK!$I$6:$I$105,MATCH(A82,STOCK!$A$6:$A$105,0))))</f>
        <v/>
      </c>
      <c r="O82" s="16" t="str">
        <f>IF(OR(A82="",COUNTIF(STOCK!$A$6:$A$105,A82)&lt;&gt;1),"",IF(INDEX(STOCK!$J$6:$J$105,MATCH(A82,STOCK!$A$6:$A$105,0))="","",INDEX(STOCK!$J$6:$J$105,MATCH(A82,STOCK!$A$6:$A$105,0))))</f>
        <v/>
      </c>
      <c r="P82" s="11" t="str">
        <f>IF(OR(A82="",COUNTIF(STOCK!$A$6:$A$105,A82)&lt;&gt;1),"",IF(INDEX(STOCK!$R$6:$R$105,MATCH(A82,STOCK!$A$6:$A$105,0))="","",INDEX(STOCK!$R$6:$R$105,MATCH(A82,STOCK!$A$6:$A$105,0))))</f>
        <v/>
      </c>
      <c r="Q82" s="12" t="str">
        <f t="shared" si="6"/>
        <v/>
      </c>
      <c r="R82" s="17" t="str">
        <f t="shared" si="7"/>
        <v/>
      </c>
      <c r="S82" s="17" t="str">
        <f t="shared" si="8"/>
        <v/>
      </c>
    </row>
    <row r="83" spans="1:19" ht="42" customHeight="1" x14ac:dyDescent="0.45">
      <c r="A83" s="12" t="str">
        <f>IF(CATALOGO!A83="","",CATALOGO!A83)</f>
        <v/>
      </c>
      <c r="B83" s="12" t="str">
        <f>IF(A83="","",CATALOGO!B83)</f>
        <v/>
      </c>
      <c r="C83" s="12" t="str">
        <f>IF(A83="","",CATALOGO!F83)</f>
        <v/>
      </c>
      <c r="D83" s="11" t="str">
        <f>IF(A83="","",CATALOGO!G83)</f>
        <v/>
      </c>
      <c r="E83" s="11" t="str">
        <f>IF(A83="","",CATALOGO!P83)</f>
        <v/>
      </c>
      <c r="F83" s="11" t="str">
        <f>IF(A83="","",CATALOGO!S83)</f>
        <v/>
      </c>
      <c r="G83" s="15" t="str">
        <f>IF(A83="","",CATALOGO!R83)</f>
        <v/>
      </c>
      <c r="H83" s="12" t="str">
        <f>IF(A83="","",IF(COUNTIF(STOCK!$A$6:$A$105,A83)&lt;&gt;1,"SIN STOCK UNICO",INDEX(STOCK!$K$6:$K$105,MATCH(A83,STOCK!$A$6:$A$105,0))))</f>
        <v/>
      </c>
      <c r="I83" s="12" t="str">
        <f>IF(OR(A83="",COUNTIF(STOCK!$A$6:$A$105,A83)&lt;&gt;1),"",IF(INDEX(STOCK!$M$6:$M$105,MATCH(A83,STOCK!$A$6:$A$105,0))="","",INDEX(STOCK!$M$6:$M$105,MATCH(A83,STOCK!$A$6:$A$105,0))))</f>
        <v/>
      </c>
      <c r="J83" s="14" t="str">
        <f>IF(OR(A83="",COUNTIF(STOCK!$A$6:$A$105,A83)&lt;&gt;1),"",IF(INDEX(STOCK!$L$6:$L$105,MATCH(A83,STOCK!$A$6:$A$105,0))="","",INDEX(STOCK!$L$6:$L$105,MATCH(A83,STOCK!$A$6:$A$105,0))))</f>
        <v/>
      </c>
      <c r="K83" s="14" t="str">
        <f>IF(OR(A83="",COUNTIF(STOCK!$A$6:$A$105,A83)&lt;&gt;1),"",IF(INDEX(STOCK!$N$6:$N$105,MATCH(A83,STOCK!$A$6:$A$105,0))="","",INDEX(STOCK!$N$6:$N$105,MATCH(A83,STOCK!$A$6:$A$105,0))))</f>
        <v/>
      </c>
      <c r="L83" s="14" t="str">
        <f>IF(OR(A83="",COUNTIF(STOCK!$A$6:$A$105,A83)&lt;&gt;1),"",IF(INDEX(STOCK!$O$6:$O$105,MATCH(A83,STOCK!$A$6:$A$105,0))="","",INDEX(STOCK!$O$6:$O$105,MATCH(A83,STOCK!$A$6:$A$105,0))))</f>
        <v/>
      </c>
      <c r="M83" s="14" t="str">
        <f>IF(OR(A83="",COUNTIF(STOCK!$A$6:$A$105,A83)&lt;&gt;1),"",IF(INDEX(STOCK!$P$6:$P$105,MATCH(A83,STOCK!$A$6:$A$105,0))="","",INDEX(STOCK!$P$6:$P$105,MATCH(A83,STOCK!$A$6:$A$105,0))))</f>
        <v/>
      </c>
      <c r="N83" s="14" t="str">
        <f>IF(OR(A83="",COUNTIF(STOCK!$A$6:$A$105,A83)&lt;&gt;1),"",IF(INDEX(STOCK!$I$6:$I$105,MATCH(A83,STOCK!$A$6:$A$105,0))="","",INDEX(STOCK!$I$6:$I$105,MATCH(A83,STOCK!$A$6:$A$105,0))))</f>
        <v/>
      </c>
      <c r="O83" s="16" t="str">
        <f>IF(OR(A83="",COUNTIF(STOCK!$A$6:$A$105,A83)&lt;&gt;1),"",IF(INDEX(STOCK!$J$6:$J$105,MATCH(A83,STOCK!$A$6:$A$105,0))="","",INDEX(STOCK!$J$6:$J$105,MATCH(A83,STOCK!$A$6:$A$105,0))))</f>
        <v/>
      </c>
      <c r="P83" s="11" t="str">
        <f>IF(OR(A83="",COUNTIF(STOCK!$A$6:$A$105,A83)&lt;&gt;1),"",IF(INDEX(STOCK!$R$6:$R$105,MATCH(A83,STOCK!$A$6:$A$105,0))="","",INDEX(STOCK!$R$6:$R$105,MATCH(A83,STOCK!$A$6:$A$105,0))))</f>
        <v/>
      </c>
      <c r="Q83" s="12" t="str">
        <f t="shared" si="6"/>
        <v/>
      </c>
      <c r="R83" s="17" t="str">
        <f t="shared" si="7"/>
        <v/>
      </c>
      <c r="S83" s="17" t="str">
        <f t="shared" si="8"/>
        <v/>
      </c>
    </row>
    <row r="84" spans="1:19" ht="42" customHeight="1" x14ac:dyDescent="0.45">
      <c r="A84" s="12" t="str">
        <f>IF(CATALOGO!A84="","",CATALOGO!A84)</f>
        <v/>
      </c>
      <c r="B84" s="12" t="str">
        <f>IF(A84="","",CATALOGO!B84)</f>
        <v/>
      </c>
      <c r="C84" s="12" t="str">
        <f>IF(A84="","",CATALOGO!F84)</f>
        <v/>
      </c>
      <c r="D84" s="11" t="str">
        <f>IF(A84="","",CATALOGO!G84)</f>
        <v/>
      </c>
      <c r="E84" s="11" t="str">
        <f>IF(A84="","",CATALOGO!P84)</f>
        <v/>
      </c>
      <c r="F84" s="11" t="str">
        <f>IF(A84="","",CATALOGO!S84)</f>
        <v/>
      </c>
      <c r="G84" s="15" t="str">
        <f>IF(A84="","",CATALOGO!R84)</f>
        <v/>
      </c>
      <c r="H84" s="12" t="str">
        <f>IF(A84="","",IF(COUNTIF(STOCK!$A$6:$A$105,A84)&lt;&gt;1,"SIN STOCK UNICO",INDEX(STOCK!$K$6:$K$105,MATCH(A84,STOCK!$A$6:$A$105,0))))</f>
        <v/>
      </c>
      <c r="I84" s="12" t="str">
        <f>IF(OR(A84="",COUNTIF(STOCK!$A$6:$A$105,A84)&lt;&gt;1),"",IF(INDEX(STOCK!$M$6:$M$105,MATCH(A84,STOCK!$A$6:$A$105,0))="","",INDEX(STOCK!$M$6:$M$105,MATCH(A84,STOCK!$A$6:$A$105,0))))</f>
        <v/>
      </c>
      <c r="J84" s="14" t="str">
        <f>IF(OR(A84="",COUNTIF(STOCK!$A$6:$A$105,A84)&lt;&gt;1),"",IF(INDEX(STOCK!$L$6:$L$105,MATCH(A84,STOCK!$A$6:$A$105,0))="","",INDEX(STOCK!$L$6:$L$105,MATCH(A84,STOCK!$A$6:$A$105,0))))</f>
        <v/>
      </c>
      <c r="K84" s="14" t="str">
        <f>IF(OR(A84="",COUNTIF(STOCK!$A$6:$A$105,A84)&lt;&gt;1),"",IF(INDEX(STOCK!$N$6:$N$105,MATCH(A84,STOCK!$A$6:$A$105,0))="","",INDEX(STOCK!$N$6:$N$105,MATCH(A84,STOCK!$A$6:$A$105,0))))</f>
        <v/>
      </c>
      <c r="L84" s="14" t="str">
        <f>IF(OR(A84="",COUNTIF(STOCK!$A$6:$A$105,A84)&lt;&gt;1),"",IF(INDEX(STOCK!$O$6:$O$105,MATCH(A84,STOCK!$A$6:$A$105,0))="","",INDEX(STOCK!$O$6:$O$105,MATCH(A84,STOCK!$A$6:$A$105,0))))</f>
        <v/>
      </c>
      <c r="M84" s="14" t="str">
        <f>IF(OR(A84="",COUNTIF(STOCK!$A$6:$A$105,A84)&lt;&gt;1),"",IF(INDEX(STOCK!$P$6:$P$105,MATCH(A84,STOCK!$A$6:$A$105,0))="","",INDEX(STOCK!$P$6:$P$105,MATCH(A84,STOCK!$A$6:$A$105,0))))</f>
        <v/>
      </c>
      <c r="N84" s="14" t="str">
        <f>IF(OR(A84="",COUNTIF(STOCK!$A$6:$A$105,A84)&lt;&gt;1),"",IF(INDEX(STOCK!$I$6:$I$105,MATCH(A84,STOCK!$A$6:$A$105,0))="","",INDEX(STOCK!$I$6:$I$105,MATCH(A84,STOCK!$A$6:$A$105,0))))</f>
        <v/>
      </c>
      <c r="O84" s="16" t="str">
        <f>IF(OR(A84="",COUNTIF(STOCK!$A$6:$A$105,A84)&lt;&gt;1),"",IF(INDEX(STOCK!$J$6:$J$105,MATCH(A84,STOCK!$A$6:$A$105,0))="","",INDEX(STOCK!$J$6:$J$105,MATCH(A84,STOCK!$A$6:$A$105,0))))</f>
        <v/>
      </c>
      <c r="P84" s="11" t="str">
        <f>IF(OR(A84="",COUNTIF(STOCK!$A$6:$A$105,A84)&lt;&gt;1),"",IF(INDEX(STOCK!$R$6:$R$105,MATCH(A84,STOCK!$A$6:$A$105,0))="","",INDEX(STOCK!$R$6:$R$105,MATCH(A84,STOCK!$A$6:$A$105,0))))</f>
        <v/>
      </c>
      <c r="Q84" s="12" t="str">
        <f t="shared" si="6"/>
        <v/>
      </c>
      <c r="R84" s="17" t="str">
        <f t="shared" si="7"/>
        <v/>
      </c>
      <c r="S84" s="17" t="str">
        <f t="shared" si="8"/>
        <v/>
      </c>
    </row>
    <row r="85" spans="1:19" ht="42" customHeight="1" x14ac:dyDescent="0.45">
      <c r="A85" s="12" t="str">
        <f>IF(CATALOGO!A85="","",CATALOGO!A85)</f>
        <v/>
      </c>
      <c r="B85" s="12" t="str">
        <f>IF(A85="","",CATALOGO!B85)</f>
        <v/>
      </c>
      <c r="C85" s="12" t="str">
        <f>IF(A85="","",CATALOGO!F85)</f>
        <v/>
      </c>
      <c r="D85" s="11" t="str">
        <f>IF(A85="","",CATALOGO!G85)</f>
        <v/>
      </c>
      <c r="E85" s="11" t="str">
        <f>IF(A85="","",CATALOGO!P85)</f>
        <v/>
      </c>
      <c r="F85" s="11" t="str">
        <f>IF(A85="","",CATALOGO!S85)</f>
        <v/>
      </c>
      <c r="G85" s="15" t="str">
        <f>IF(A85="","",CATALOGO!R85)</f>
        <v/>
      </c>
      <c r="H85" s="12" t="str">
        <f>IF(A85="","",IF(COUNTIF(STOCK!$A$6:$A$105,A85)&lt;&gt;1,"SIN STOCK UNICO",INDEX(STOCK!$K$6:$K$105,MATCH(A85,STOCK!$A$6:$A$105,0))))</f>
        <v/>
      </c>
      <c r="I85" s="12" t="str">
        <f>IF(OR(A85="",COUNTIF(STOCK!$A$6:$A$105,A85)&lt;&gt;1),"",IF(INDEX(STOCK!$M$6:$M$105,MATCH(A85,STOCK!$A$6:$A$105,0))="","",INDEX(STOCK!$M$6:$M$105,MATCH(A85,STOCK!$A$6:$A$105,0))))</f>
        <v/>
      </c>
      <c r="J85" s="14" t="str">
        <f>IF(OR(A85="",COUNTIF(STOCK!$A$6:$A$105,A85)&lt;&gt;1),"",IF(INDEX(STOCK!$L$6:$L$105,MATCH(A85,STOCK!$A$6:$A$105,0))="","",INDEX(STOCK!$L$6:$L$105,MATCH(A85,STOCK!$A$6:$A$105,0))))</f>
        <v/>
      </c>
      <c r="K85" s="14" t="str">
        <f>IF(OR(A85="",COUNTIF(STOCK!$A$6:$A$105,A85)&lt;&gt;1),"",IF(INDEX(STOCK!$N$6:$N$105,MATCH(A85,STOCK!$A$6:$A$105,0))="","",INDEX(STOCK!$N$6:$N$105,MATCH(A85,STOCK!$A$6:$A$105,0))))</f>
        <v/>
      </c>
      <c r="L85" s="14" t="str">
        <f>IF(OR(A85="",COUNTIF(STOCK!$A$6:$A$105,A85)&lt;&gt;1),"",IF(INDEX(STOCK!$O$6:$O$105,MATCH(A85,STOCK!$A$6:$A$105,0))="","",INDEX(STOCK!$O$6:$O$105,MATCH(A85,STOCK!$A$6:$A$105,0))))</f>
        <v/>
      </c>
      <c r="M85" s="14" t="str">
        <f>IF(OR(A85="",COUNTIF(STOCK!$A$6:$A$105,A85)&lt;&gt;1),"",IF(INDEX(STOCK!$P$6:$P$105,MATCH(A85,STOCK!$A$6:$A$105,0))="","",INDEX(STOCK!$P$6:$P$105,MATCH(A85,STOCK!$A$6:$A$105,0))))</f>
        <v/>
      </c>
      <c r="N85" s="14" t="str">
        <f>IF(OR(A85="",COUNTIF(STOCK!$A$6:$A$105,A85)&lt;&gt;1),"",IF(INDEX(STOCK!$I$6:$I$105,MATCH(A85,STOCK!$A$6:$A$105,0))="","",INDEX(STOCK!$I$6:$I$105,MATCH(A85,STOCK!$A$6:$A$105,0))))</f>
        <v/>
      </c>
      <c r="O85" s="16" t="str">
        <f>IF(OR(A85="",COUNTIF(STOCK!$A$6:$A$105,A85)&lt;&gt;1),"",IF(INDEX(STOCK!$J$6:$J$105,MATCH(A85,STOCK!$A$6:$A$105,0))="","",INDEX(STOCK!$J$6:$J$105,MATCH(A85,STOCK!$A$6:$A$105,0))))</f>
        <v/>
      </c>
      <c r="P85" s="11" t="str">
        <f>IF(OR(A85="",COUNTIF(STOCK!$A$6:$A$105,A85)&lt;&gt;1),"",IF(INDEX(STOCK!$R$6:$R$105,MATCH(A85,STOCK!$A$6:$A$105,0))="","",INDEX(STOCK!$R$6:$R$105,MATCH(A85,STOCK!$A$6:$A$105,0))))</f>
        <v/>
      </c>
      <c r="Q85" s="12" t="str">
        <f t="shared" si="6"/>
        <v/>
      </c>
      <c r="R85" s="17" t="str">
        <f t="shared" si="7"/>
        <v/>
      </c>
      <c r="S85" s="17" t="str">
        <f t="shared" si="8"/>
        <v/>
      </c>
    </row>
    <row r="86" spans="1:19" ht="42" customHeight="1" x14ac:dyDescent="0.45">
      <c r="A86" s="12" t="str">
        <f>IF(CATALOGO!A86="","",CATALOGO!A86)</f>
        <v/>
      </c>
      <c r="B86" s="12" t="str">
        <f>IF(A86="","",CATALOGO!B86)</f>
        <v/>
      </c>
      <c r="C86" s="12" t="str">
        <f>IF(A86="","",CATALOGO!F86)</f>
        <v/>
      </c>
      <c r="D86" s="11" t="str">
        <f>IF(A86="","",CATALOGO!G86)</f>
        <v/>
      </c>
      <c r="E86" s="11" t="str">
        <f>IF(A86="","",CATALOGO!P86)</f>
        <v/>
      </c>
      <c r="F86" s="11" t="str">
        <f>IF(A86="","",CATALOGO!S86)</f>
        <v/>
      </c>
      <c r="G86" s="15" t="str">
        <f>IF(A86="","",CATALOGO!R86)</f>
        <v/>
      </c>
      <c r="H86" s="12" t="str">
        <f>IF(A86="","",IF(COUNTIF(STOCK!$A$6:$A$105,A86)&lt;&gt;1,"SIN STOCK UNICO",INDEX(STOCK!$K$6:$K$105,MATCH(A86,STOCK!$A$6:$A$105,0))))</f>
        <v/>
      </c>
      <c r="I86" s="12" t="str">
        <f>IF(OR(A86="",COUNTIF(STOCK!$A$6:$A$105,A86)&lt;&gt;1),"",IF(INDEX(STOCK!$M$6:$M$105,MATCH(A86,STOCK!$A$6:$A$105,0))="","",INDEX(STOCK!$M$6:$M$105,MATCH(A86,STOCK!$A$6:$A$105,0))))</f>
        <v/>
      </c>
      <c r="J86" s="14" t="str">
        <f>IF(OR(A86="",COUNTIF(STOCK!$A$6:$A$105,A86)&lt;&gt;1),"",IF(INDEX(STOCK!$L$6:$L$105,MATCH(A86,STOCK!$A$6:$A$105,0))="","",INDEX(STOCK!$L$6:$L$105,MATCH(A86,STOCK!$A$6:$A$105,0))))</f>
        <v/>
      </c>
      <c r="K86" s="14" t="str">
        <f>IF(OR(A86="",COUNTIF(STOCK!$A$6:$A$105,A86)&lt;&gt;1),"",IF(INDEX(STOCK!$N$6:$N$105,MATCH(A86,STOCK!$A$6:$A$105,0))="","",INDEX(STOCK!$N$6:$N$105,MATCH(A86,STOCK!$A$6:$A$105,0))))</f>
        <v/>
      </c>
      <c r="L86" s="14" t="str">
        <f>IF(OR(A86="",COUNTIF(STOCK!$A$6:$A$105,A86)&lt;&gt;1),"",IF(INDEX(STOCK!$O$6:$O$105,MATCH(A86,STOCK!$A$6:$A$105,0))="","",INDEX(STOCK!$O$6:$O$105,MATCH(A86,STOCK!$A$6:$A$105,0))))</f>
        <v/>
      </c>
      <c r="M86" s="14" t="str">
        <f>IF(OR(A86="",COUNTIF(STOCK!$A$6:$A$105,A86)&lt;&gt;1),"",IF(INDEX(STOCK!$P$6:$P$105,MATCH(A86,STOCK!$A$6:$A$105,0))="","",INDEX(STOCK!$P$6:$P$105,MATCH(A86,STOCK!$A$6:$A$105,0))))</f>
        <v/>
      </c>
      <c r="N86" s="14" t="str">
        <f>IF(OR(A86="",COUNTIF(STOCK!$A$6:$A$105,A86)&lt;&gt;1),"",IF(INDEX(STOCK!$I$6:$I$105,MATCH(A86,STOCK!$A$6:$A$105,0))="","",INDEX(STOCK!$I$6:$I$105,MATCH(A86,STOCK!$A$6:$A$105,0))))</f>
        <v/>
      </c>
      <c r="O86" s="16" t="str">
        <f>IF(OR(A86="",COUNTIF(STOCK!$A$6:$A$105,A86)&lt;&gt;1),"",IF(INDEX(STOCK!$J$6:$J$105,MATCH(A86,STOCK!$A$6:$A$105,0))="","",INDEX(STOCK!$J$6:$J$105,MATCH(A86,STOCK!$A$6:$A$105,0))))</f>
        <v/>
      </c>
      <c r="P86" s="11" t="str">
        <f>IF(OR(A86="",COUNTIF(STOCK!$A$6:$A$105,A86)&lt;&gt;1),"",IF(INDEX(STOCK!$R$6:$R$105,MATCH(A86,STOCK!$A$6:$A$105,0))="","",INDEX(STOCK!$R$6:$R$105,MATCH(A86,STOCK!$A$6:$A$105,0))))</f>
        <v/>
      </c>
      <c r="Q86" s="12" t="str">
        <f t="shared" si="6"/>
        <v/>
      </c>
      <c r="R86" s="17" t="str">
        <f t="shared" si="7"/>
        <v/>
      </c>
      <c r="S86" s="17" t="str">
        <f t="shared" si="8"/>
        <v/>
      </c>
    </row>
    <row r="87" spans="1:19" ht="42" customHeight="1" x14ac:dyDescent="0.45">
      <c r="A87" s="12" t="str">
        <f>IF(CATALOGO!A87="","",CATALOGO!A87)</f>
        <v/>
      </c>
      <c r="B87" s="12" t="str">
        <f>IF(A87="","",CATALOGO!B87)</f>
        <v/>
      </c>
      <c r="C87" s="12" t="str">
        <f>IF(A87="","",CATALOGO!F87)</f>
        <v/>
      </c>
      <c r="D87" s="11" t="str">
        <f>IF(A87="","",CATALOGO!G87)</f>
        <v/>
      </c>
      <c r="E87" s="11" t="str">
        <f>IF(A87="","",CATALOGO!P87)</f>
        <v/>
      </c>
      <c r="F87" s="11" t="str">
        <f>IF(A87="","",CATALOGO!S87)</f>
        <v/>
      </c>
      <c r="G87" s="15" t="str">
        <f>IF(A87="","",CATALOGO!R87)</f>
        <v/>
      </c>
      <c r="H87" s="12" t="str">
        <f>IF(A87="","",IF(COUNTIF(STOCK!$A$6:$A$105,A87)&lt;&gt;1,"SIN STOCK UNICO",INDEX(STOCK!$K$6:$K$105,MATCH(A87,STOCK!$A$6:$A$105,0))))</f>
        <v/>
      </c>
      <c r="I87" s="12" t="str">
        <f>IF(OR(A87="",COUNTIF(STOCK!$A$6:$A$105,A87)&lt;&gt;1),"",IF(INDEX(STOCK!$M$6:$M$105,MATCH(A87,STOCK!$A$6:$A$105,0))="","",INDEX(STOCK!$M$6:$M$105,MATCH(A87,STOCK!$A$6:$A$105,0))))</f>
        <v/>
      </c>
      <c r="J87" s="14" t="str">
        <f>IF(OR(A87="",COUNTIF(STOCK!$A$6:$A$105,A87)&lt;&gt;1),"",IF(INDEX(STOCK!$L$6:$L$105,MATCH(A87,STOCK!$A$6:$A$105,0))="","",INDEX(STOCK!$L$6:$L$105,MATCH(A87,STOCK!$A$6:$A$105,0))))</f>
        <v/>
      </c>
      <c r="K87" s="14" t="str">
        <f>IF(OR(A87="",COUNTIF(STOCK!$A$6:$A$105,A87)&lt;&gt;1),"",IF(INDEX(STOCK!$N$6:$N$105,MATCH(A87,STOCK!$A$6:$A$105,0))="","",INDEX(STOCK!$N$6:$N$105,MATCH(A87,STOCK!$A$6:$A$105,0))))</f>
        <v/>
      </c>
      <c r="L87" s="14" t="str">
        <f>IF(OR(A87="",COUNTIF(STOCK!$A$6:$A$105,A87)&lt;&gt;1),"",IF(INDEX(STOCK!$O$6:$O$105,MATCH(A87,STOCK!$A$6:$A$105,0))="","",INDEX(STOCK!$O$6:$O$105,MATCH(A87,STOCK!$A$6:$A$105,0))))</f>
        <v/>
      </c>
      <c r="M87" s="14" t="str">
        <f>IF(OR(A87="",COUNTIF(STOCK!$A$6:$A$105,A87)&lt;&gt;1),"",IF(INDEX(STOCK!$P$6:$P$105,MATCH(A87,STOCK!$A$6:$A$105,0))="","",INDEX(STOCK!$P$6:$P$105,MATCH(A87,STOCK!$A$6:$A$105,0))))</f>
        <v/>
      </c>
      <c r="N87" s="14" t="str">
        <f>IF(OR(A87="",COUNTIF(STOCK!$A$6:$A$105,A87)&lt;&gt;1),"",IF(INDEX(STOCK!$I$6:$I$105,MATCH(A87,STOCK!$A$6:$A$105,0))="","",INDEX(STOCK!$I$6:$I$105,MATCH(A87,STOCK!$A$6:$A$105,0))))</f>
        <v/>
      </c>
      <c r="O87" s="16" t="str">
        <f>IF(OR(A87="",COUNTIF(STOCK!$A$6:$A$105,A87)&lt;&gt;1),"",IF(INDEX(STOCK!$J$6:$J$105,MATCH(A87,STOCK!$A$6:$A$105,0))="","",INDEX(STOCK!$J$6:$J$105,MATCH(A87,STOCK!$A$6:$A$105,0))))</f>
        <v/>
      </c>
      <c r="P87" s="11" t="str">
        <f>IF(OR(A87="",COUNTIF(STOCK!$A$6:$A$105,A87)&lt;&gt;1),"",IF(INDEX(STOCK!$R$6:$R$105,MATCH(A87,STOCK!$A$6:$A$105,0))="","",INDEX(STOCK!$R$6:$R$105,MATCH(A87,STOCK!$A$6:$A$105,0))))</f>
        <v/>
      </c>
      <c r="Q87" s="12" t="str">
        <f t="shared" si="6"/>
        <v/>
      </c>
      <c r="R87" s="17" t="str">
        <f t="shared" si="7"/>
        <v/>
      </c>
      <c r="S87" s="17" t="str">
        <f t="shared" si="8"/>
        <v/>
      </c>
    </row>
    <row r="88" spans="1:19" ht="42" customHeight="1" x14ac:dyDescent="0.45">
      <c r="A88" s="12" t="str">
        <f>IF(CATALOGO!A88="","",CATALOGO!A88)</f>
        <v/>
      </c>
      <c r="B88" s="12" t="str">
        <f>IF(A88="","",CATALOGO!B88)</f>
        <v/>
      </c>
      <c r="C88" s="12" t="str">
        <f>IF(A88="","",CATALOGO!F88)</f>
        <v/>
      </c>
      <c r="D88" s="11" t="str">
        <f>IF(A88="","",CATALOGO!G88)</f>
        <v/>
      </c>
      <c r="E88" s="11" t="str">
        <f>IF(A88="","",CATALOGO!P88)</f>
        <v/>
      </c>
      <c r="F88" s="11" t="str">
        <f>IF(A88="","",CATALOGO!S88)</f>
        <v/>
      </c>
      <c r="G88" s="15" t="str">
        <f>IF(A88="","",CATALOGO!R88)</f>
        <v/>
      </c>
      <c r="H88" s="12" t="str">
        <f>IF(A88="","",IF(COUNTIF(STOCK!$A$6:$A$105,A88)&lt;&gt;1,"SIN STOCK UNICO",INDEX(STOCK!$K$6:$K$105,MATCH(A88,STOCK!$A$6:$A$105,0))))</f>
        <v/>
      </c>
      <c r="I88" s="12" t="str">
        <f>IF(OR(A88="",COUNTIF(STOCK!$A$6:$A$105,A88)&lt;&gt;1),"",IF(INDEX(STOCK!$M$6:$M$105,MATCH(A88,STOCK!$A$6:$A$105,0))="","",INDEX(STOCK!$M$6:$M$105,MATCH(A88,STOCK!$A$6:$A$105,0))))</f>
        <v/>
      </c>
      <c r="J88" s="14" t="str">
        <f>IF(OR(A88="",COUNTIF(STOCK!$A$6:$A$105,A88)&lt;&gt;1),"",IF(INDEX(STOCK!$L$6:$L$105,MATCH(A88,STOCK!$A$6:$A$105,0))="","",INDEX(STOCK!$L$6:$L$105,MATCH(A88,STOCK!$A$6:$A$105,0))))</f>
        <v/>
      </c>
      <c r="K88" s="14" t="str">
        <f>IF(OR(A88="",COUNTIF(STOCK!$A$6:$A$105,A88)&lt;&gt;1),"",IF(INDEX(STOCK!$N$6:$N$105,MATCH(A88,STOCK!$A$6:$A$105,0))="","",INDEX(STOCK!$N$6:$N$105,MATCH(A88,STOCK!$A$6:$A$105,0))))</f>
        <v/>
      </c>
      <c r="L88" s="14" t="str">
        <f>IF(OR(A88="",COUNTIF(STOCK!$A$6:$A$105,A88)&lt;&gt;1),"",IF(INDEX(STOCK!$O$6:$O$105,MATCH(A88,STOCK!$A$6:$A$105,0))="","",INDEX(STOCK!$O$6:$O$105,MATCH(A88,STOCK!$A$6:$A$105,0))))</f>
        <v/>
      </c>
      <c r="M88" s="14" t="str">
        <f>IF(OR(A88="",COUNTIF(STOCK!$A$6:$A$105,A88)&lt;&gt;1),"",IF(INDEX(STOCK!$P$6:$P$105,MATCH(A88,STOCK!$A$6:$A$105,0))="","",INDEX(STOCK!$P$6:$P$105,MATCH(A88,STOCK!$A$6:$A$105,0))))</f>
        <v/>
      </c>
      <c r="N88" s="14" t="str">
        <f>IF(OR(A88="",COUNTIF(STOCK!$A$6:$A$105,A88)&lt;&gt;1),"",IF(INDEX(STOCK!$I$6:$I$105,MATCH(A88,STOCK!$A$6:$A$105,0))="","",INDEX(STOCK!$I$6:$I$105,MATCH(A88,STOCK!$A$6:$A$105,0))))</f>
        <v/>
      </c>
      <c r="O88" s="16" t="str">
        <f>IF(OR(A88="",COUNTIF(STOCK!$A$6:$A$105,A88)&lt;&gt;1),"",IF(INDEX(STOCK!$J$6:$J$105,MATCH(A88,STOCK!$A$6:$A$105,0))="","",INDEX(STOCK!$J$6:$J$105,MATCH(A88,STOCK!$A$6:$A$105,0))))</f>
        <v/>
      </c>
      <c r="P88" s="11" t="str">
        <f>IF(OR(A88="",COUNTIF(STOCK!$A$6:$A$105,A88)&lt;&gt;1),"",IF(INDEX(STOCK!$R$6:$R$105,MATCH(A88,STOCK!$A$6:$A$105,0))="","",INDEX(STOCK!$R$6:$R$105,MATCH(A88,STOCK!$A$6:$A$105,0))))</f>
        <v/>
      </c>
      <c r="Q88" s="12" t="str">
        <f t="shared" si="6"/>
        <v/>
      </c>
      <c r="R88" s="17" t="str">
        <f t="shared" si="7"/>
        <v/>
      </c>
      <c r="S88" s="17" t="str">
        <f t="shared" si="8"/>
        <v/>
      </c>
    </row>
    <row r="89" spans="1:19" ht="42" customHeight="1" x14ac:dyDescent="0.45">
      <c r="A89" s="12" t="str">
        <f>IF(CATALOGO!A89="","",CATALOGO!A89)</f>
        <v/>
      </c>
      <c r="B89" s="12" t="str">
        <f>IF(A89="","",CATALOGO!B89)</f>
        <v/>
      </c>
      <c r="C89" s="12" t="str">
        <f>IF(A89="","",CATALOGO!F89)</f>
        <v/>
      </c>
      <c r="D89" s="11" t="str">
        <f>IF(A89="","",CATALOGO!G89)</f>
        <v/>
      </c>
      <c r="E89" s="11" t="str">
        <f>IF(A89="","",CATALOGO!P89)</f>
        <v/>
      </c>
      <c r="F89" s="11" t="str">
        <f>IF(A89="","",CATALOGO!S89)</f>
        <v/>
      </c>
      <c r="G89" s="15" t="str">
        <f>IF(A89="","",CATALOGO!R89)</f>
        <v/>
      </c>
      <c r="H89" s="12" t="str">
        <f>IF(A89="","",IF(COUNTIF(STOCK!$A$6:$A$105,A89)&lt;&gt;1,"SIN STOCK UNICO",INDEX(STOCK!$K$6:$K$105,MATCH(A89,STOCK!$A$6:$A$105,0))))</f>
        <v/>
      </c>
      <c r="I89" s="12" t="str">
        <f>IF(OR(A89="",COUNTIF(STOCK!$A$6:$A$105,A89)&lt;&gt;1),"",IF(INDEX(STOCK!$M$6:$M$105,MATCH(A89,STOCK!$A$6:$A$105,0))="","",INDEX(STOCK!$M$6:$M$105,MATCH(A89,STOCK!$A$6:$A$105,0))))</f>
        <v/>
      </c>
      <c r="J89" s="14" t="str">
        <f>IF(OR(A89="",COUNTIF(STOCK!$A$6:$A$105,A89)&lt;&gt;1),"",IF(INDEX(STOCK!$L$6:$L$105,MATCH(A89,STOCK!$A$6:$A$105,0))="","",INDEX(STOCK!$L$6:$L$105,MATCH(A89,STOCK!$A$6:$A$105,0))))</f>
        <v/>
      </c>
      <c r="K89" s="14" t="str">
        <f>IF(OR(A89="",COUNTIF(STOCK!$A$6:$A$105,A89)&lt;&gt;1),"",IF(INDEX(STOCK!$N$6:$N$105,MATCH(A89,STOCK!$A$6:$A$105,0))="","",INDEX(STOCK!$N$6:$N$105,MATCH(A89,STOCK!$A$6:$A$105,0))))</f>
        <v/>
      </c>
      <c r="L89" s="14" t="str">
        <f>IF(OR(A89="",COUNTIF(STOCK!$A$6:$A$105,A89)&lt;&gt;1),"",IF(INDEX(STOCK!$O$6:$O$105,MATCH(A89,STOCK!$A$6:$A$105,0))="","",INDEX(STOCK!$O$6:$O$105,MATCH(A89,STOCK!$A$6:$A$105,0))))</f>
        <v/>
      </c>
      <c r="M89" s="14" t="str">
        <f>IF(OR(A89="",COUNTIF(STOCK!$A$6:$A$105,A89)&lt;&gt;1),"",IF(INDEX(STOCK!$P$6:$P$105,MATCH(A89,STOCK!$A$6:$A$105,0))="","",INDEX(STOCK!$P$6:$P$105,MATCH(A89,STOCK!$A$6:$A$105,0))))</f>
        <v/>
      </c>
      <c r="N89" s="14" t="str">
        <f>IF(OR(A89="",COUNTIF(STOCK!$A$6:$A$105,A89)&lt;&gt;1),"",IF(INDEX(STOCK!$I$6:$I$105,MATCH(A89,STOCK!$A$6:$A$105,0))="","",INDEX(STOCK!$I$6:$I$105,MATCH(A89,STOCK!$A$6:$A$105,0))))</f>
        <v/>
      </c>
      <c r="O89" s="16" t="str">
        <f>IF(OR(A89="",COUNTIF(STOCK!$A$6:$A$105,A89)&lt;&gt;1),"",IF(INDEX(STOCK!$J$6:$J$105,MATCH(A89,STOCK!$A$6:$A$105,0))="","",INDEX(STOCK!$J$6:$J$105,MATCH(A89,STOCK!$A$6:$A$105,0))))</f>
        <v/>
      </c>
      <c r="P89" s="11" t="str">
        <f>IF(OR(A89="",COUNTIF(STOCK!$A$6:$A$105,A89)&lt;&gt;1),"",IF(INDEX(STOCK!$R$6:$R$105,MATCH(A89,STOCK!$A$6:$A$105,0))="","",INDEX(STOCK!$R$6:$R$105,MATCH(A89,STOCK!$A$6:$A$105,0))))</f>
        <v/>
      </c>
      <c r="Q89" s="12" t="str">
        <f t="shared" si="6"/>
        <v/>
      </c>
      <c r="R89" s="17" t="str">
        <f t="shared" si="7"/>
        <v/>
      </c>
      <c r="S89" s="17" t="str">
        <f t="shared" si="8"/>
        <v/>
      </c>
    </row>
    <row r="90" spans="1:19" ht="42" customHeight="1" x14ac:dyDescent="0.45">
      <c r="A90" s="12" t="str">
        <f>IF(CATALOGO!A90="","",CATALOGO!A90)</f>
        <v/>
      </c>
      <c r="B90" s="12" t="str">
        <f>IF(A90="","",CATALOGO!B90)</f>
        <v/>
      </c>
      <c r="C90" s="12" t="str">
        <f>IF(A90="","",CATALOGO!F90)</f>
        <v/>
      </c>
      <c r="D90" s="11" t="str">
        <f>IF(A90="","",CATALOGO!G90)</f>
        <v/>
      </c>
      <c r="E90" s="11" t="str">
        <f>IF(A90="","",CATALOGO!P90)</f>
        <v/>
      </c>
      <c r="F90" s="11" t="str">
        <f>IF(A90="","",CATALOGO!S90)</f>
        <v/>
      </c>
      <c r="G90" s="15" t="str">
        <f>IF(A90="","",CATALOGO!R90)</f>
        <v/>
      </c>
      <c r="H90" s="12" t="str">
        <f>IF(A90="","",IF(COUNTIF(STOCK!$A$6:$A$105,A90)&lt;&gt;1,"SIN STOCK UNICO",INDEX(STOCK!$K$6:$K$105,MATCH(A90,STOCK!$A$6:$A$105,0))))</f>
        <v/>
      </c>
      <c r="I90" s="12" t="str">
        <f>IF(OR(A90="",COUNTIF(STOCK!$A$6:$A$105,A90)&lt;&gt;1),"",IF(INDEX(STOCK!$M$6:$M$105,MATCH(A90,STOCK!$A$6:$A$105,0))="","",INDEX(STOCK!$M$6:$M$105,MATCH(A90,STOCK!$A$6:$A$105,0))))</f>
        <v/>
      </c>
      <c r="J90" s="14" t="str">
        <f>IF(OR(A90="",COUNTIF(STOCK!$A$6:$A$105,A90)&lt;&gt;1),"",IF(INDEX(STOCK!$L$6:$L$105,MATCH(A90,STOCK!$A$6:$A$105,0))="","",INDEX(STOCK!$L$6:$L$105,MATCH(A90,STOCK!$A$6:$A$105,0))))</f>
        <v/>
      </c>
      <c r="K90" s="14" t="str">
        <f>IF(OR(A90="",COUNTIF(STOCK!$A$6:$A$105,A90)&lt;&gt;1),"",IF(INDEX(STOCK!$N$6:$N$105,MATCH(A90,STOCK!$A$6:$A$105,0))="","",INDEX(STOCK!$N$6:$N$105,MATCH(A90,STOCK!$A$6:$A$105,0))))</f>
        <v/>
      </c>
      <c r="L90" s="14" t="str">
        <f>IF(OR(A90="",COUNTIF(STOCK!$A$6:$A$105,A90)&lt;&gt;1),"",IF(INDEX(STOCK!$O$6:$O$105,MATCH(A90,STOCK!$A$6:$A$105,0))="","",INDEX(STOCK!$O$6:$O$105,MATCH(A90,STOCK!$A$6:$A$105,0))))</f>
        <v/>
      </c>
      <c r="M90" s="14" t="str">
        <f>IF(OR(A90="",COUNTIF(STOCK!$A$6:$A$105,A90)&lt;&gt;1),"",IF(INDEX(STOCK!$P$6:$P$105,MATCH(A90,STOCK!$A$6:$A$105,0))="","",INDEX(STOCK!$P$6:$P$105,MATCH(A90,STOCK!$A$6:$A$105,0))))</f>
        <v/>
      </c>
      <c r="N90" s="14" t="str">
        <f>IF(OR(A90="",COUNTIF(STOCK!$A$6:$A$105,A90)&lt;&gt;1),"",IF(INDEX(STOCK!$I$6:$I$105,MATCH(A90,STOCK!$A$6:$A$105,0))="","",INDEX(STOCK!$I$6:$I$105,MATCH(A90,STOCK!$A$6:$A$105,0))))</f>
        <v/>
      </c>
      <c r="O90" s="16" t="str">
        <f>IF(OR(A90="",COUNTIF(STOCK!$A$6:$A$105,A90)&lt;&gt;1),"",IF(INDEX(STOCK!$J$6:$J$105,MATCH(A90,STOCK!$A$6:$A$105,0))="","",INDEX(STOCK!$J$6:$J$105,MATCH(A90,STOCK!$A$6:$A$105,0))))</f>
        <v/>
      </c>
      <c r="P90" s="11" t="str">
        <f>IF(OR(A90="",COUNTIF(STOCK!$A$6:$A$105,A90)&lt;&gt;1),"",IF(INDEX(STOCK!$R$6:$R$105,MATCH(A90,STOCK!$A$6:$A$105,0))="","",INDEX(STOCK!$R$6:$R$105,MATCH(A90,STOCK!$A$6:$A$105,0))))</f>
        <v/>
      </c>
      <c r="Q90" s="12" t="str">
        <f t="shared" si="6"/>
        <v/>
      </c>
      <c r="R90" s="17" t="str">
        <f t="shared" si="7"/>
        <v/>
      </c>
      <c r="S90" s="17" t="str">
        <f t="shared" si="8"/>
        <v/>
      </c>
    </row>
    <row r="91" spans="1:19" ht="42" customHeight="1" x14ac:dyDescent="0.45">
      <c r="A91" s="12" t="str">
        <f>IF(CATALOGO!A91="","",CATALOGO!A91)</f>
        <v/>
      </c>
      <c r="B91" s="12" t="str">
        <f>IF(A91="","",CATALOGO!B91)</f>
        <v/>
      </c>
      <c r="C91" s="12" t="str">
        <f>IF(A91="","",CATALOGO!F91)</f>
        <v/>
      </c>
      <c r="D91" s="11" t="str">
        <f>IF(A91="","",CATALOGO!G91)</f>
        <v/>
      </c>
      <c r="E91" s="11" t="str">
        <f>IF(A91="","",CATALOGO!P91)</f>
        <v/>
      </c>
      <c r="F91" s="11" t="str">
        <f>IF(A91="","",CATALOGO!S91)</f>
        <v/>
      </c>
      <c r="G91" s="15" t="str">
        <f>IF(A91="","",CATALOGO!R91)</f>
        <v/>
      </c>
      <c r="H91" s="12" t="str">
        <f>IF(A91="","",IF(COUNTIF(STOCK!$A$6:$A$105,A91)&lt;&gt;1,"SIN STOCK UNICO",INDEX(STOCK!$K$6:$K$105,MATCH(A91,STOCK!$A$6:$A$105,0))))</f>
        <v/>
      </c>
      <c r="I91" s="12" t="str">
        <f>IF(OR(A91="",COUNTIF(STOCK!$A$6:$A$105,A91)&lt;&gt;1),"",IF(INDEX(STOCK!$M$6:$M$105,MATCH(A91,STOCK!$A$6:$A$105,0))="","",INDEX(STOCK!$M$6:$M$105,MATCH(A91,STOCK!$A$6:$A$105,0))))</f>
        <v/>
      </c>
      <c r="J91" s="14" t="str">
        <f>IF(OR(A91="",COUNTIF(STOCK!$A$6:$A$105,A91)&lt;&gt;1),"",IF(INDEX(STOCK!$L$6:$L$105,MATCH(A91,STOCK!$A$6:$A$105,0))="","",INDEX(STOCK!$L$6:$L$105,MATCH(A91,STOCK!$A$6:$A$105,0))))</f>
        <v/>
      </c>
      <c r="K91" s="14" t="str">
        <f>IF(OR(A91="",COUNTIF(STOCK!$A$6:$A$105,A91)&lt;&gt;1),"",IF(INDEX(STOCK!$N$6:$N$105,MATCH(A91,STOCK!$A$6:$A$105,0))="","",INDEX(STOCK!$N$6:$N$105,MATCH(A91,STOCK!$A$6:$A$105,0))))</f>
        <v/>
      </c>
      <c r="L91" s="14" t="str">
        <f>IF(OR(A91="",COUNTIF(STOCK!$A$6:$A$105,A91)&lt;&gt;1),"",IF(INDEX(STOCK!$O$6:$O$105,MATCH(A91,STOCK!$A$6:$A$105,0))="","",INDEX(STOCK!$O$6:$O$105,MATCH(A91,STOCK!$A$6:$A$105,0))))</f>
        <v/>
      </c>
      <c r="M91" s="14" t="str">
        <f>IF(OR(A91="",COUNTIF(STOCK!$A$6:$A$105,A91)&lt;&gt;1),"",IF(INDEX(STOCK!$P$6:$P$105,MATCH(A91,STOCK!$A$6:$A$105,0))="","",INDEX(STOCK!$P$6:$P$105,MATCH(A91,STOCK!$A$6:$A$105,0))))</f>
        <v/>
      </c>
      <c r="N91" s="14" t="str">
        <f>IF(OR(A91="",COUNTIF(STOCK!$A$6:$A$105,A91)&lt;&gt;1),"",IF(INDEX(STOCK!$I$6:$I$105,MATCH(A91,STOCK!$A$6:$A$105,0))="","",INDEX(STOCK!$I$6:$I$105,MATCH(A91,STOCK!$A$6:$A$105,0))))</f>
        <v/>
      </c>
      <c r="O91" s="16" t="str">
        <f>IF(OR(A91="",COUNTIF(STOCK!$A$6:$A$105,A91)&lt;&gt;1),"",IF(INDEX(STOCK!$J$6:$J$105,MATCH(A91,STOCK!$A$6:$A$105,0))="","",INDEX(STOCK!$J$6:$J$105,MATCH(A91,STOCK!$A$6:$A$105,0))))</f>
        <v/>
      </c>
      <c r="P91" s="11" t="str">
        <f>IF(OR(A91="",COUNTIF(STOCK!$A$6:$A$105,A91)&lt;&gt;1),"",IF(INDEX(STOCK!$R$6:$R$105,MATCH(A91,STOCK!$A$6:$A$105,0))="","",INDEX(STOCK!$R$6:$R$105,MATCH(A91,STOCK!$A$6:$A$105,0))))</f>
        <v/>
      </c>
      <c r="Q91" s="12" t="str">
        <f t="shared" si="6"/>
        <v/>
      </c>
      <c r="R91" s="17" t="str">
        <f t="shared" si="7"/>
        <v/>
      </c>
      <c r="S91" s="17" t="str">
        <f t="shared" si="8"/>
        <v/>
      </c>
    </row>
    <row r="92" spans="1:19" ht="42" customHeight="1" x14ac:dyDescent="0.45">
      <c r="A92" s="12" t="str">
        <f>IF(CATALOGO!A92="","",CATALOGO!A92)</f>
        <v/>
      </c>
      <c r="B92" s="12" t="str">
        <f>IF(A92="","",CATALOGO!B92)</f>
        <v/>
      </c>
      <c r="C92" s="12" t="str">
        <f>IF(A92="","",CATALOGO!F92)</f>
        <v/>
      </c>
      <c r="D92" s="11" t="str">
        <f>IF(A92="","",CATALOGO!G92)</f>
        <v/>
      </c>
      <c r="E92" s="11" t="str">
        <f>IF(A92="","",CATALOGO!P92)</f>
        <v/>
      </c>
      <c r="F92" s="11" t="str">
        <f>IF(A92="","",CATALOGO!S92)</f>
        <v/>
      </c>
      <c r="G92" s="15" t="str">
        <f>IF(A92="","",CATALOGO!R92)</f>
        <v/>
      </c>
      <c r="H92" s="12" t="str">
        <f>IF(A92="","",IF(COUNTIF(STOCK!$A$6:$A$105,A92)&lt;&gt;1,"SIN STOCK UNICO",INDEX(STOCK!$K$6:$K$105,MATCH(A92,STOCK!$A$6:$A$105,0))))</f>
        <v/>
      </c>
      <c r="I92" s="12" t="str">
        <f>IF(OR(A92="",COUNTIF(STOCK!$A$6:$A$105,A92)&lt;&gt;1),"",IF(INDEX(STOCK!$M$6:$M$105,MATCH(A92,STOCK!$A$6:$A$105,0))="","",INDEX(STOCK!$M$6:$M$105,MATCH(A92,STOCK!$A$6:$A$105,0))))</f>
        <v/>
      </c>
      <c r="J92" s="14" t="str">
        <f>IF(OR(A92="",COUNTIF(STOCK!$A$6:$A$105,A92)&lt;&gt;1),"",IF(INDEX(STOCK!$L$6:$L$105,MATCH(A92,STOCK!$A$6:$A$105,0))="","",INDEX(STOCK!$L$6:$L$105,MATCH(A92,STOCK!$A$6:$A$105,0))))</f>
        <v/>
      </c>
      <c r="K92" s="14" t="str">
        <f>IF(OR(A92="",COUNTIF(STOCK!$A$6:$A$105,A92)&lt;&gt;1),"",IF(INDEX(STOCK!$N$6:$N$105,MATCH(A92,STOCK!$A$6:$A$105,0))="","",INDEX(STOCK!$N$6:$N$105,MATCH(A92,STOCK!$A$6:$A$105,0))))</f>
        <v/>
      </c>
      <c r="L92" s="14" t="str">
        <f>IF(OR(A92="",COUNTIF(STOCK!$A$6:$A$105,A92)&lt;&gt;1),"",IF(INDEX(STOCK!$O$6:$O$105,MATCH(A92,STOCK!$A$6:$A$105,0))="","",INDEX(STOCK!$O$6:$O$105,MATCH(A92,STOCK!$A$6:$A$105,0))))</f>
        <v/>
      </c>
      <c r="M92" s="14" t="str">
        <f>IF(OR(A92="",COUNTIF(STOCK!$A$6:$A$105,A92)&lt;&gt;1),"",IF(INDEX(STOCK!$P$6:$P$105,MATCH(A92,STOCK!$A$6:$A$105,0))="","",INDEX(STOCK!$P$6:$P$105,MATCH(A92,STOCK!$A$6:$A$105,0))))</f>
        <v/>
      </c>
      <c r="N92" s="14" t="str">
        <f>IF(OR(A92="",COUNTIF(STOCK!$A$6:$A$105,A92)&lt;&gt;1),"",IF(INDEX(STOCK!$I$6:$I$105,MATCH(A92,STOCK!$A$6:$A$105,0))="","",INDEX(STOCK!$I$6:$I$105,MATCH(A92,STOCK!$A$6:$A$105,0))))</f>
        <v/>
      </c>
      <c r="O92" s="16" t="str">
        <f>IF(OR(A92="",COUNTIF(STOCK!$A$6:$A$105,A92)&lt;&gt;1),"",IF(INDEX(STOCK!$J$6:$J$105,MATCH(A92,STOCK!$A$6:$A$105,0))="","",INDEX(STOCK!$J$6:$J$105,MATCH(A92,STOCK!$A$6:$A$105,0))))</f>
        <v/>
      </c>
      <c r="P92" s="11" t="str">
        <f>IF(OR(A92="",COUNTIF(STOCK!$A$6:$A$105,A92)&lt;&gt;1),"",IF(INDEX(STOCK!$R$6:$R$105,MATCH(A92,STOCK!$A$6:$A$105,0))="","",INDEX(STOCK!$R$6:$R$105,MATCH(A92,STOCK!$A$6:$A$105,0))))</f>
        <v/>
      </c>
      <c r="Q92" s="12" t="str">
        <f t="shared" si="6"/>
        <v/>
      </c>
      <c r="R92" s="17" t="str">
        <f t="shared" si="7"/>
        <v/>
      </c>
      <c r="S92" s="17" t="str">
        <f t="shared" si="8"/>
        <v/>
      </c>
    </row>
    <row r="93" spans="1:19" ht="42" customHeight="1" x14ac:dyDescent="0.45">
      <c r="A93" s="12" t="str">
        <f>IF(CATALOGO!A93="","",CATALOGO!A93)</f>
        <v/>
      </c>
      <c r="B93" s="12" t="str">
        <f>IF(A93="","",CATALOGO!B93)</f>
        <v/>
      </c>
      <c r="C93" s="12" t="str">
        <f>IF(A93="","",CATALOGO!F93)</f>
        <v/>
      </c>
      <c r="D93" s="11" t="str">
        <f>IF(A93="","",CATALOGO!G93)</f>
        <v/>
      </c>
      <c r="E93" s="11" t="str">
        <f>IF(A93="","",CATALOGO!P93)</f>
        <v/>
      </c>
      <c r="F93" s="11" t="str">
        <f>IF(A93="","",CATALOGO!S93)</f>
        <v/>
      </c>
      <c r="G93" s="15" t="str">
        <f>IF(A93="","",CATALOGO!R93)</f>
        <v/>
      </c>
      <c r="H93" s="12" t="str">
        <f>IF(A93="","",IF(COUNTIF(STOCK!$A$6:$A$105,A93)&lt;&gt;1,"SIN STOCK UNICO",INDEX(STOCK!$K$6:$K$105,MATCH(A93,STOCK!$A$6:$A$105,0))))</f>
        <v/>
      </c>
      <c r="I93" s="12" t="str">
        <f>IF(OR(A93="",COUNTIF(STOCK!$A$6:$A$105,A93)&lt;&gt;1),"",IF(INDEX(STOCK!$M$6:$M$105,MATCH(A93,STOCK!$A$6:$A$105,0))="","",INDEX(STOCK!$M$6:$M$105,MATCH(A93,STOCK!$A$6:$A$105,0))))</f>
        <v/>
      </c>
      <c r="J93" s="14" t="str">
        <f>IF(OR(A93="",COUNTIF(STOCK!$A$6:$A$105,A93)&lt;&gt;1),"",IF(INDEX(STOCK!$L$6:$L$105,MATCH(A93,STOCK!$A$6:$A$105,0))="","",INDEX(STOCK!$L$6:$L$105,MATCH(A93,STOCK!$A$6:$A$105,0))))</f>
        <v/>
      </c>
      <c r="K93" s="14" t="str">
        <f>IF(OR(A93="",COUNTIF(STOCK!$A$6:$A$105,A93)&lt;&gt;1),"",IF(INDEX(STOCK!$N$6:$N$105,MATCH(A93,STOCK!$A$6:$A$105,0))="","",INDEX(STOCK!$N$6:$N$105,MATCH(A93,STOCK!$A$6:$A$105,0))))</f>
        <v/>
      </c>
      <c r="L93" s="14" t="str">
        <f>IF(OR(A93="",COUNTIF(STOCK!$A$6:$A$105,A93)&lt;&gt;1),"",IF(INDEX(STOCK!$O$6:$O$105,MATCH(A93,STOCK!$A$6:$A$105,0))="","",INDEX(STOCK!$O$6:$O$105,MATCH(A93,STOCK!$A$6:$A$105,0))))</f>
        <v/>
      </c>
      <c r="M93" s="14" t="str">
        <f>IF(OR(A93="",COUNTIF(STOCK!$A$6:$A$105,A93)&lt;&gt;1),"",IF(INDEX(STOCK!$P$6:$P$105,MATCH(A93,STOCK!$A$6:$A$105,0))="","",INDEX(STOCK!$P$6:$P$105,MATCH(A93,STOCK!$A$6:$A$105,0))))</f>
        <v/>
      </c>
      <c r="N93" s="14" t="str">
        <f>IF(OR(A93="",COUNTIF(STOCK!$A$6:$A$105,A93)&lt;&gt;1),"",IF(INDEX(STOCK!$I$6:$I$105,MATCH(A93,STOCK!$A$6:$A$105,0))="","",INDEX(STOCK!$I$6:$I$105,MATCH(A93,STOCK!$A$6:$A$105,0))))</f>
        <v/>
      </c>
      <c r="O93" s="16" t="str">
        <f>IF(OR(A93="",COUNTIF(STOCK!$A$6:$A$105,A93)&lt;&gt;1),"",IF(INDEX(STOCK!$J$6:$J$105,MATCH(A93,STOCK!$A$6:$A$105,0))="","",INDEX(STOCK!$J$6:$J$105,MATCH(A93,STOCK!$A$6:$A$105,0))))</f>
        <v/>
      </c>
      <c r="P93" s="11" t="str">
        <f>IF(OR(A93="",COUNTIF(STOCK!$A$6:$A$105,A93)&lt;&gt;1),"",IF(INDEX(STOCK!$R$6:$R$105,MATCH(A93,STOCK!$A$6:$A$105,0))="","",INDEX(STOCK!$R$6:$R$105,MATCH(A93,STOCK!$A$6:$A$105,0))))</f>
        <v/>
      </c>
      <c r="Q93" s="12" t="str">
        <f t="shared" si="6"/>
        <v/>
      </c>
      <c r="R93" s="17" t="str">
        <f t="shared" si="7"/>
        <v/>
      </c>
      <c r="S93" s="17" t="str">
        <f t="shared" si="8"/>
        <v/>
      </c>
    </row>
    <row r="94" spans="1:19" ht="42" customHeight="1" x14ac:dyDescent="0.45">
      <c r="A94" s="12" t="str">
        <f>IF(CATALOGO!A94="","",CATALOGO!A94)</f>
        <v/>
      </c>
      <c r="B94" s="12" t="str">
        <f>IF(A94="","",CATALOGO!B94)</f>
        <v/>
      </c>
      <c r="C94" s="12" t="str">
        <f>IF(A94="","",CATALOGO!F94)</f>
        <v/>
      </c>
      <c r="D94" s="11" t="str">
        <f>IF(A94="","",CATALOGO!G94)</f>
        <v/>
      </c>
      <c r="E94" s="11" t="str">
        <f>IF(A94="","",CATALOGO!P94)</f>
        <v/>
      </c>
      <c r="F94" s="11" t="str">
        <f>IF(A94="","",CATALOGO!S94)</f>
        <v/>
      </c>
      <c r="G94" s="15" t="str">
        <f>IF(A94="","",CATALOGO!R94)</f>
        <v/>
      </c>
      <c r="H94" s="12" t="str">
        <f>IF(A94="","",IF(COUNTIF(STOCK!$A$6:$A$105,A94)&lt;&gt;1,"SIN STOCK UNICO",INDEX(STOCK!$K$6:$K$105,MATCH(A94,STOCK!$A$6:$A$105,0))))</f>
        <v/>
      </c>
      <c r="I94" s="12" t="str">
        <f>IF(OR(A94="",COUNTIF(STOCK!$A$6:$A$105,A94)&lt;&gt;1),"",IF(INDEX(STOCK!$M$6:$M$105,MATCH(A94,STOCK!$A$6:$A$105,0))="","",INDEX(STOCK!$M$6:$M$105,MATCH(A94,STOCK!$A$6:$A$105,0))))</f>
        <v/>
      </c>
      <c r="J94" s="14" t="str">
        <f>IF(OR(A94="",COUNTIF(STOCK!$A$6:$A$105,A94)&lt;&gt;1),"",IF(INDEX(STOCK!$L$6:$L$105,MATCH(A94,STOCK!$A$6:$A$105,0))="","",INDEX(STOCK!$L$6:$L$105,MATCH(A94,STOCK!$A$6:$A$105,0))))</f>
        <v/>
      </c>
      <c r="K94" s="14" t="str">
        <f>IF(OR(A94="",COUNTIF(STOCK!$A$6:$A$105,A94)&lt;&gt;1),"",IF(INDEX(STOCK!$N$6:$N$105,MATCH(A94,STOCK!$A$6:$A$105,0))="","",INDEX(STOCK!$N$6:$N$105,MATCH(A94,STOCK!$A$6:$A$105,0))))</f>
        <v/>
      </c>
      <c r="L94" s="14" t="str">
        <f>IF(OR(A94="",COUNTIF(STOCK!$A$6:$A$105,A94)&lt;&gt;1),"",IF(INDEX(STOCK!$O$6:$O$105,MATCH(A94,STOCK!$A$6:$A$105,0))="","",INDEX(STOCK!$O$6:$O$105,MATCH(A94,STOCK!$A$6:$A$105,0))))</f>
        <v/>
      </c>
      <c r="M94" s="14" t="str">
        <f>IF(OR(A94="",COUNTIF(STOCK!$A$6:$A$105,A94)&lt;&gt;1),"",IF(INDEX(STOCK!$P$6:$P$105,MATCH(A94,STOCK!$A$6:$A$105,0))="","",INDEX(STOCK!$P$6:$P$105,MATCH(A94,STOCK!$A$6:$A$105,0))))</f>
        <v/>
      </c>
      <c r="N94" s="14" t="str">
        <f>IF(OR(A94="",COUNTIF(STOCK!$A$6:$A$105,A94)&lt;&gt;1),"",IF(INDEX(STOCK!$I$6:$I$105,MATCH(A94,STOCK!$A$6:$A$105,0))="","",INDEX(STOCK!$I$6:$I$105,MATCH(A94,STOCK!$A$6:$A$105,0))))</f>
        <v/>
      </c>
      <c r="O94" s="16" t="str">
        <f>IF(OR(A94="",COUNTIF(STOCK!$A$6:$A$105,A94)&lt;&gt;1),"",IF(INDEX(STOCK!$J$6:$J$105,MATCH(A94,STOCK!$A$6:$A$105,0))="","",INDEX(STOCK!$J$6:$J$105,MATCH(A94,STOCK!$A$6:$A$105,0))))</f>
        <v/>
      </c>
      <c r="P94" s="11" t="str">
        <f>IF(OR(A94="",COUNTIF(STOCK!$A$6:$A$105,A94)&lt;&gt;1),"",IF(INDEX(STOCK!$R$6:$R$105,MATCH(A94,STOCK!$A$6:$A$105,0))="","",INDEX(STOCK!$R$6:$R$105,MATCH(A94,STOCK!$A$6:$A$105,0))))</f>
        <v/>
      </c>
      <c r="Q94" s="12" t="str">
        <f t="shared" si="6"/>
        <v/>
      </c>
      <c r="R94" s="17" t="str">
        <f t="shared" si="7"/>
        <v/>
      </c>
      <c r="S94" s="17" t="str">
        <f t="shared" si="8"/>
        <v/>
      </c>
    </row>
    <row r="95" spans="1:19" ht="42" customHeight="1" x14ac:dyDescent="0.45">
      <c r="A95" s="12" t="str">
        <f>IF(CATALOGO!A95="","",CATALOGO!A95)</f>
        <v/>
      </c>
      <c r="B95" s="12" t="str">
        <f>IF(A95="","",CATALOGO!B95)</f>
        <v/>
      </c>
      <c r="C95" s="12" t="str">
        <f>IF(A95="","",CATALOGO!F95)</f>
        <v/>
      </c>
      <c r="D95" s="11" t="str">
        <f>IF(A95="","",CATALOGO!G95)</f>
        <v/>
      </c>
      <c r="E95" s="11" t="str">
        <f>IF(A95="","",CATALOGO!P95)</f>
        <v/>
      </c>
      <c r="F95" s="11" t="str">
        <f>IF(A95="","",CATALOGO!S95)</f>
        <v/>
      </c>
      <c r="G95" s="15" t="str">
        <f>IF(A95="","",CATALOGO!R95)</f>
        <v/>
      </c>
      <c r="H95" s="12" t="str">
        <f>IF(A95="","",IF(COUNTIF(STOCK!$A$6:$A$105,A95)&lt;&gt;1,"SIN STOCK UNICO",INDEX(STOCK!$K$6:$K$105,MATCH(A95,STOCK!$A$6:$A$105,0))))</f>
        <v/>
      </c>
      <c r="I95" s="12" t="str">
        <f>IF(OR(A95="",COUNTIF(STOCK!$A$6:$A$105,A95)&lt;&gt;1),"",IF(INDEX(STOCK!$M$6:$M$105,MATCH(A95,STOCK!$A$6:$A$105,0))="","",INDEX(STOCK!$M$6:$M$105,MATCH(A95,STOCK!$A$6:$A$105,0))))</f>
        <v/>
      </c>
      <c r="J95" s="14" t="str">
        <f>IF(OR(A95="",COUNTIF(STOCK!$A$6:$A$105,A95)&lt;&gt;1),"",IF(INDEX(STOCK!$L$6:$L$105,MATCH(A95,STOCK!$A$6:$A$105,0))="","",INDEX(STOCK!$L$6:$L$105,MATCH(A95,STOCK!$A$6:$A$105,0))))</f>
        <v/>
      </c>
      <c r="K95" s="14" t="str">
        <f>IF(OR(A95="",COUNTIF(STOCK!$A$6:$A$105,A95)&lt;&gt;1),"",IF(INDEX(STOCK!$N$6:$N$105,MATCH(A95,STOCK!$A$6:$A$105,0))="","",INDEX(STOCK!$N$6:$N$105,MATCH(A95,STOCK!$A$6:$A$105,0))))</f>
        <v/>
      </c>
      <c r="L95" s="14" t="str">
        <f>IF(OR(A95="",COUNTIF(STOCK!$A$6:$A$105,A95)&lt;&gt;1),"",IF(INDEX(STOCK!$O$6:$O$105,MATCH(A95,STOCK!$A$6:$A$105,0))="","",INDEX(STOCK!$O$6:$O$105,MATCH(A95,STOCK!$A$6:$A$105,0))))</f>
        <v/>
      </c>
      <c r="M95" s="14" t="str">
        <f>IF(OR(A95="",COUNTIF(STOCK!$A$6:$A$105,A95)&lt;&gt;1),"",IF(INDEX(STOCK!$P$6:$P$105,MATCH(A95,STOCK!$A$6:$A$105,0))="","",INDEX(STOCK!$P$6:$P$105,MATCH(A95,STOCK!$A$6:$A$105,0))))</f>
        <v/>
      </c>
      <c r="N95" s="14" t="str">
        <f>IF(OR(A95="",COUNTIF(STOCK!$A$6:$A$105,A95)&lt;&gt;1),"",IF(INDEX(STOCK!$I$6:$I$105,MATCH(A95,STOCK!$A$6:$A$105,0))="","",INDEX(STOCK!$I$6:$I$105,MATCH(A95,STOCK!$A$6:$A$105,0))))</f>
        <v/>
      </c>
      <c r="O95" s="16" t="str">
        <f>IF(OR(A95="",COUNTIF(STOCK!$A$6:$A$105,A95)&lt;&gt;1),"",IF(INDEX(STOCK!$J$6:$J$105,MATCH(A95,STOCK!$A$6:$A$105,0))="","",INDEX(STOCK!$J$6:$J$105,MATCH(A95,STOCK!$A$6:$A$105,0))))</f>
        <v/>
      </c>
      <c r="P95" s="11" t="str">
        <f>IF(OR(A95="",COUNTIF(STOCK!$A$6:$A$105,A95)&lt;&gt;1),"",IF(INDEX(STOCK!$R$6:$R$105,MATCH(A95,STOCK!$A$6:$A$105,0))="","",INDEX(STOCK!$R$6:$R$105,MATCH(A95,STOCK!$A$6:$A$105,0))))</f>
        <v/>
      </c>
      <c r="Q95" s="12" t="str">
        <f t="shared" si="6"/>
        <v/>
      </c>
      <c r="R95" s="17" t="str">
        <f t="shared" si="7"/>
        <v/>
      </c>
      <c r="S95" s="17" t="str">
        <f t="shared" si="8"/>
        <v/>
      </c>
    </row>
    <row r="96" spans="1:19" ht="42" customHeight="1" x14ac:dyDescent="0.45">
      <c r="A96" s="12" t="str">
        <f>IF(CATALOGO!A96="","",CATALOGO!A96)</f>
        <v/>
      </c>
      <c r="B96" s="12" t="str">
        <f>IF(A96="","",CATALOGO!B96)</f>
        <v/>
      </c>
      <c r="C96" s="12" t="str">
        <f>IF(A96="","",CATALOGO!F96)</f>
        <v/>
      </c>
      <c r="D96" s="11" t="str">
        <f>IF(A96="","",CATALOGO!G96)</f>
        <v/>
      </c>
      <c r="E96" s="11" t="str">
        <f>IF(A96="","",CATALOGO!P96)</f>
        <v/>
      </c>
      <c r="F96" s="11" t="str">
        <f>IF(A96="","",CATALOGO!S96)</f>
        <v/>
      </c>
      <c r="G96" s="15" t="str">
        <f>IF(A96="","",CATALOGO!R96)</f>
        <v/>
      </c>
      <c r="H96" s="12" t="str">
        <f>IF(A96="","",IF(COUNTIF(STOCK!$A$6:$A$105,A96)&lt;&gt;1,"SIN STOCK UNICO",INDEX(STOCK!$K$6:$K$105,MATCH(A96,STOCK!$A$6:$A$105,0))))</f>
        <v/>
      </c>
      <c r="I96" s="12" t="str">
        <f>IF(OR(A96="",COUNTIF(STOCK!$A$6:$A$105,A96)&lt;&gt;1),"",IF(INDEX(STOCK!$M$6:$M$105,MATCH(A96,STOCK!$A$6:$A$105,0))="","",INDEX(STOCK!$M$6:$M$105,MATCH(A96,STOCK!$A$6:$A$105,0))))</f>
        <v/>
      </c>
      <c r="J96" s="14" t="str">
        <f>IF(OR(A96="",COUNTIF(STOCK!$A$6:$A$105,A96)&lt;&gt;1),"",IF(INDEX(STOCK!$L$6:$L$105,MATCH(A96,STOCK!$A$6:$A$105,0))="","",INDEX(STOCK!$L$6:$L$105,MATCH(A96,STOCK!$A$6:$A$105,0))))</f>
        <v/>
      </c>
      <c r="K96" s="14" t="str">
        <f>IF(OR(A96="",COUNTIF(STOCK!$A$6:$A$105,A96)&lt;&gt;1),"",IF(INDEX(STOCK!$N$6:$N$105,MATCH(A96,STOCK!$A$6:$A$105,0))="","",INDEX(STOCK!$N$6:$N$105,MATCH(A96,STOCK!$A$6:$A$105,0))))</f>
        <v/>
      </c>
      <c r="L96" s="14" t="str">
        <f>IF(OR(A96="",COUNTIF(STOCK!$A$6:$A$105,A96)&lt;&gt;1),"",IF(INDEX(STOCK!$O$6:$O$105,MATCH(A96,STOCK!$A$6:$A$105,0))="","",INDEX(STOCK!$O$6:$O$105,MATCH(A96,STOCK!$A$6:$A$105,0))))</f>
        <v/>
      </c>
      <c r="M96" s="14" t="str">
        <f>IF(OR(A96="",COUNTIF(STOCK!$A$6:$A$105,A96)&lt;&gt;1),"",IF(INDEX(STOCK!$P$6:$P$105,MATCH(A96,STOCK!$A$6:$A$105,0))="","",INDEX(STOCK!$P$6:$P$105,MATCH(A96,STOCK!$A$6:$A$105,0))))</f>
        <v/>
      </c>
      <c r="N96" s="14" t="str">
        <f>IF(OR(A96="",COUNTIF(STOCK!$A$6:$A$105,A96)&lt;&gt;1),"",IF(INDEX(STOCK!$I$6:$I$105,MATCH(A96,STOCK!$A$6:$A$105,0))="","",INDEX(STOCK!$I$6:$I$105,MATCH(A96,STOCK!$A$6:$A$105,0))))</f>
        <v/>
      </c>
      <c r="O96" s="16" t="str">
        <f>IF(OR(A96="",COUNTIF(STOCK!$A$6:$A$105,A96)&lt;&gt;1),"",IF(INDEX(STOCK!$J$6:$J$105,MATCH(A96,STOCK!$A$6:$A$105,0))="","",INDEX(STOCK!$J$6:$J$105,MATCH(A96,STOCK!$A$6:$A$105,0))))</f>
        <v/>
      </c>
      <c r="P96" s="11" t="str">
        <f>IF(OR(A96="",COUNTIF(STOCK!$A$6:$A$105,A96)&lt;&gt;1),"",IF(INDEX(STOCK!$R$6:$R$105,MATCH(A96,STOCK!$A$6:$A$105,0))="","",INDEX(STOCK!$R$6:$R$105,MATCH(A96,STOCK!$A$6:$A$105,0))))</f>
        <v/>
      </c>
      <c r="Q96" s="12" t="str">
        <f t="shared" si="6"/>
        <v/>
      </c>
      <c r="R96" s="17" t="str">
        <f t="shared" si="7"/>
        <v/>
      </c>
      <c r="S96" s="17" t="str">
        <f t="shared" si="8"/>
        <v/>
      </c>
    </row>
    <row r="97" spans="1:19" ht="42" customHeight="1" x14ac:dyDescent="0.45">
      <c r="A97" s="12" t="str">
        <f>IF(CATALOGO!A97="","",CATALOGO!A97)</f>
        <v/>
      </c>
      <c r="B97" s="12" t="str">
        <f>IF(A97="","",CATALOGO!B97)</f>
        <v/>
      </c>
      <c r="C97" s="12" t="str">
        <f>IF(A97="","",CATALOGO!F97)</f>
        <v/>
      </c>
      <c r="D97" s="11" t="str">
        <f>IF(A97="","",CATALOGO!G97)</f>
        <v/>
      </c>
      <c r="E97" s="11" t="str">
        <f>IF(A97="","",CATALOGO!P97)</f>
        <v/>
      </c>
      <c r="F97" s="11" t="str">
        <f>IF(A97="","",CATALOGO!S97)</f>
        <v/>
      </c>
      <c r="G97" s="15" t="str">
        <f>IF(A97="","",CATALOGO!R97)</f>
        <v/>
      </c>
      <c r="H97" s="12" t="str">
        <f>IF(A97="","",IF(COUNTIF(STOCK!$A$6:$A$105,A97)&lt;&gt;1,"SIN STOCK UNICO",INDEX(STOCK!$K$6:$K$105,MATCH(A97,STOCK!$A$6:$A$105,0))))</f>
        <v/>
      </c>
      <c r="I97" s="12" t="str">
        <f>IF(OR(A97="",COUNTIF(STOCK!$A$6:$A$105,A97)&lt;&gt;1),"",IF(INDEX(STOCK!$M$6:$M$105,MATCH(A97,STOCK!$A$6:$A$105,0))="","",INDEX(STOCK!$M$6:$M$105,MATCH(A97,STOCK!$A$6:$A$105,0))))</f>
        <v/>
      </c>
      <c r="J97" s="14" t="str">
        <f>IF(OR(A97="",COUNTIF(STOCK!$A$6:$A$105,A97)&lt;&gt;1),"",IF(INDEX(STOCK!$L$6:$L$105,MATCH(A97,STOCK!$A$6:$A$105,0))="","",INDEX(STOCK!$L$6:$L$105,MATCH(A97,STOCK!$A$6:$A$105,0))))</f>
        <v/>
      </c>
      <c r="K97" s="14" t="str">
        <f>IF(OR(A97="",COUNTIF(STOCK!$A$6:$A$105,A97)&lt;&gt;1),"",IF(INDEX(STOCK!$N$6:$N$105,MATCH(A97,STOCK!$A$6:$A$105,0))="","",INDEX(STOCK!$N$6:$N$105,MATCH(A97,STOCK!$A$6:$A$105,0))))</f>
        <v/>
      </c>
      <c r="L97" s="14" t="str">
        <f>IF(OR(A97="",COUNTIF(STOCK!$A$6:$A$105,A97)&lt;&gt;1),"",IF(INDEX(STOCK!$O$6:$O$105,MATCH(A97,STOCK!$A$6:$A$105,0))="","",INDEX(STOCK!$O$6:$O$105,MATCH(A97,STOCK!$A$6:$A$105,0))))</f>
        <v/>
      </c>
      <c r="M97" s="14" t="str">
        <f>IF(OR(A97="",COUNTIF(STOCK!$A$6:$A$105,A97)&lt;&gt;1),"",IF(INDEX(STOCK!$P$6:$P$105,MATCH(A97,STOCK!$A$6:$A$105,0))="","",INDEX(STOCK!$P$6:$P$105,MATCH(A97,STOCK!$A$6:$A$105,0))))</f>
        <v/>
      </c>
      <c r="N97" s="14" t="str">
        <f>IF(OR(A97="",COUNTIF(STOCK!$A$6:$A$105,A97)&lt;&gt;1),"",IF(INDEX(STOCK!$I$6:$I$105,MATCH(A97,STOCK!$A$6:$A$105,0))="","",INDEX(STOCK!$I$6:$I$105,MATCH(A97,STOCK!$A$6:$A$105,0))))</f>
        <v/>
      </c>
      <c r="O97" s="16" t="str">
        <f>IF(OR(A97="",COUNTIF(STOCK!$A$6:$A$105,A97)&lt;&gt;1),"",IF(INDEX(STOCK!$J$6:$J$105,MATCH(A97,STOCK!$A$6:$A$105,0))="","",INDEX(STOCK!$J$6:$J$105,MATCH(A97,STOCK!$A$6:$A$105,0))))</f>
        <v/>
      </c>
      <c r="P97" s="11" t="str">
        <f>IF(OR(A97="",COUNTIF(STOCK!$A$6:$A$105,A97)&lt;&gt;1),"",IF(INDEX(STOCK!$R$6:$R$105,MATCH(A97,STOCK!$A$6:$A$105,0))="","",INDEX(STOCK!$R$6:$R$105,MATCH(A97,STOCK!$A$6:$A$105,0))))</f>
        <v/>
      </c>
      <c r="Q97" s="12" t="str">
        <f t="shared" si="6"/>
        <v/>
      </c>
      <c r="R97" s="17" t="str">
        <f t="shared" si="7"/>
        <v/>
      </c>
      <c r="S97" s="17" t="str">
        <f t="shared" si="8"/>
        <v/>
      </c>
    </row>
    <row r="98" spans="1:19" ht="42" customHeight="1" x14ac:dyDescent="0.45">
      <c r="A98" s="12" t="str">
        <f>IF(CATALOGO!A98="","",CATALOGO!A98)</f>
        <v/>
      </c>
      <c r="B98" s="12" t="str">
        <f>IF(A98="","",CATALOGO!B98)</f>
        <v/>
      </c>
      <c r="C98" s="12" t="str">
        <f>IF(A98="","",CATALOGO!F98)</f>
        <v/>
      </c>
      <c r="D98" s="11" t="str">
        <f>IF(A98="","",CATALOGO!G98)</f>
        <v/>
      </c>
      <c r="E98" s="11" t="str">
        <f>IF(A98="","",CATALOGO!P98)</f>
        <v/>
      </c>
      <c r="F98" s="11" t="str">
        <f>IF(A98="","",CATALOGO!S98)</f>
        <v/>
      </c>
      <c r="G98" s="15" t="str">
        <f>IF(A98="","",CATALOGO!R98)</f>
        <v/>
      </c>
      <c r="H98" s="12" t="str">
        <f>IF(A98="","",IF(COUNTIF(STOCK!$A$6:$A$105,A98)&lt;&gt;1,"SIN STOCK UNICO",INDEX(STOCK!$K$6:$K$105,MATCH(A98,STOCK!$A$6:$A$105,0))))</f>
        <v/>
      </c>
      <c r="I98" s="12" t="str">
        <f>IF(OR(A98="",COUNTIF(STOCK!$A$6:$A$105,A98)&lt;&gt;1),"",IF(INDEX(STOCK!$M$6:$M$105,MATCH(A98,STOCK!$A$6:$A$105,0))="","",INDEX(STOCK!$M$6:$M$105,MATCH(A98,STOCK!$A$6:$A$105,0))))</f>
        <v/>
      </c>
      <c r="J98" s="14" t="str">
        <f>IF(OR(A98="",COUNTIF(STOCK!$A$6:$A$105,A98)&lt;&gt;1),"",IF(INDEX(STOCK!$L$6:$L$105,MATCH(A98,STOCK!$A$6:$A$105,0))="","",INDEX(STOCK!$L$6:$L$105,MATCH(A98,STOCK!$A$6:$A$105,0))))</f>
        <v/>
      </c>
      <c r="K98" s="14" t="str">
        <f>IF(OR(A98="",COUNTIF(STOCK!$A$6:$A$105,A98)&lt;&gt;1),"",IF(INDEX(STOCK!$N$6:$N$105,MATCH(A98,STOCK!$A$6:$A$105,0))="","",INDEX(STOCK!$N$6:$N$105,MATCH(A98,STOCK!$A$6:$A$105,0))))</f>
        <v/>
      </c>
      <c r="L98" s="14" t="str">
        <f>IF(OR(A98="",COUNTIF(STOCK!$A$6:$A$105,A98)&lt;&gt;1),"",IF(INDEX(STOCK!$O$6:$O$105,MATCH(A98,STOCK!$A$6:$A$105,0))="","",INDEX(STOCK!$O$6:$O$105,MATCH(A98,STOCK!$A$6:$A$105,0))))</f>
        <v/>
      </c>
      <c r="M98" s="14" t="str">
        <f>IF(OR(A98="",COUNTIF(STOCK!$A$6:$A$105,A98)&lt;&gt;1),"",IF(INDEX(STOCK!$P$6:$P$105,MATCH(A98,STOCK!$A$6:$A$105,0))="","",INDEX(STOCK!$P$6:$P$105,MATCH(A98,STOCK!$A$6:$A$105,0))))</f>
        <v/>
      </c>
      <c r="N98" s="14" t="str">
        <f>IF(OR(A98="",COUNTIF(STOCK!$A$6:$A$105,A98)&lt;&gt;1),"",IF(INDEX(STOCK!$I$6:$I$105,MATCH(A98,STOCK!$A$6:$A$105,0))="","",INDEX(STOCK!$I$6:$I$105,MATCH(A98,STOCK!$A$6:$A$105,0))))</f>
        <v/>
      </c>
      <c r="O98" s="16" t="str">
        <f>IF(OR(A98="",COUNTIF(STOCK!$A$6:$A$105,A98)&lt;&gt;1),"",IF(INDEX(STOCK!$J$6:$J$105,MATCH(A98,STOCK!$A$6:$A$105,0))="","",INDEX(STOCK!$J$6:$J$105,MATCH(A98,STOCK!$A$6:$A$105,0))))</f>
        <v/>
      </c>
      <c r="P98" s="11" t="str">
        <f>IF(OR(A98="",COUNTIF(STOCK!$A$6:$A$105,A98)&lt;&gt;1),"",IF(INDEX(STOCK!$R$6:$R$105,MATCH(A98,STOCK!$A$6:$A$105,0))="","",INDEX(STOCK!$R$6:$R$105,MATCH(A98,STOCK!$A$6:$A$105,0))))</f>
        <v/>
      </c>
      <c r="Q98" s="12" t="str">
        <f t="shared" si="6"/>
        <v/>
      </c>
      <c r="R98" s="17" t="str">
        <f t="shared" si="7"/>
        <v/>
      </c>
      <c r="S98" s="17" t="str">
        <f t="shared" si="8"/>
        <v/>
      </c>
    </row>
    <row r="99" spans="1:19" ht="42" customHeight="1" x14ac:dyDescent="0.45">
      <c r="A99" s="12" t="str">
        <f>IF(CATALOGO!A99="","",CATALOGO!A99)</f>
        <v/>
      </c>
      <c r="B99" s="12" t="str">
        <f>IF(A99="","",CATALOGO!B99)</f>
        <v/>
      </c>
      <c r="C99" s="12" t="str">
        <f>IF(A99="","",CATALOGO!F99)</f>
        <v/>
      </c>
      <c r="D99" s="11" t="str">
        <f>IF(A99="","",CATALOGO!G99)</f>
        <v/>
      </c>
      <c r="E99" s="11" t="str">
        <f>IF(A99="","",CATALOGO!P99)</f>
        <v/>
      </c>
      <c r="F99" s="11" t="str">
        <f>IF(A99="","",CATALOGO!S99)</f>
        <v/>
      </c>
      <c r="G99" s="15" t="str">
        <f>IF(A99="","",CATALOGO!R99)</f>
        <v/>
      </c>
      <c r="H99" s="12" t="str">
        <f>IF(A99="","",IF(COUNTIF(STOCK!$A$6:$A$105,A99)&lt;&gt;1,"SIN STOCK UNICO",INDEX(STOCK!$K$6:$K$105,MATCH(A99,STOCK!$A$6:$A$105,0))))</f>
        <v/>
      </c>
      <c r="I99" s="12" t="str">
        <f>IF(OR(A99="",COUNTIF(STOCK!$A$6:$A$105,A99)&lt;&gt;1),"",IF(INDEX(STOCK!$M$6:$M$105,MATCH(A99,STOCK!$A$6:$A$105,0))="","",INDEX(STOCK!$M$6:$M$105,MATCH(A99,STOCK!$A$6:$A$105,0))))</f>
        <v/>
      </c>
      <c r="J99" s="14" t="str">
        <f>IF(OR(A99="",COUNTIF(STOCK!$A$6:$A$105,A99)&lt;&gt;1),"",IF(INDEX(STOCK!$L$6:$L$105,MATCH(A99,STOCK!$A$6:$A$105,0))="","",INDEX(STOCK!$L$6:$L$105,MATCH(A99,STOCK!$A$6:$A$105,0))))</f>
        <v/>
      </c>
      <c r="K99" s="14" t="str">
        <f>IF(OR(A99="",COUNTIF(STOCK!$A$6:$A$105,A99)&lt;&gt;1),"",IF(INDEX(STOCK!$N$6:$N$105,MATCH(A99,STOCK!$A$6:$A$105,0))="","",INDEX(STOCK!$N$6:$N$105,MATCH(A99,STOCK!$A$6:$A$105,0))))</f>
        <v/>
      </c>
      <c r="L99" s="14" t="str">
        <f>IF(OR(A99="",COUNTIF(STOCK!$A$6:$A$105,A99)&lt;&gt;1),"",IF(INDEX(STOCK!$O$6:$O$105,MATCH(A99,STOCK!$A$6:$A$105,0))="","",INDEX(STOCK!$O$6:$O$105,MATCH(A99,STOCK!$A$6:$A$105,0))))</f>
        <v/>
      </c>
      <c r="M99" s="14" t="str">
        <f>IF(OR(A99="",COUNTIF(STOCK!$A$6:$A$105,A99)&lt;&gt;1),"",IF(INDEX(STOCK!$P$6:$P$105,MATCH(A99,STOCK!$A$6:$A$105,0))="","",INDEX(STOCK!$P$6:$P$105,MATCH(A99,STOCK!$A$6:$A$105,0))))</f>
        <v/>
      </c>
      <c r="N99" s="14" t="str">
        <f>IF(OR(A99="",COUNTIF(STOCK!$A$6:$A$105,A99)&lt;&gt;1),"",IF(INDEX(STOCK!$I$6:$I$105,MATCH(A99,STOCK!$A$6:$A$105,0))="","",INDEX(STOCK!$I$6:$I$105,MATCH(A99,STOCK!$A$6:$A$105,0))))</f>
        <v/>
      </c>
      <c r="O99" s="16" t="str">
        <f>IF(OR(A99="",COUNTIF(STOCK!$A$6:$A$105,A99)&lt;&gt;1),"",IF(INDEX(STOCK!$J$6:$J$105,MATCH(A99,STOCK!$A$6:$A$105,0))="","",INDEX(STOCK!$J$6:$J$105,MATCH(A99,STOCK!$A$6:$A$105,0))))</f>
        <v/>
      </c>
      <c r="P99" s="11" t="str">
        <f>IF(OR(A99="",COUNTIF(STOCK!$A$6:$A$105,A99)&lt;&gt;1),"",IF(INDEX(STOCK!$R$6:$R$105,MATCH(A99,STOCK!$A$6:$A$105,0))="","",INDEX(STOCK!$R$6:$R$105,MATCH(A99,STOCK!$A$6:$A$105,0))))</f>
        <v/>
      </c>
      <c r="Q99" s="12" t="str">
        <f t="shared" si="6"/>
        <v/>
      </c>
      <c r="R99" s="17" t="str">
        <f t="shared" si="7"/>
        <v/>
      </c>
      <c r="S99" s="17" t="str">
        <f t="shared" si="8"/>
        <v/>
      </c>
    </row>
    <row r="100" spans="1:19" ht="42" customHeight="1" x14ac:dyDescent="0.45">
      <c r="A100" s="12" t="str">
        <f>IF(CATALOGO!A100="","",CATALOGO!A100)</f>
        <v/>
      </c>
      <c r="B100" s="12" t="str">
        <f>IF(A100="","",CATALOGO!B100)</f>
        <v/>
      </c>
      <c r="C100" s="12" t="str">
        <f>IF(A100="","",CATALOGO!F100)</f>
        <v/>
      </c>
      <c r="D100" s="11" t="str">
        <f>IF(A100="","",CATALOGO!G100)</f>
        <v/>
      </c>
      <c r="E100" s="11" t="str">
        <f>IF(A100="","",CATALOGO!P100)</f>
        <v/>
      </c>
      <c r="F100" s="11" t="str">
        <f>IF(A100="","",CATALOGO!S100)</f>
        <v/>
      </c>
      <c r="G100" s="15" t="str">
        <f>IF(A100="","",CATALOGO!R100)</f>
        <v/>
      </c>
      <c r="H100" s="12" t="str">
        <f>IF(A100="","",IF(COUNTIF(STOCK!$A$6:$A$105,A100)&lt;&gt;1,"SIN STOCK UNICO",INDEX(STOCK!$K$6:$K$105,MATCH(A100,STOCK!$A$6:$A$105,0))))</f>
        <v/>
      </c>
      <c r="I100" s="12" t="str">
        <f>IF(OR(A100="",COUNTIF(STOCK!$A$6:$A$105,A100)&lt;&gt;1),"",IF(INDEX(STOCK!$M$6:$M$105,MATCH(A100,STOCK!$A$6:$A$105,0))="","",INDEX(STOCK!$M$6:$M$105,MATCH(A100,STOCK!$A$6:$A$105,0))))</f>
        <v/>
      </c>
      <c r="J100" s="14" t="str">
        <f>IF(OR(A100="",COUNTIF(STOCK!$A$6:$A$105,A100)&lt;&gt;1),"",IF(INDEX(STOCK!$L$6:$L$105,MATCH(A100,STOCK!$A$6:$A$105,0))="","",INDEX(STOCK!$L$6:$L$105,MATCH(A100,STOCK!$A$6:$A$105,0))))</f>
        <v/>
      </c>
      <c r="K100" s="14" t="str">
        <f>IF(OR(A100="",COUNTIF(STOCK!$A$6:$A$105,A100)&lt;&gt;1),"",IF(INDEX(STOCK!$N$6:$N$105,MATCH(A100,STOCK!$A$6:$A$105,0))="","",INDEX(STOCK!$N$6:$N$105,MATCH(A100,STOCK!$A$6:$A$105,0))))</f>
        <v/>
      </c>
      <c r="L100" s="14" t="str">
        <f>IF(OR(A100="",COUNTIF(STOCK!$A$6:$A$105,A100)&lt;&gt;1),"",IF(INDEX(STOCK!$O$6:$O$105,MATCH(A100,STOCK!$A$6:$A$105,0))="","",INDEX(STOCK!$O$6:$O$105,MATCH(A100,STOCK!$A$6:$A$105,0))))</f>
        <v/>
      </c>
      <c r="M100" s="14" t="str">
        <f>IF(OR(A100="",COUNTIF(STOCK!$A$6:$A$105,A100)&lt;&gt;1),"",IF(INDEX(STOCK!$P$6:$P$105,MATCH(A100,STOCK!$A$6:$A$105,0))="","",INDEX(STOCK!$P$6:$P$105,MATCH(A100,STOCK!$A$6:$A$105,0))))</f>
        <v/>
      </c>
      <c r="N100" s="14" t="str">
        <f>IF(OR(A100="",COUNTIF(STOCK!$A$6:$A$105,A100)&lt;&gt;1),"",IF(INDEX(STOCK!$I$6:$I$105,MATCH(A100,STOCK!$A$6:$A$105,0))="","",INDEX(STOCK!$I$6:$I$105,MATCH(A100,STOCK!$A$6:$A$105,0))))</f>
        <v/>
      </c>
      <c r="O100" s="16" t="str">
        <f>IF(OR(A100="",COUNTIF(STOCK!$A$6:$A$105,A100)&lt;&gt;1),"",IF(INDEX(STOCK!$J$6:$J$105,MATCH(A100,STOCK!$A$6:$A$105,0))="","",INDEX(STOCK!$J$6:$J$105,MATCH(A100,STOCK!$A$6:$A$105,0))))</f>
        <v/>
      </c>
      <c r="P100" s="11" t="str">
        <f>IF(OR(A100="",COUNTIF(STOCK!$A$6:$A$105,A100)&lt;&gt;1),"",IF(INDEX(STOCK!$R$6:$R$105,MATCH(A100,STOCK!$A$6:$A$105,0))="","",INDEX(STOCK!$R$6:$R$105,MATCH(A100,STOCK!$A$6:$A$105,0))))</f>
        <v/>
      </c>
      <c r="Q100" s="12" t="str">
        <f t="shared" si="6"/>
        <v/>
      </c>
      <c r="R100" s="17" t="str">
        <f t="shared" si="7"/>
        <v/>
      </c>
      <c r="S100" s="17" t="str">
        <f t="shared" si="8"/>
        <v/>
      </c>
    </row>
    <row r="101" spans="1:19" ht="42" customHeight="1" x14ac:dyDescent="0.45">
      <c r="A101" s="12" t="str">
        <f>IF(CATALOGO!A101="","",CATALOGO!A101)</f>
        <v/>
      </c>
      <c r="B101" s="12" t="str">
        <f>IF(A101="","",CATALOGO!B101)</f>
        <v/>
      </c>
      <c r="C101" s="12" t="str">
        <f>IF(A101="","",CATALOGO!F101)</f>
        <v/>
      </c>
      <c r="D101" s="11" t="str">
        <f>IF(A101="","",CATALOGO!G101)</f>
        <v/>
      </c>
      <c r="E101" s="11" t="str">
        <f>IF(A101="","",CATALOGO!P101)</f>
        <v/>
      </c>
      <c r="F101" s="11" t="str">
        <f>IF(A101="","",CATALOGO!S101)</f>
        <v/>
      </c>
      <c r="G101" s="15" t="str">
        <f>IF(A101="","",CATALOGO!R101)</f>
        <v/>
      </c>
      <c r="H101" s="12" t="str">
        <f>IF(A101="","",IF(COUNTIF(STOCK!$A$6:$A$105,A101)&lt;&gt;1,"SIN STOCK UNICO",INDEX(STOCK!$K$6:$K$105,MATCH(A101,STOCK!$A$6:$A$105,0))))</f>
        <v/>
      </c>
      <c r="I101" s="12" t="str">
        <f>IF(OR(A101="",COUNTIF(STOCK!$A$6:$A$105,A101)&lt;&gt;1),"",IF(INDEX(STOCK!$M$6:$M$105,MATCH(A101,STOCK!$A$6:$A$105,0))="","",INDEX(STOCK!$M$6:$M$105,MATCH(A101,STOCK!$A$6:$A$105,0))))</f>
        <v/>
      </c>
      <c r="J101" s="14" t="str">
        <f>IF(OR(A101="",COUNTIF(STOCK!$A$6:$A$105,A101)&lt;&gt;1),"",IF(INDEX(STOCK!$L$6:$L$105,MATCH(A101,STOCK!$A$6:$A$105,0))="","",INDEX(STOCK!$L$6:$L$105,MATCH(A101,STOCK!$A$6:$A$105,0))))</f>
        <v/>
      </c>
      <c r="K101" s="14" t="str">
        <f>IF(OR(A101="",COUNTIF(STOCK!$A$6:$A$105,A101)&lt;&gt;1),"",IF(INDEX(STOCK!$N$6:$N$105,MATCH(A101,STOCK!$A$6:$A$105,0))="","",INDEX(STOCK!$N$6:$N$105,MATCH(A101,STOCK!$A$6:$A$105,0))))</f>
        <v/>
      </c>
      <c r="L101" s="14" t="str">
        <f>IF(OR(A101="",COUNTIF(STOCK!$A$6:$A$105,A101)&lt;&gt;1),"",IF(INDEX(STOCK!$O$6:$O$105,MATCH(A101,STOCK!$A$6:$A$105,0))="","",INDEX(STOCK!$O$6:$O$105,MATCH(A101,STOCK!$A$6:$A$105,0))))</f>
        <v/>
      </c>
      <c r="M101" s="14" t="str">
        <f>IF(OR(A101="",COUNTIF(STOCK!$A$6:$A$105,A101)&lt;&gt;1),"",IF(INDEX(STOCK!$P$6:$P$105,MATCH(A101,STOCK!$A$6:$A$105,0))="","",INDEX(STOCK!$P$6:$P$105,MATCH(A101,STOCK!$A$6:$A$105,0))))</f>
        <v/>
      </c>
      <c r="N101" s="14" t="str">
        <f>IF(OR(A101="",COUNTIF(STOCK!$A$6:$A$105,A101)&lt;&gt;1),"",IF(INDEX(STOCK!$I$6:$I$105,MATCH(A101,STOCK!$A$6:$A$105,0))="","",INDEX(STOCK!$I$6:$I$105,MATCH(A101,STOCK!$A$6:$A$105,0))))</f>
        <v/>
      </c>
      <c r="O101" s="16" t="str">
        <f>IF(OR(A101="",COUNTIF(STOCK!$A$6:$A$105,A101)&lt;&gt;1),"",IF(INDEX(STOCK!$J$6:$J$105,MATCH(A101,STOCK!$A$6:$A$105,0))="","",INDEX(STOCK!$J$6:$J$105,MATCH(A101,STOCK!$A$6:$A$105,0))))</f>
        <v/>
      </c>
      <c r="P101" s="11" t="str">
        <f>IF(OR(A101="",COUNTIF(STOCK!$A$6:$A$105,A101)&lt;&gt;1),"",IF(INDEX(STOCK!$R$6:$R$105,MATCH(A101,STOCK!$A$6:$A$105,0))="","",INDEX(STOCK!$R$6:$R$105,MATCH(A101,STOCK!$A$6:$A$105,0))))</f>
        <v/>
      </c>
      <c r="Q101" s="12" t="str">
        <f t="shared" si="6"/>
        <v/>
      </c>
      <c r="R101" s="17" t="str">
        <f t="shared" si="7"/>
        <v/>
      </c>
      <c r="S101" s="17" t="str">
        <f t="shared" si="8"/>
        <v/>
      </c>
    </row>
    <row r="102" spans="1:19" ht="42" customHeight="1" x14ac:dyDescent="0.45">
      <c r="A102" s="12" t="str">
        <f>IF(CATALOGO!A102="","",CATALOGO!A102)</f>
        <v/>
      </c>
      <c r="B102" s="12" t="str">
        <f>IF(A102="","",CATALOGO!B102)</f>
        <v/>
      </c>
      <c r="C102" s="12" t="str">
        <f>IF(A102="","",CATALOGO!F102)</f>
        <v/>
      </c>
      <c r="D102" s="11" t="str">
        <f>IF(A102="","",CATALOGO!G102)</f>
        <v/>
      </c>
      <c r="E102" s="11" t="str">
        <f>IF(A102="","",CATALOGO!P102)</f>
        <v/>
      </c>
      <c r="F102" s="11" t="str">
        <f>IF(A102="","",CATALOGO!S102)</f>
        <v/>
      </c>
      <c r="G102" s="15" t="str">
        <f>IF(A102="","",CATALOGO!R102)</f>
        <v/>
      </c>
      <c r="H102" s="12" t="str">
        <f>IF(A102="","",IF(COUNTIF(STOCK!$A$6:$A$105,A102)&lt;&gt;1,"SIN STOCK UNICO",INDEX(STOCK!$K$6:$K$105,MATCH(A102,STOCK!$A$6:$A$105,0))))</f>
        <v/>
      </c>
      <c r="I102" s="12" t="str">
        <f>IF(OR(A102="",COUNTIF(STOCK!$A$6:$A$105,A102)&lt;&gt;1),"",IF(INDEX(STOCK!$M$6:$M$105,MATCH(A102,STOCK!$A$6:$A$105,0))="","",INDEX(STOCK!$M$6:$M$105,MATCH(A102,STOCK!$A$6:$A$105,0))))</f>
        <v/>
      </c>
      <c r="J102" s="14" t="str">
        <f>IF(OR(A102="",COUNTIF(STOCK!$A$6:$A$105,A102)&lt;&gt;1),"",IF(INDEX(STOCK!$L$6:$L$105,MATCH(A102,STOCK!$A$6:$A$105,0))="","",INDEX(STOCK!$L$6:$L$105,MATCH(A102,STOCK!$A$6:$A$105,0))))</f>
        <v/>
      </c>
      <c r="K102" s="14" t="str">
        <f>IF(OR(A102="",COUNTIF(STOCK!$A$6:$A$105,A102)&lt;&gt;1),"",IF(INDEX(STOCK!$N$6:$N$105,MATCH(A102,STOCK!$A$6:$A$105,0))="","",INDEX(STOCK!$N$6:$N$105,MATCH(A102,STOCK!$A$6:$A$105,0))))</f>
        <v/>
      </c>
      <c r="L102" s="14" t="str">
        <f>IF(OR(A102="",COUNTIF(STOCK!$A$6:$A$105,A102)&lt;&gt;1),"",IF(INDEX(STOCK!$O$6:$O$105,MATCH(A102,STOCK!$A$6:$A$105,0))="","",INDEX(STOCK!$O$6:$O$105,MATCH(A102,STOCK!$A$6:$A$105,0))))</f>
        <v/>
      </c>
      <c r="M102" s="14" t="str">
        <f>IF(OR(A102="",COUNTIF(STOCK!$A$6:$A$105,A102)&lt;&gt;1),"",IF(INDEX(STOCK!$P$6:$P$105,MATCH(A102,STOCK!$A$6:$A$105,0))="","",INDEX(STOCK!$P$6:$P$105,MATCH(A102,STOCK!$A$6:$A$105,0))))</f>
        <v/>
      </c>
      <c r="N102" s="14" t="str">
        <f>IF(OR(A102="",COUNTIF(STOCK!$A$6:$A$105,A102)&lt;&gt;1),"",IF(INDEX(STOCK!$I$6:$I$105,MATCH(A102,STOCK!$A$6:$A$105,0))="","",INDEX(STOCK!$I$6:$I$105,MATCH(A102,STOCK!$A$6:$A$105,0))))</f>
        <v/>
      </c>
      <c r="O102" s="16" t="str">
        <f>IF(OR(A102="",COUNTIF(STOCK!$A$6:$A$105,A102)&lt;&gt;1),"",IF(INDEX(STOCK!$J$6:$J$105,MATCH(A102,STOCK!$A$6:$A$105,0))="","",INDEX(STOCK!$J$6:$J$105,MATCH(A102,STOCK!$A$6:$A$105,0))))</f>
        <v/>
      </c>
      <c r="P102" s="11" t="str">
        <f>IF(OR(A102="",COUNTIF(STOCK!$A$6:$A$105,A102)&lt;&gt;1),"",IF(INDEX(STOCK!$R$6:$R$105,MATCH(A102,STOCK!$A$6:$A$105,0))="","",INDEX(STOCK!$R$6:$R$105,MATCH(A102,STOCK!$A$6:$A$105,0))))</f>
        <v/>
      </c>
      <c r="Q102" s="12" t="str">
        <f t="shared" si="6"/>
        <v/>
      </c>
      <c r="R102" s="17" t="str">
        <f t="shared" si="7"/>
        <v/>
      </c>
      <c r="S102" s="17" t="str">
        <f t="shared" si="8"/>
        <v/>
      </c>
    </row>
    <row r="103" spans="1:19" ht="42" customHeight="1" x14ac:dyDescent="0.45">
      <c r="A103" s="12" t="str">
        <f>IF(CATALOGO!A103="","",CATALOGO!A103)</f>
        <v/>
      </c>
      <c r="B103" s="12" t="str">
        <f>IF(A103="","",CATALOGO!B103)</f>
        <v/>
      </c>
      <c r="C103" s="12" t="str">
        <f>IF(A103="","",CATALOGO!F103)</f>
        <v/>
      </c>
      <c r="D103" s="11" t="str">
        <f>IF(A103="","",CATALOGO!G103)</f>
        <v/>
      </c>
      <c r="E103" s="11" t="str">
        <f>IF(A103="","",CATALOGO!P103)</f>
        <v/>
      </c>
      <c r="F103" s="11" t="str">
        <f>IF(A103="","",CATALOGO!S103)</f>
        <v/>
      </c>
      <c r="G103" s="15" t="str">
        <f>IF(A103="","",CATALOGO!R103)</f>
        <v/>
      </c>
      <c r="H103" s="12" t="str">
        <f>IF(A103="","",IF(COUNTIF(STOCK!$A$6:$A$105,A103)&lt;&gt;1,"SIN STOCK UNICO",INDEX(STOCK!$K$6:$K$105,MATCH(A103,STOCK!$A$6:$A$105,0))))</f>
        <v/>
      </c>
      <c r="I103" s="12" t="str">
        <f>IF(OR(A103="",COUNTIF(STOCK!$A$6:$A$105,A103)&lt;&gt;1),"",IF(INDEX(STOCK!$M$6:$M$105,MATCH(A103,STOCK!$A$6:$A$105,0))="","",INDEX(STOCK!$M$6:$M$105,MATCH(A103,STOCK!$A$6:$A$105,0))))</f>
        <v/>
      </c>
      <c r="J103" s="14" t="str">
        <f>IF(OR(A103="",COUNTIF(STOCK!$A$6:$A$105,A103)&lt;&gt;1),"",IF(INDEX(STOCK!$L$6:$L$105,MATCH(A103,STOCK!$A$6:$A$105,0))="","",INDEX(STOCK!$L$6:$L$105,MATCH(A103,STOCK!$A$6:$A$105,0))))</f>
        <v/>
      </c>
      <c r="K103" s="14" t="str">
        <f>IF(OR(A103="",COUNTIF(STOCK!$A$6:$A$105,A103)&lt;&gt;1),"",IF(INDEX(STOCK!$N$6:$N$105,MATCH(A103,STOCK!$A$6:$A$105,0))="","",INDEX(STOCK!$N$6:$N$105,MATCH(A103,STOCK!$A$6:$A$105,0))))</f>
        <v/>
      </c>
      <c r="L103" s="14" t="str">
        <f>IF(OR(A103="",COUNTIF(STOCK!$A$6:$A$105,A103)&lt;&gt;1),"",IF(INDEX(STOCK!$O$6:$O$105,MATCH(A103,STOCK!$A$6:$A$105,0))="","",INDEX(STOCK!$O$6:$O$105,MATCH(A103,STOCK!$A$6:$A$105,0))))</f>
        <v/>
      </c>
      <c r="M103" s="14" t="str">
        <f>IF(OR(A103="",COUNTIF(STOCK!$A$6:$A$105,A103)&lt;&gt;1),"",IF(INDEX(STOCK!$P$6:$P$105,MATCH(A103,STOCK!$A$6:$A$105,0))="","",INDEX(STOCK!$P$6:$P$105,MATCH(A103,STOCK!$A$6:$A$105,0))))</f>
        <v/>
      </c>
      <c r="N103" s="14" t="str">
        <f>IF(OR(A103="",COUNTIF(STOCK!$A$6:$A$105,A103)&lt;&gt;1),"",IF(INDEX(STOCK!$I$6:$I$105,MATCH(A103,STOCK!$A$6:$A$105,0))="","",INDEX(STOCK!$I$6:$I$105,MATCH(A103,STOCK!$A$6:$A$105,0))))</f>
        <v/>
      </c>
      <c r="O103" s="16" t="str">
        <f>IF(OR(A103="",COUNTIF(STOCK!$A$6:$A$105,A103)&lt;&gt;1),"",IF(INDEX(STOCK!$J$6:$J$105,MATCH(A103,STOCK!$A$6:$A$105,0))="","",INDEX(STOCK!$J$6:$J$105,MATCH(A103,STOCK!$A$6:$A$105,0))))</f>
        <v/>
      </c>
      <c r="P103" s="11" t="str">
        <f>IF(OR(A103="",COUNTIF(STOCK!$A$6:$A$105,A103)&lt;&gt;1),"",IF(INDEX(STOCK!$R$6:$R$105,MATCH(A103,STOCK!$A$6:$A$105,0))="","",INDEX(STOCK!$R$6:$R$105,MATCH(A103,STOCK!$A$6:$A$105,0))))</f>
        <v/>
      </c>
      <c r="Q103" s="12" t="str">
        <f t="shared" si="6"/>
        <v/>
      </c>
      <c r="R103" s="17" t="str">
        <f t="shared" si="7"/>
        <v/>
      </c>
      <c r="S103" s="17" t="str">
        <f t="shared" si="8"/>
        <v/>
      </c>
    </row>
    <row r="104" spans="1:19" ht="42" customHeight="1" x14ac:dyDescent="0.45">
      <c r="A104" s="12" t="str">
        <f>IF(CATALOGO!A104="","",CATALOGO!A104)</f>
        <v/>
      </c>
      <c r="B104" s="12" t="str">
        <f>IF(A104="","",CATALOGO!B104)</f>
        <v/>
      </c>
      <c r="C104" s="12" t="str">
        <f>IF(A104="","",CATALOGO!F104)</f>
        <v/>
      </c>
      <c r="D104" s="11" t="str">
        <f>IF(A104="","",CATALOGO!G104)</f>
        <v/>
      </c>
      <c r="E104" s="11" t="str">
        <f>IF(A104="","",CATALOGO!P104)</f>
        <v/>
      </c>
      <c r="F104" s="11" t="str">
        <f>IF(A104="","",CATALOGO!S104)</f>
        <v/>
      </c>
      <c r="G104" s="15" t="str">
        <f>IF(A104="","",CATALOGO!R104)</f>
        <v/>
      </c>
      <c r="H104" s="12" t="str">
        <f>IF(A104="","",IF(COUNTIF(STOCK!$A$6:$A$105,A104)&lt;&gt;1,"SIN STOCK UNICO",INDEX(STOCK!$K$6:$K$105,MATCH(A104,STOCK!$A$6:$A$105,0))))</f>
        <v/>
      </c>
      <c r="I104" s="12" t="str">
        <f>IF(OR(A104="",COUNTIF(STOCK!$A$6:$A$105,A104)&lt;&gt;1),"",IF(INDEX(STOCK!$M$6:$M$105,MATCH(A104,STOCK!$A$6:$A$105,0))="","",INDEX(STOCK!$M$6:$M$105,MATCH(A104,STOCK!$A$6:$A$105,0))))</f>
        <v/>
      </c>
      <c r="J104" s="14" t="str">
        <f>IF(OR(A104="",COUNTIF(STOCK!$A$6:$A$105,A104)&lt;&gt;1),"",IF(INDEX(STOCK!$L$6:$L$105,MATCH(A104,STOCK!$A$6:$A$105,0))="","",INDEX(STOCK!$L$6:$L$105,MATCH(A104,STOCK!$A$6:$A$105,0))))</f>
        <v/>
      </c>
      <c r="K104" s="14" t="str">
        <f>IF(OR(A104="",COUNTIF(STOCK!$A$6:$A$105,A104)&lt;&gt;1),"",IF(INDEX(STOCK!$N$6:$N$105,MATCH(A104,STOCK!$A$6:$A$105,0))="","",INDEX(STOCK!$N$6:$N$105,MATCH(A104,STOCK!$A$6:$A$105,0))))</f>
        <v/>
      </c>
      <c r="L104" s="14" t="str">
        <f>IF(OR(A104="",COUNTIF(STOCK!$A$6:$A$105,A104)&lt;&gt;1),"",IF(INDEX(STOCK!$O$6:$O$105,MATCH(A104,STOCK!$A$6:$A$105,0))="","",INDEX(STOCK!$O$6:$O$105,MATCH(A104,STOCK!$A$6:$A$105,0))))</f>
        <v/>
      </c>
      <c r="M104" s="14" t="str">
        <f>IF(OR(A104="",COUNTIF(STOCK!$A$6:$A$105,A104)&lt;&gt;1),"",IF(INDEX(STOCK!$P$6:$P$105,MATCH(A104,STOCK!$A$6:$A$105,0))="","",INDEX(STOCK!$P$6:$P$105,MATCH(A104,STOCK!$A$6:$A$105,0))))</f>
        <v/>
      </c>
      <c r="N104" s="14" t="str">
        <f>IF(OR(A104="",COUNTIF(STOCK!$A$6:$A$105,A104)&lt;&gt;1),"",IF(INDEX(STOCK!$I$6:$I$105,MATCH(A104,STOCK!$A$6:$A$105,0))="","",INDEX(STOCK!$I$6:$I$105,MATCH(A104,STOCK!$A$6:$A$105,0))))</f>
        <v/>
      </c>
      <c r="O104" s="16" t="str">
        <f>IF(OR(A104="",COUNTIF(STOCK!$A$6:$A$105,A104)&lt;&gt;1),"",IF(INDEX(STOCK!$J$6:$J$105,MATCH(A104,STOCK!$A$6:$A$105,0))="","",INDEX(STOCK!$J$6:$J$105,MATCH(A104,STOCK!$A$6:$A$105,0))))</f>
        <v/>
      </c>
      <c r="P104" s="11" t="str">
        <f>IF(OR(A104="",COUNTIF(STOCK!$A$6:$A$105,A104)&lt;&gt;1),"",IF(INDEX(STOCK!$R$6:$R$105,MATCH(A104,STOCK!$A$6:$A$105,0))="","",INDEX(STOCK!$R$6:$R$105,MATCH(A104,STOCK!$A$6:$A$105,0))))</f>
        <v/>
      </c>
      <c r="Q104" s="12" t="str">
        <f t="shared" si="6"/>
        <v/>
      </c>
      <c r="R104" s="17" t="str">
        <f t="shared" si="7"/>
        <v/>
      </c>
      <c r="S104" s="17" t="str">
        <f t="shared" si="8"/>
        <v/>
      </c>
    </row>
    <row r="105" spans="1:19" ht="42" customHeight="1" x14ac:dyDescent="0.45">
      <c r="A105" s="12" t="str">
        <f>IF(CATALOGO!A105="","",CATALOGO!A105)</f>
        <v/>
      </c>
      <c r="B105" s="12" t="str">
        <f>IF(A105="","",CATALOGO!B105)</f>
        <v/>
      </c>
      <c r="C105" s="12" t="str">
        <f>IF(A105="","",CATALOGO!F105)</f>
        <v/>
      </c>
      <c r="D105" s="11" t="str">
        <f>IF(A105="","",CATALOGO!G105)</f>
        <v/>
      </c>
      <c r="E105" s="11" t="str">
        <f>IF(A105="","",CATALOGO!P105)</f>
        <v/>
      </c>
      <c r="F105" s="11" t="str">
        <f>IF(A105="","",CATALOGO!S105)</f>
        <v/>
      </c>
      <c r="G105" s="15" t="str">
        <f>IF(A105="","",CATALOGO!R105)</f>
        <v/>
      </c>
      <c r="H105" s="12" t="str">
        <f>IF(A105="","",IF(COUNTIF(STOCK!$A$6:$A$105,A105)&lt;&gt;1,"SIN STOCK UNICO",INDEX(STOCK!$K$6:$K$105,MATCH(A105,STOCK!$A$6:$A$105,0))))</f>
        <v/>
      </c>
      <c r="I105" s="12" t="str">
        <f>IF(OR(A105="",COUNTIF(STOCK!$A$6:$A$105,A105)&lt;&gt;1),"",IF(INDEX(STOCK!$M$6:$M$105,MATCH(A105,STOCK!$A$6:$A$105,0))="","",INDEX(STOCK!$M$6:$M$105,MATCH(A105,STOCK!$A$6:$A$105,0))))</f>
        <v/>
      </c>
      <c r="J105" s="14" t="str">
        <f>IF(OR(A105="",COUNTIF(STOCK!$A$6:$A$105,A105)&lt;&gt;1),"",IF(INDEX(STOCK!$L$6:$L$105,MATCH(A105,STOCK!$A$6:$A$105,0))="","",INDEX(STOCK!$L$6:$L$105,MATCH(A105,STOCK!$A$6:$A$105,0))))</f>
        <v/>
      </c>
      <c r="K105" s="14" t="str">
        <f>IF(OR(A105="",COUNTIF(STOCK!$A$6:$A$105,A105)&lt;&gt;1),"",IF(INDEX(STOCK!$N$6:$N$105,MATCH(A105,STOCK!$A$6:$A$105,0))="","",INDEX(STOCK!$N$6:$N$105,MATCH(A105,STOCK!$A$6:$A$105,0))))</f>
        <v/>
      </c>
      <c r="L105" s="14" t="str">
        <f>IF(OR(A105="",COUNTIF(STOCK!$A$6:$A$105,A105)&lt;&gt;1),"",IF(INDEX(STOCK!$O$6:$O$105,MATCH(A105,STOCK!$A$6:$A$105,0))="","",INDEX(STOCK!$O$6:$O$105,MATCH(A105,STOCK!$A$6:$A$105,0))))</f>
        <v/>
      </c>
      <c r="M105" s="14" t="str">
        <f>IF(OR(A105="",COUNTIF(STOCK!$A$6:$A$105,A105)&lt;&gt;1),"",IF(INDEX(STOCK!$P$6:$P$105,MATCH(A105,STOCK!$A$6:$A$105,0))="","",INDEX(STOCK!$P$6:$P$105,MATCH(A105,STOCK!$A$6:$A$105,0))))</f>
        <v/>
      </c>
      <c r="N105" s="14" t="str">
        <f>IF(OR(A105="",COUNTIF(STOCK!$A$6:$A$105,A105)&lt;&gt;1),"",IF(INDEX(STOCK!$I$6:$I$105,MATCH(A105,STOCK!$A$6:$A$105,0))="","",INDEX(STOCK!$I$6:$I$105,MATCH(A105,STOCK!$A$6:$A$105,0))))</f>
        <v/>
      </c>
      <c r="O105" s="16" t="str">
        <f>IF(OR(A105="",COUNTIF(STOCK!$A$6:$A$105,A105)&lt;&gt;1),"",IF(INDEX(STOCK!$J$6:$J$105,MATCH(A105,STOCK!$A$6:$A$105,0))="","",INDEX(STOCK!$J$6:$J$105,MATCH(A105,STOCK!$A$6:$A$105,0))))</f>
        <v/>
      </c>
      <c r="P105" s="11" t="str">
        <f>IF(OR(A105="",COUNTIF(STOCK!$A$6:$A$105,A105)&lt;&gt;1),"",IF(INDEX(STOCK!$R$6:$R$105,MATCH(A105,STOCK!$A$6:$A$105,0))="","",INDEX(STOCK!$R$6:$R$105,MATCH(A105,STOCK!$A$6:$A$105,0))))</f>
        <v/>
      </c>
      <c r="Q105" s="12" t="str">
        <f t="shared" si="6"/>
        <v/>
      </c>
      <c r="R105" s="17" t="str">
        <f t="shared" si="7"/>
        <v/>
      </c>
      <c r="S105" s="17" t="str">
        <f t="shared" si="8"/>
        <v/>
      </c>
    </row>
  </sheetData>
  <sheetProtection sheet="1" objects="1" scenarios="1" formatColumns="0" sort="0" autoFilter="0"/>
  <mergeCells count="2">
    <mergeCell ref="A1:S1"/>
    <mergeCell ref="A2:S2"/>
  </mergeCells>
  <conditionalFormatting sqref="Q6:Q105">
    <cfRule type="containsText" dxfId="1" priority="1" operator="containsText" text="EVIDENCIA">
      <formula>NOT(ISERROR(SEARCH("EVIDENCIA",Q6)))</formula>
    </cfRule>
  </conditionalFormatting>
  <pageMargins left="0.3" right="0.3" top="0.45" bottom="0.45" header="0.3" footer="0.3"/>
  <pageSetup paperSize="8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6B68"/>
    <pageSetUpPr fitToPage="1"/>
  </sheetPr>
  <dimension ref="A1:H96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5.73046875" customWidth="1"/>
    <col min="2" max="4" width="20.73046875" customWidth="1"/>
    <col min="5" max="6" width="22.73046875" customWidth="1"/>
    <col min="8" max="8" width="22.73046875" hidden="1" customWidth="1"/>
  </cols>
  <sheetData>
    <row r="1" spans="1:8" ht="30" customHeight="1" x14ac:dyDescent="0.45">
      <c r="A1" s="21" t="s">
        <v>175</v>
      </c>
      <c r="B1" s="21"/>
      <c r="C1" s="21"/>
      <c r="D1" s="21"/>
      <c r="E1" s="21"/>
      <c r="F1" s="21"/>
    </row>
    <row r="2" spans="1:8" ht="32" customHeight="1" x14ac:dyDescent="0.45">
      <c r="A2" s="22" t="s">
        <v>176</v>
      </c>
      <c r="B2" s="22"/>
      <c r="C2" s="22"/>
      <c r="D2" s="22"/>
      <c r="E2" s="22"/>
      <c r="F2" s="22"/>
      <c r="H2" s="18" t="s">
        <v>182</v>
      </c>
    </row>
    <row r="3" spans="1:8" x14ac:dyDescent="0.45">
      <c r="H3" s="19" t="str">
        <f>IFERROR(IF(OR(OR(CONFIG!$B$5="",COUNT(CONFIG!$B$6:$B$8)&lt;3,CONFIG!$B$6&lt;1,CONFIG!$B$6&gt;365,CONFIG!$B$6&lt;&gt;INT(CONFIG!$B$6),CONFIG!$B$7&lt;0,CONFIG!$B$7&gt;3650,CONFIG!$B$7&lt;&gt;INT(CONFIG!$B$7),CONFIG!$B$8&lt;0,CONFIG!$B$8&gt;=1,COUNTIF(CATALOGO!$A$6:$A$105,"&lt;&gt;")=0,SUMPRODUCT(--(CATALOGO!$A$6:$A$105&lt;&gt;""),--(COUNTIF(CATALOGO!$A$6:$A$105,CATALOGO!$A$6:$A$105)&lt;&gt;1))&gt;0,SUMPRODUCT(--(CATALOGO!$A$6:$A$105&lt;&gt;""),--(COUNTIF(STOCK!$A$6:$A$105,CATALOGO!$A$6:$A$105)&lt;&gt;1))&gt;0,SUMPRODUCT(--(STOCK!$A$6:$A$105&lt;&gt;""),--(COUNTIF(CATALOGO!$A$6:$A$105,STOCK!$A$6:$A$105)&lt;&gt;1))&gt;0,SUMPRODUCT(--(CATALOGO!$A$6:$A$105&lt;&gt;""),--(CATALOGO!$T$6:$T$105&lt;&gt;"OK"))&gt;0,COUNTIF(STOCK!$S$6:$S$105,"SIN COMPRA ELEGIDA")+COUNTIF(STOCK!$S$6:$S$105,"EN MODELO*")&lt;&gt;COUNTIF(CATALOGO!$A$6:$A$105,"&lt;&gt;"),SUMPRODUCT(--(STOCK!$A$6:$A$105&lt;&gt;""),--(STOCK!$C$6:$C$105&lt;&gt;""),--(STOCK!$D$6:$D$105&lt;&gt;""),--(STOCK!$D$6:$D$105&gt;STOCK!$C$6:$C$105))&gt;0,SUMPRODUCT(--(VENTAS!$I$6:$I$1005&lt;&gt;""),--(VENTAS!$I$6:$I$1005&lt;&gt;"OK"))&gt;0),COUNT(CONFIG!$B$9:$B$11)&lt;3,ABS(CONFIG!$B$9)&gt;1000000000,CONFIG!$B$10&lt;0,CONFIG!$B$11&lt;0,ABS(CONFIG!$B$10)&gt;1000000000,ABS(CONFIG!$B$11)&gt;1000000000,ROUND(CONFIG!$B$9,2)&lt;&gt;CONFIG!$B$9,ROUND(CONFIG!$B$10,2)&lt;&gt;CONFIG!$B$10,ROUND(CONFIG!$B$11,2)&lt;&gt;CONFIG!$B$11),"PENDIENTE","OK"),"PENDIENTE")</f>
        <v>PENDIENTE</v>
      </c>
    </row>
    <row r="4" spans="1:8" x14ac:dyDescent="0.45">
      <c r="H4" s="19" t="str">
        <f>IFERROR(IF(OR(CONFIG!$B$5="",COUNT(CONFIG!$B$6:$B$8)&lt;3,CONFIG!$B$6&lt;1,CONFIG!$B$6&gt;365,CONFIG!$B$6&lt;&gt;INT(CONFIG!$B$6),CONFIG!$B$7&lt;0,CONFIG!$B$7&gt;3650,CONFIG!$B$7&lt;&gt;INT(CONFIG!$B$7),CONFIG!$B$8&lt;0,CONFIG!$B$8&gt;=1,COUNTIF(CATALOGO!$A$6:$A$105,"&lt;&gt;")=0,SUMPRODUCT(--(CATALOGO!$A$6:$A$105&lt;&gt;""),--(COUNTIF(CATALOGO!$A$6:$A$105,CATALOGO!$A$6:$A$105)&lt;&gt;1))&gt;0,SUMPRODUCT(--(CATALOGO!$A$6:$A$105&lt;&gt;""),--(COUNTIF(STOCK!$A$6:$A$105,CATALOGO!$A$6:$A$105)&lt;&gt;1))&gt;0,SUMPRODUCT(--(STOCK!$A$6:$A$105&lt;&gt;""),--(COUNTIF(CATALOGO!$A$6:$A$105,STOCK!$A$6:$A$105)&lt;&gt;1))&gt;0,SUMPRODUCT(--(CATALOGO!$A$6:$A$105&lt;&gt;""),--(CATALOGO!$T$6:$T$105&lt;&gt;"OK"))&gt;0,COUNTIF(STOCK!$S$6:$S$105,"SIN COMPRA ELEGIDA")+COUNTIF(STOCK!$S$6:$S$105,"EN MODELO*")&lt;&gt;COUNTIF(CATALOGO!$A$6:$A$105,"&lt;&gt;"),SUMPRODUCT(--(STOCK!$A$6:$A$105&lt;&gt;""),--(STOCK!$C$6:$C$105&lt;&gt;""),--(STOCK!$D$6:$D$105&lt;&gt;""),--(STOCK!$D$6:$D$105&gt;STOCK!$C$6:$C$105))&gt;0,SUMPRODUCT(--(VENTAS!$I$6:$I$1005&lt;&gt;""),--(VENTAS!$I$6:$I$1005&lt;&gt;"OK"))&gt;0),"PENDIENTE","OK"),"PENDIENTE")</f>
        <v>PENDIENTE</v>
      </c>
    </row>
    <row r="5" spans="1:8" x14ac:dyDescent="0.45">
      <c r="A5" t="s">
        <v>95</v>
      </c>
      <c r="B5" t="s">
        <v>177</v>
      </c>
      <c r="C5" t="s">
        <v>178</v>
      </c>
      <c r="D5" t="s">
        <v>179</v>
      </c>
      <c r="E5" t="s">
        <v>180</v>
      </c>
      <c r="F5" t="s">
        <v>181</v>
      </c>
    </row>
    <row r="6" spans="1:8" x14ac:dyDescent="0.45">
      <c r="A6" s="16">
        <f>IF(CONFIG!$B$5="","",CONFIG!$B$5+1)</f>
        <v>46287</v>
      </c>
      <c r="B6" s="11">
        <f>IF(A6="","",SUMIFS(CAJA!$D$6:$D$255,CAJA!$B$6:$B$255,"ENTRADA",CAJA!$A$6:$A$255,A6,CAJA!$F$6:$F$255,"OK"))</f>
        <v>0</v>
      </c>
      <c r="C6" s="11">
        <f>IF(A6="","",SUMIFS(CAJA!$D$6:$D$255,CAJA!$B$6:$B$255,"SALIDA",CAJA!$A$6:$A$255,A6,CAJA!$F$6:$F$255,"OK"))</f>
        <v>0</v>
      </c>
      <c r="D6" s="11">
        <f>IFERROR(IF(OR(CONFIG!$B$9="",A6=""),"",CONFIG!$B$9+B6-C6),"")</f>
        <v>80000</v>
      </c>
      <c r="E6" s="11" t="str">
        <f>IF(OR(A6="",AUX_CALC_91D!$H$3&lt;&gt;"OK"),"",SUMIFS(STOCK!$R$6:$R$105,STOCK!$J$6:$J$105,A6))</f>
        <v/>
      </c>
      <c r="F6" s="11" t="str">
        <f>IFERROR(IF(OR(CONFIG!$B$9="",A6="",E6=""),"",CONFIG!$B$9+B6-C6-E6),"")</f>
        <v/>
      </c>
    </row>
    <row r="7" spans="1:8" x14ac:dyDescent="0.45">
      <c r="A7" s="16">
        <f>IF(CONFIG!$B$5="","",CONFIG!$B$5+2)</f>
        <v>46288</v>
      </c>
      <c r="B7" s="11">
        <f>IF(A7="","",SUMIFS(CAJA!$D$6:$D$255,CAJA!$B$6:$B$255,"ENTRADA",CAJA!$A$6:$A$255,A7,CAJA!$F$6:$F$255,"OK"))</f>
        <v>0</v>
      </c>
      <c r="C7" s="11">
        <f>IF(A7="","",SUMIFS(CAJA!$D$6:$D$255,CAJA!$B$6:$B$255,"SALIDA",CAJA!$A$6:$A$255,A7,CAJA!$F$6:$F$255,"OK"))</f>
        <v>0</v>
      </c>
      <c r="D7" s="11">
        <f t="shared" ref="D7:D38" si="0">IFERROR(IF(OR(D6="",A7=""),"",D6+B7-C7),"")</f>
        <v>80000</v>
      </c>
      <c r="E7" s="11" t="str">
        <f>IF(OR(A7="",AUX_CALC_91D!$H$3&lt;&gt;"OK"),"",SUMIFS(STOCK!$R$6:$R$105,STOCK!$J$6:$J$105,A7))</f>
        <v/>
      </c>
      <c r="F7" s="11" t="str">
        <f t="shared" ref="F7:F38" si="1">IFERROR(IF(OR(F6="",A7="",E7=""),"",F6+B7-C7-E7),"")</f>
        <v/>
      </c>
    </row>
    <row r="8" spans="1:8" x14ac:dyDescent="0.45">
      <c r="A8" s="16">
        <f>IF(CONFIG!$B$5="","",CONFIG!$B$5+3)</f>
        <v>46289</v>
      </c>
      <c r="B8" s="11">
        <f>IF(A8="","",SUMIFS(CAJA!$D$6:$D$255,CAJA!$B$6:$B$255,"ENTRADA",CAJA!$A$6:$A$255,A8,CAJA!$F$6:$F$255,"OK"))</f>
        <v>15000</v>
      </c>
      <c r="C8" s="11">
        <f>IF(A8="","",SUMIFS(CAJA!$D$6:$D$255,CAJA!$B$6:$B$255,"SALIDA",CAJA!$A$6:$A$255,A8,CAJA!$F$6:$F$255,"OK"))</f>
        <v>0</v>
      </c>
      <c r="D8" s="11">
        <f t="shared" si="0"/>
        <v>95000</v>
      </c>
      <c r="E8" s="11" t="str">
        <f>IF(OR(A8="",AUX_CALC_91D!$H$3&lt;&gt;"OK"),"",SUMIFS(STOCK!$R$6:$R$105,STOCK!$J$6:$J$105,A8))</f>
        <v/>
      </c>
      <c r="F8" s="11" t="str">
        <f t="shared" si="1"/>
        <v/>
      </c>
    </row>
    <row r="9" spans="1:8" x14ac:dyDescent="0.45">
      <c r="A9" s="16">
        <f>IF(CONFIG!$B$5="","",CONFIG!$B$5+4)</f>
        <v>46290</v>
      </c>
      <c r="B9" s="11">
        <f>IF(A9="","",SUMIFS(CAJA!$D$6:$D$255,CAJA!$B$6:$B$255,"ENTRADA",CAJA!$A$6:$A$255,A9,CAJA!$F$6:$F$255,"OK"))</f>
        <v>0</v>
      </c>
      <c r="C9" s="11">
        <f>IF(A9="","",SUMIFS(CAJA!$D$6:$D$255,CAJA!$B$6:$B$255,"SALIDA",CAJA!$A$6:$A$255,A9,CAJA!$F$6:$F$255,"OK"))</f>
        <v>0</v>
      </c>
      <c r="D9" s="11">
        <f t="shared" si="0"/>
        <v>95000</v>
      </c>
      <c r="E9" s="11" t="str">
        <f>IF(OR(A9="",AUX_CALC_91D!$H$3&lt;&gt;"OK"),"",SUMIFS(STOCK!$R$6:$R$105,STOCK!$J$6:$J$105,A9))</f>
        <v/>
      </c>
      <c r="F9" s="11" t="str">
        <f t="shared" si="1"/>
        <v/>
      </c>
    </row>
    <row r="10" spans="1:8" x14ac:dyDescent="0.45">
      <c r="A10" s="16">
        <f>IF(CONFIG!$B$5="","",CONFIG!$B$5+5)</f>
        <v>46291</v>
      </c>
      <c r="B10" s="11">
        <f>IF(A10="","",SUMIFS(CAJA!$D$6:$D$255,CAJA!$B$6:$B$255,"ENTRADA",CAJA!$A$6:$A$255,A10,CAJA!$F$6:$F$255,"OK"))</f>
        <v>0</v>
      </c>
      <c r="C10" s="11">
        <f>IF(A10="","",SUMIFS(CAJA!$D$6:$D$255,CAJA!$B$6:$B$255,"SALIDA",CAJA!$A$6:$A$255,A10,CAJA!$F$6:$F$255,"OK"))</f>
        <v>18000</v>
      </c>
      <c r="D10" s="11">
        <f t="shared" si="0"/>
        <v>77000</v>
      </c>
      <c r="E10" s="11" t="str">
        <f>IF(OR(A10="",AUX_CALC_91D!$H$3&lt;&gt;"OK"),"",SUMIFS(STOCK!$R$6:$R$105,STOCK!$J$6:$J$105,A10))</f>
        <v/>
      </c>
      <c r="F10" s="11" t="str">
        <f t="shared" si="1"/>
        <v/>
      </c>
    </row>
    <row r="11" spans="1:8" x14ac:dyDescent="0.45">
      <c r="A11" s="16">
        <f>IF(CONFIG!$B$5="","",CONFIG!$B$5+6)</f>
        <v>46292</v>
      </c>
      <c r="B11" s="11">
        <f>IF(A11="","",SUMIFS(CAJA!$D$6:$D$255,CAJA!$B$6:$B$255,"ENTRADA",CAJA!$A$6:$A$255,A11,CAJA!$F$6:$F$255,"OK"))</f>
        <v>0</v>
      </c>
      <c r="C11" s="11">
        <f>IF(A11="","",SUMIFS(CAJA!$D$6:$D$255,CAJA!$B$6:$B$255,"SALIDA",CAJA!$A$6:$A$255,A11,CAJA!$F$6:$F$255,"OK"))</f>
        <v>0</v>
      </c>
      <c r="D11" s="11">
        <f t="shared" si="0"/>
        <v>77000</v>
      </c>
      <c r="E11" s="11" t="str">
        <f>IF(OR(A11="",AUX_CALC_91D!$H$3&lt;&gt;"OK"),"",SUMIFS(STOCK!$R$6:$R$105,STOCK!$J$6:$J$105,A11))</f>
        <v/>
      </c>
      <c r="F11" s="11" t="str">
        <f t="shared" si="1"/>
        <v/>
      </c>
    </row>
    <row r="12" spans="1:8" x14ac:dyDescent="0.45">
      <c r="A12" s="16">
        <f>IF(CONFIG!$B$5="","",CONFIG!$B$5+7)</f>
        <v>46293</v>
      </c>
      <c r="B12" s="11">
        <f>IF(A12="","",SUMIFS(CAJA!$D$6:$D$255,CAJA!$B$6:$B$255,"ENTRADA",CAJA!$A$6:$A$255,A12,CAJA!$F$6:$F$255,"OK"))</f>
        <v>0</v>
      </c>
      <c r="C12" s="11">
        <f>IF(A12="","",SUMIFS(CAJA!$D$6:$D$255,CAJA!$B$6:$B$255,"SALIDA",CAJA!$A$6:$A$255,A12,CAJA!$F$6:$F$255,"OK"))</f>
        <v>0</v>
      </c>
      <c r="D12" s="11">
        <f t="shared" si="0"/>
        <v>77000</v>
      </c>
      <c r="E12" s="11" t="str">
        <f>IF(OR(A12="",AUX_CALC_91D!$H$3&lt;&gt;"OK"),"",SUMIFS(STOCK!$R$6:$R$105,STOCK!$J$6:$J$105,A12))</f>
        <v/>
      </c>
      <c r="F12" s="11" t="str">
        <f t="shared" si="1"/>
        <v/>
      </c>
    </row>
    <row r="13" spans="1:8" x14ac:dyDescent="0.45">
      <c r="A13" s="16">
        <f>IF(CONFIG!$B$5="","",CONFIG!$B$5+8)</f>
        <v>46294</v>
      </c>
      <c r="B13" s="11">
        <f>IF(A13="","",SUMIFS(CAJA!$D$6:$D$255,CAJA!$B$6:$B$255,"ENTRADA",CAJA!$A$6:$A$255,A13,CAJA!$F$6:$F$255,"OK"))</f>
        <v>0</v>
      </c>
      <c r="C13" s="11">
        <f>IF(A13="","",SUMIFS(CAJA!$D$6:$D$255,CAJA!$B$6:$B$255,"SALIDA",CAJA!$A$6:$A$255,A13,CAJA!$F$6:$F$255,"OK"))</f>
        <v>0</v>
      </c>
      <c r="D13" s="11">
        <f t="shared" si="0"/>
        <v>77000</v>
      </c>
      <c r="E13" s="11" t="str">
        <f>IF(OR(A13="",AUX_CALC_91D!$H$3&lt;&gt;"OK"),"",SUMIFS(STOCK!$R$6:$R$105,STOCK!$J$6:$J$105,A13))</f>
        <v/>
      </c>
      <c r="F13" s="11" t="str">
        <f t="shared" si="1"/>
        <v/>
      </c>
    </row>
    <row r="14" spans="1:8" x14ac:dyDescent="0.45">
      <c r="A14" s="16">
        <f>IF(CONFIG!$B$5="","",CONFIG!$B$5+9)</f>
        <v>46295</v>
      </c>
      <c r="B14" s="11">
        <f>IF(A14="","",SUMIFS(CAJA!$D$6:$D$255,CAJA!$B$6:$B$255,"ENTRADA",CAJA!$A$6:$A$255,A14,CAJA!$F$6:$F$255,"OK"))</f>
        <v>0</v>
      </c>
      <c r="C14" s="11">
        <f>IF(A14="","",SUMIFS(CAJA!$D$6:$D$255,CAJA!$B$6:$B$255,"SALIDA",CAJA!$A$6:$A$255,A14,CAJA!$F$6:$F$255,"OK"))</f>
        <v>0</v>
      </c>
      <c r="D14" s="11">
        <f t="shared" si="0"/>
        <v>77000</v>
      </c>
      <c r="E14" s="11" t="str">
        <f>IF(OR(A14="",AUX_CALC_91D!$H$3&lt;&gt;"OK"),"",SUMIFS(STOCK!$R$6:$R$105,STOCK!$J$6:$J$105,A14))</f>
        <v/>
      </c>
      <c r="F14" s="11" t="str">
        <f t="shared" si="1"/>
        <v/>
      </c>
    </row>
    <row r="15" spans="1:8" x14ac:dyDescent="0.45">
      <c r="A15" s="16">
        <f>IF(CONFIG!$B$5="","",CONFIG!$B$5+10)</f>
        <v>46296</v>
      </c>
      <c r="B15" s="11">
        <f>IF(A15="","",SUMIFS(CAJA!$D$6:$D$255,CAJA!$B$6:$B$255,"ENTRADA",CAJA!$A$6:$A$255,A15,CAJA!$F$6:$F$255,"OK"))</f>
        <v>12000</v>
      </c>
      <c r="C15" s="11">
        <f>IF(A15="","",SUMIFS(CAJA!$D$6:$D$255,CAJA!$B$6:$B$255,"SALIDA",CAJA!$A$6:$A$255,A15,CAJA!$F$6:$F$255,"OK"))</f>
        <v>0</v>
      </c>
      <c r="D15" s="11">
        <f t="shared" si="0"/>
        <v>89000</v>
      </c>
      <c r="E15" s="11" t="str">
        <f>IF(OR(A15="",AUX_CALC_91D!$H$3&lt;&gt;"OK"),"",SUMIFS(STOCK!$R$6:$R$105,STOCK!$J$6:$J$105,A15))</f>
        <v/>
      </c>
      <c r="F15" s="11" t="str">
        <f t="shared" si="1"/>
        <v/>
      </c>
    </row>
    <row r="16" spans="1:8" x14ac:dyDescent="0.45">
      <c r="A16" s="16">
        <f>IF(CONFIG!$B$5="","",CONFIG!$B$5+11)</f>
        <v>46297</v>
      </c>
      <c r="B16" s="11">
        <f>IF(A16="","",SUMIFS(CAJA!$D$6:$D$255,CAJA!$B$6:$B$255,"ENTRADA",CAJA!$A$6:$A$255,A16,CAJA!$F$6:$F$255,"OK"))</f>
        <v>0</v>
      </c>
      <c r="C16" s="11">
        <f>IF(A16="","",SUMIFS(CAJA!$D$6:$D$255,CAJA!$B$6:$B$255,"SALIDA",CAJA!$A$6:$A$255,A16,CAJA!$F$6:$F$255,"OK"))</f>
        <v>0</v>
      </c>
      <c r="D16" s="11">
        <f t="shared" si="0"/>
        <v>89000</v>
      </c>
      <c r="E16" s="11" t="str">
        <f>IF(OR(A16="",AUX_CALC_91D!$H$3&lt;&gt;"OK"),"",SUMIFS(STOCK!$R$6:$R$105,STOCK!$J$6:$J$105,A16))</f>
        <v/>
      </c>
      <c r="F16" s="11" t="str">
        <f t="shared" si="1"/>
        <v/>
      </c>
    </row>
    <row r="17" spans="1:6" x14ac:dyDescent="0.45">
      <c r="A17" s="16">
        <f>IF(CONFIG!$B$5="","",CONFIG!$B$5+12)</f>
        <v>46298</v>
      </c>
      <c r="B17" s="11">
        <f>IF(A17="","",SUMIFS(CAJA!$D$6:$D$255,CAJA!$B$6:$B$255,"ENTRADA",CAJA!$A$6:$A$255,A17,CAJA!$F$6:$F$255,"OK"))</f>
        <v>0</v>
      </c>
      <c r="C17" s="11">
        <f>IF(A17="","",SUMIFS(CAJA!$D$6:$D$255,CAJA!$B$6:$B$255,"SALIDA",CAJA!$A$6:$A$255,A17,CAJA!$F$6:$F$255,"OK"))</f>
        <v>0</v>
      </c>
      <c r="D17" s="11">
        <f t="shared" si="0"/>
        <v>89000</v>
      </c>
      <c r="E17" s="11" t="str">
        <f>IF(OR(A17="",AUX_CALC_91D!$H$3&lt;&gt;"OK"),"",SUMIFS(STOCK!$R$6:$R$105,STOCK!$J$6:$J$105,A17))</f>
        <v/>
      </c>
      <c r="F17" s="11" t="str">
        <f t="shared" si="1"/>
        <v/>
      </c>
    </row>
    <row r="18" spans="1:6" x14ac:dyDescent="0.45">
      <c r="A18" s="16">
        <f>IF(CONFIG!$B$5="","",CONFIG!$B$5+13)</f>
        <v>46299</v>
      </c>
      <c r="B18" s="11">
        <f>IF(A18="","",SUMIFS(CAJA!$D$6:$D$255,CAJA!$B$6:$B$255,"ENTRADA",CAJA!$A$6:$A$255,A18,CAJA!$F$6:$F$255,"OK"))</f>
        <v>0</v>
      </c>
      <c r="C18" s="11">
        <f>IF(A18="","",SUMIFS(CAJA!$D$6:$D$255,CAJA!$B$6:$B$255,"SALIDA",CAJA!$A$6:$A$255,A18,CAJA!$F$6:$F$255,"OK"))</f>
        <v>14000</v>
      </c>
      <c r="D18" s="11">
        <f t="shared" si="0"/>
        <v>75000</v>
      </c>
      <c r="E18" s="11" t="str">
        <f>IF(OR(A18="",AUX_CALC_91D!$H$3&lt;&gt;"OK"),"",SUMIFS(STOCK!$R$6:$R$105,STOCK!$J$6:$J$105,A18))</f>
        <v/>
      </c>
      <c r="F18" s="11" t="str">
        <f t="shared" si="1"/>
        <v/>
      </c>
    </row>
    <row r="19" spans="1:6" x14ac:dyDescent="0.45">
      <c r="A19" s="16">
        <f>IF(CONFIG!$B$5="","",CONFIG!$B$5+14)</f>
        <v>46300</v>
      </c>
      <c r="B19" s="11">
        <f>IF(A19="","",SUMIFS(CAJA!$D$6:$D$255,CAJA!$B$6:$B$255,"ENTRADA",CAJA!$A$6:$A$255,A19,CAJA!$F$6:$F$255,"OK"))</f>
        <v>0</v>
      </c>
      <c r="C19" s="11">
        <f>IF(A19="","",SUMIFS(CAJA!$D$6:$D$255,CAJA!$B$6:$B$255,"SALIDA",CAJA!$A$6:$A$255,A19,CAJA!$F$6:$F$255,"OK"))</f>
        <v>0</v>
      </c>
      <c r="D19" s="11">
        <f t="shared" si="0"/>
        <v>75000</v>
      </c>
      <c r="E19" s="11" t="str">
        <f>IF(OR(A19="",AUX_CALC_91D!$H$3&lt;&gt;"OK"),"",SUMIFS(STOCK!$R$6:$R$105,STOCK!$J$6:$J$105,A19))</f>
        <v/>
      </c>
      <c r="F19" s="11" t="str">
        <f t="shared" si="1"/>
        <v/>
      </c>
    </row>
    <row r="20" spans="1:6" x14ac:dyDescent="0.45">
      <c r="A20" s="16">
        <f>IF(CONFIG!$B$5="","",CONFIG!$B$5+15)</f>
        <v>46301</v>
      </c>
      <c r="B20" s="11">
        <f>IF(A20="","",SUMIFS(CAJA!$D$6:$D$255,CAJA!$B$6:$B$255,"ENTRADA",CAJA!$A$6:$A$255,A20,CAJA!$F$6:$F$255,"OK"))</f>
        <v>0</v>
      </c>
      <c r="C20" s="11">
        <f>IF(A20="","",SUMIFS(CAJA!$D$6:$D$255,CAJA!$B$6:$B$255,"SALIDA",CAJA!$A$6:$A$255,A20,CAJA!$F$6:$F$255,"OK"))</f>
        <v>0</v>
      </c>
      <c r="D20" s="11">
        <f t="shared" si="0"/>
        <v>75000</v>
      </c>
      <c r="E20" s="11" t="str">
        <f>IF(OR(A20="",AUX_CALC_91D!$H$3&lt;&gt;"OK"),"",SUMIFS(STOCK!$R$6:$R$105,STOCK!$J$6:$J$105,A20))</f>
        <v/>
      </c>
      <c r="F20" s="11" t="str">
        <f t="shared" si="1"/>
        <v/>
      </c>
    </row>
    <row r="21" spans="1:6" x14ac:dyDescent="0.45">
      <c r="A21" s="16">
        <f>IF(CONFIG!$B$5="","",CONFIG!$B$5+16)</f>
        <v>46302</v>
      </c>
      <c r="B21" s="11">
        <f>IF(A21="","",SUMIFS(CAJA!$D$6:$D$255,CAJA!$B$6:$B$255,"ENTRADA",CAJA!$A$6:$A$255,A21,CAJA!$F$6:$F$255,"OK"))</f>
        <v>0</v>
      </c>
      <c r="C21" s="11">
        <f>IF(A21="","",SUMIFS(CAJA!$D$6:$D$255,CAJA!$B$6:$B$255,"SALIDA",CAJA!$A$6:$A$255,A21,CAJA!$F$6:$F$255,"OK"))</f>
        <v>0</v>
      </c>
      <c r="D21" s="11">
        <f t="shared" si="0"/>
        <v>75000</v>
      </c>
      <c r="E21" s="11" t="str">
        <f>IF(OR(A21="",AUX_CALC_91D!$H$3&lt;&gt;"OK"),"",SUMIFS(STOCK!$R$6:$R$105,STOCK!$J$6:$J$105,A21))</f>
        <v/>
      </c>
      <c r="F21" s="11" t="str">
        <f t="shared" si="1"/>
        <v/>
      </c>
    </row>
    <row r="22" spans="1:6" x14ac:dyDescent="0.45">
      <c r="A22" s="16">
        <f>IF(CONFIG!$B$5="","",CONFIG!$B$5+17)</f>
        <v>46303</v>
      </c>
      <c r="B22" s="11">
        <f>IF(A22="","",SUMIFS(CAJA!$D$6:$D$255,CAJA!$B$6:$B$255,"ENTRADA",CAJA!$A$6:$A$255,A22,CAJA!$F$6:$F$255,"OK"))</f>
        <v>0</v>
      </c>
      <c r="C22" s="11">
        <f>IF(A22="","",SUMIFS(CAJA!$D$6:$D$255,CAJA!$B$6:$B$255,"SALIDA",CAJA!$A$6:$A$255,A22,CAJA!$F$6:$F$255,"OK"))</f>
        <v>0</v>
      </c>
      <c r="D22" s="11">
        <f t="shared" si="0"/>
        <v>75000</v>
      </c>
      <c r="E22" s="11" t="str">
        <f>IF(OR(A22="",AUX_CALC_91D!$H$3&lt;&gt;"OK"),"",SUMIFS(STOCK!$R$6:$R$105,STOCK!$J$6:$J$105,A22))</f>
        <v/>
      </c>
      <c r="F22" s="11" t="str">
        <f t="shared" si="1"/>
        <v/>
      </c>
    </row>
    <row r="23" spans="1:6" x14ac:dyDescent="0.45">
      <c r="A23" s="16">
        <f>IF(CONFIG!$B$5="","",CONFIG!$B$5+18)</f>
        <v>46304</v>
      </c>
      <c r="B23" s="11">
        <f>IF(A23="","",SUMIFS(CAJA!$D$6:$D$255,CAJA!$B$6:$B$255,"ENTRADA",CAJA!$A$6:$A$255,A23,CAJA!$F$6:$F$255,"OK"))</f>
        <v>0</v>
      </c>
      <c r="C23" s="11">
        <f>IF(A23="","",SUMIFS(CAJA!$D$6:$D$255,CAJA!$B$6:$B$255,"SALIDA",CAJA!$A$6:$A$255,A23,CAJA!$F$6:$F$255,"OK"))</f>
        <v>0</v>
      </c>
      <c r="D23" s="11">
        <f t="shared" si="0"/>
        <v>75000</v>
      </c>
      <c r="E23" s="11" t="str">
        <f>IF(OR(A23="",AUX_CALC_91D!$H$3&lt;&gt;"OK"),"",SUMIFS(STOCK!$R$6:$R$105,STOCK!$J$6:$J$105,A23))</f>
        <v/>
      </c>
      <c r="F23" s="11" t="str">
        <f t="shared" si="1"/>
        <v/>
      </c>
    </row>
    <row r="24" spans="1:6" x14ac:dyDescent="0.45">
      <c r="A24" s="16">
        <f>IF(CONFIG!$B$5="","",CONFIG!$B$5+19)</f>
        <v>46305</v>
      </c>
      <c r="B24" s="11">
        <f>IF(A24="","",SUMIFS(CAJA!$D$6:$D$255,CAJA!$B$6:$B$255,"ENTRADA",CAJA!$A$6:$A$255,A24,CAJA!$F$6:$F$255,"OK"))</f>
        <v>0</v>
      </c>
      <c r="C24" s="11">
        <f>IF(A24="","",SUMIFS(CAJA!$D$6:$D$255,CAJA!$B$6:$B$255,"SALIDA",CAJA!$A$6:$A$255,A24,CAJA!$F$6:$F$255,"OK"))</f>
        <v>0</v>
      </c>
      <c r="D24" s="11">
        <f t="shared" si="0"/>
        <v>75000</v>
      </c>
      <c r="E24" s="11" t="str">
        <f>IF(OR(A24="",AUX_CALC_91D!$H$3&lt;&gt;"OK"),"",SUMIFS(STOCK!$R$6:$R$105,STOCK!$J$6:$J$105,A24))</f>
        <v/>
      </c>
      <c r="F24" s="11" t="str">
        <f t="shared" si="1"/>
        <v/>
      </c>
    </row>
    <row r="25" spans="1:6" x14ac:dyDescent="0.45">
      <c r="A25" s="16">
        <f>IF(CONFIG!$B$5="","",CONFIG!$B$5+20)</f>
        <v>46306</v>
      </c>
      <c r="B25" s="11">
        <f>IF(A25="","",SUMIFS(CAJA!$D$6:$D$255,CAJA!$B$6:$B$255,"ENTRADA",CAJA!$A$6:$A$255,A25,CAJA!$F$6:$F$255,"OK"))</f>
        <v>0</v>
      </c>
      <c r="C25" s="11">
        <f>IF(A25="","",SUMIFS(CAJA!$D$6:$D$255,CAJA!$B$6:$B$255,"SALIDA",CAJA!$A$6:$A$255,A25,CAJA!$F$6:$F$255,"OK"))</f>
        <v>6000</v>
      </c>
      <c r="D25" s="11">
        <f t="shared" si="0"/>
        <v>69000</v>
      </c>
      <c r="E25" s="11" t="str">
        <f>IF(OR(A25="",AUX_CALC_91D!$H$3&lt;&gt;"OK"),"",SUMIFS(STOCK!$R$6:$R$105,STOCK!$J$6:$J$105,A25))</f>
        <v/>
      </c>
      <c r="F25" s="11" t="str">
        <f t="shared" si="1"/>
        <v/>
      </c>
    </row>
    <row r="26" spans="1:6" x14ac:dyDescent="0.45">
      <c r="A26" s="16">
        <f>IF(CONFIG!$B$5="","",CONFIG!$B$5+21)</f>
        <v>46307</v>
      </c>
      <c r="B26" s="11">
        <f>IF(A26="","",SUMIFS(CAJA!$D$6:$D$255,CAJA!$B$6:$B$255,"ENTRADA",CAJA!$A$6:$A$255,A26,CAJA!$F$6:$F$255,"OK"))</f>
        <v>0</v>
      </c>
      <c r="C26" s="11">
        <f>IF(A26="","",SUMIFS(CAJA!$D$6:$D$255,CAJA!$B$6:$B$255,"SALIDA",CAJA!$A$6:$A$255,A26,CAJA!$F$6:$F$255,"OK"))</f>
        <v>0</v>
      </c>
      <c r="D26" s="11">
        <f t="shared" si="0"/>
        <v>69000</v>
      </c>
      <c r="E26" s="11" t="str">
        <f>IF(OR(A26="",AUX_CALC_91D!$H$3&lt;&gt;"OK"),"",SUMIFS(STOCK!$R$6:$R$105,STOCK!$J$6:$J$105,A26))</f>
        <v/>
      </c>
      <c r="F26" s="11" t="str">
        <f t="shared" si="1"/>
        <v/>
      </c>
    </row>
    <row r="27" spans="1:6" x14ac:dyDescent="0.45">
      <c r="A27" s="16">
        <f>IF(CONFIG!$B$5="","",CONFIG!$B$5+22)</f>
        <v>46308</v>
      </c>
      <c r="B27" s="11">
        <f>IF(A27="","",SUMIFS(CAJA!$D$6:$D$255,CAJA!$B$6:$B$255,"ENTRADA",CAJA!$A$6:$A$255,A27,CAJA!$F$6:$F$255,"OK"))</f>
        <v>0</v>
      </c>
      <c r="C27" s="11">
        <f>IF(A27="","",SUMIFS(CAJA!$D$6:$D$255,CAJA!$B$6:$B$255,"SALIDA",CAJA!$A$6:$A$255,A27,CAJA!$F$6:$F$255,"OK"))</f>
        <v>0</v>
      </c>
      <c r="D27" s="11">
        <f t="shared" si="0"/>
        <v>69000</v>
      </c>
      <c r="E27" s="11" t="str">
        <f>IF(OR(A27="",AUX_CALC_91D!$H$3&lt;&gt;"OK"),"",SUMIFS(STOCK!$R$6:$R$105,STOCK!$J$6:$J$105,A27))</f>
        <v/>
      </c>
      <c r="F27" s="11" t="str">
        <f t="shared" si="1"/>
        <v/>
      </c>
    </row>
    <row r="28" spans="1:6" x14ac:dyDescent="0.45">
      <c r="A28" s="16">
        <f>IF(CONFIG!$B$5="","",CONFIG!$B$5+23)</f>
        <v>46309</v>
      </c>
      <c r="B28" s="11">
        <f>IF(A28="","",SUMIFS(CAJA!$D$6:$D$255,CAJA!$B$6:$B$255,"ENTRADA",CAJA!$A$6:$A$255,A28,CAJA!$F$6:$F$255,"OK"))</f>
        <v>0</v>
      </c>
      <c r="C28" s="11">
        <f>IF(A28="","",SUMIFS(CAJA!$D$6:$D$255,CAJA!$B$6:$B$255,"SALIDA",CAJA!$A$6:$A$255,A28,CAJA!$F$6:$F$255,"OK"))</f>
        <v>0</v>
      </c>
      <c r="D28" s="11">
        <f t="shared" si="0"/>
        <v>69000</v>
      </c>
      <c r="E28" s="11" t="str">
        <f>IF(OR(A28="",AUX_CALC_91D!$H$3&lt;&gt;"OK"),"",SUMIFS(STOCK!$R$6:$R$105,STOCK!$J$6:$J$105,A28))</f>
        <v/>
      </c>
      <c r="F28" s="11" t="str">
        <f t="shared" si="1"/>
        <v/>
      </c>
    </row>
    <row r="29" spans="1:6" x14ac:dyDescent="0.45">
      <c r="A29" s="16">
        <f>IF(CONFIG!$B$5="","",CONFIG!$B$5+24)</f>
        <v>46310</v>
      </c>
      <c r="B29" s="11">
        <f>IF(A29="","",SUMIFS(CAJA!$D$6:$D$255,CAJA!$B$6:$B$255,"ENTRADA",CAJA!$A$6:$A$255,A29,CAJA!$F$6:$F$255,"OK"))</f>
        <v>0</v>
      </c>
      <c r="C29" s="11">
        <f>IF(A29="","",SUMIFS(CAJA!$D$6:$D$255,CAJA!$B$6:$B$255,"SALIDA",CAJA!$A$6:$A$255,A29,CAJA!$F$6:$F$255,"OK"))</f>
        <v>0</v>
      </c>
      <c r="D29" s="11">
        <f t="shared" si="0"/>
        <v>69000</v>
      </c>
      <c r="E29" s="11" t="str">
        <f>IF(OR(A29="",AUX_CALC_91D!$H$3&lt;&gt;"OK"),"",SUMIFS(STOCK!$R$6:$R$105,STOCK!$J$6:$J$105,A29))</f>
        <v/>
      </c>
      <c r="F29" s="11" t="str">
        <f t="shared" si="1"/>
        <v/>
      </c>
    </row>
    <row r="30" spans="1:6" x14ac:dyDescent="0.45">
      <c r="A30" s="16">
        <f>IF(CONFIG!$B$5="","",CONFIG!$B$5+25)</f>
        <v>46311</v>
      </c>
      <c r="B30" s="11">
        <f>IF(A30="","",SUMIFS(CAJA!$D$6:$D$255,CAJA!$B$6:$B$255,"ENTRADA",CAJA!$A$6:$A$255,A30,CAJA!$F$6:$F$255,"OK"))</f>
        <v>0</v>
      </c>
      <c r="C30" s="11">
        <f>IF(A30="","",SUMIFS(CAJA!$D$6:$D$255,CAJA!$B$6:$B$255,"SALIDA",CAJA!$A$6:$A$255,A30,CAJA!$F$6:$F$255,"OK"))</f>
        <v>0</v>
      </c>
      <c r="D30" s="11">
        <f t="shared" si="0"/>
        <v>69000</v>
      </c>
      <c r="E30" s="11" t="str">
        <f>IF(OR(A30="",AUX_CALC_91D!$H$3&lt;&gt;"OK"),"",SUMIFS(STOCK!$R$6:$R$105,STOCK!$J$6:$J$105,A30))</f>
        <v/>
      </c>
      <c r="F30" s="11" t="str">
        <f t="shared" si="1"/>
        <v/>
      </c>
    </row>
    <row r="31" spans="1:6" x14ac:dyDescent="0.45">
      <c r="A31" s="16">
        <f>IF(CONFIG!$B$5="","",CONFIG!$B$5+26)</f>
        <v>46312</v>
      </c>
      <c r="B31" s="11">
        <f>IF(A31="","",SUMIFS(CAJA!$D$6:$D$255,CAJA!$B$6:$B$255,"ENTRADA",CAJA!$A$6:$A$255,A31,CAJA!$F$6:$F$255,"OK"))</f>
        <v>0</v>
      </c>
      <c r="C31" s="11">
        <f>IF(A31="","",SUMIFS(CAJA!$D$6:$D$255,CAJA!$B$6:$B$255,"SALIDA",CAJA!$A$6:$A$255,A31,CAJA!$F$6:$F$255,"OK"))</f>
        <v>0</v>
      </c>
      <c r="D31" s="11">
        <f t="shared" si="0"/>
        <v>69000</v>
      </c>
      <c r="E31" s="11" t="str">
        <f>IF(OR(A31="",AUX_CALC_91D!$H$3&lt;&gt;"OK"),"",SUMIFS(STOCK!$R$6:$R$105,STOCK!$J$6:$J$105,A31))</f>
        <v/>
      </c>
      <c r="F31" s="11" t="str">
        <f t="shared" si="1"/>
        <v/>
      </c>
    </row>
    <row r="32" spans="1:6" x14ac:dyDescent="0.45">
      <c r="A32" s="16">
        <f>IF(CONFIG!$B$5="","",CONFIG!$B$5+27)</f>
        <v>46313</v>
      </c>
      <c r="B32" s="11">
        <f>IF(A32="","",SUMIFS(CAJA!$D$6:$D$255,CAJA!$B$6:$B$255,"ENTRADA",CAJA!$A$6:$A$255,A32,CAJA!$F$6:$F$255,"OK"))</f>
        <v>0</v>
      </c>
      <c r="C32" s="11">
        <f>IF(A32="","",SUMIFS(CAJA!$D$6:$D$255,CAJA!$B$6:$B$255,"SALIDA",CAJA!$A$6:$A$255,A32,CAJA!$F$6:$F$255,"OK"))</f>
        <v>0</v>
      </c>
      <c r="D32" s="11">
        <f t="shared" si="0"/>
        <v>69000</v>
      </c>
      <c r="E32" s="11" t="str">
        <f>IF(OR(A32="",AUX_CALC_91D!$H$3&lt;&gt;"OK"),"",SUMIFS(STOCK!$R$6:$R$105,STOCK!$J$6:$J$105,A32))</f>
        <v/>
      </c>
      <c r="F32" s="11" t="str">
        <f t="shared" si="1"/>
        <v/>
      </c>
    </row>
    <row r="33" spans="1:6" x14ac:dyDescent="0.45">
      <c r="A33" s="16">
        <f>IF(CONFIG!$B$5="","",CONFIG!$B$5+28)</f>
        <v>46314</v>
      </c>
      <c r="B33" s="11">
        <f>IF(A33="","",SUMIFS(CAJA!$D$6:$D$255,CAJA!$B$6:$B$255,"ENTRADA",CAJA!$A$6:$A$255,A33,CAJA!$F$6:$F$255,"OK"))</f>
        <v>0</v>
      </c>
      <c r="C33" s="11">
        <f>IF(A33="","",SUMIFS(CAJA!$D$6:$D$255,CAJA!$B$6:$B$255,"SALIDA",CAJA!$A$6:$A$255,A33,CAJA!$F$6:$F$255,"OK"))</f>
        <v>0</v>
      </c>
      <c r="D33" s="11">
        <f t="shared" si="0"/>
        <v>69000</v>
      </c>
      <c r="E33" s="11" t="str">
        <f>IF(OR(A33="",AUX_CALC_91D!$H$3&lt;&gt;"OK"),"",SUMIFS(STOCK!$R$6:$R$105,STOCK!$J$6:$J$105,A33))</f>
        <v/>
      </c>
      <c r="F33" s="11" t="str">
        <f t="shared" si="1"/>
        <v/>
      </c>
    </row>
    <row r="34" spans="1:6" x14ac:dyDescent="0.45">
      <c r="A34" s="16">
        <f>IF(CONFIG!$B$5="","",CONFIG!$B$5+29)</f>
        <v>46315</v>
      </c>
      <c r="B34" s="11">
        <f>IF(A34="","",SUMIFS(CAJA!$D$6:$D$255,CAJA!$B$6:$B$255,"ENTRADA",CAJA!$A$6:$A$255,A34,CAJA!$F$6:$F$255,"OK"))</f>
        <v>0</v>
      </c>
      <c r="C34" s="11">
        <f>IF(A34="","",SUMIFS(CAJA!$D$6:$D$255,CAJA!$B$6:$B$255,"SALIDA",CAJA!$A$6:$A$255,A34,CAJA!$F$6:$F$255,"OK"))</f>
        <v>0</v>
      </c>
      <c r="D34" s="11">
        <f t="shared" si="0"/>
        <v>69000</v>
      </c>
      <c r="E34" s="11" t="str">
        <f>IF(OR(A34="",AUX_CALC_91D!$H$3&lt;&gt;"OK"),"",SUMIFS(STOCK!$R$6:$R$105,STOCK!$J$6:$J$105,A34))</f>
        <v/>
      </c>
      <c r="F34" s="11" t="str">
        <f t="shared" si="1"/>
        <v/>
      </c>
    </row>
    <row r="35" spans="1:6" x14ac:dyDescent="0.45">
      <c r="A35" s="16">
        <f>IF(CONFIG!$B$5="","",CONFIG!$B$5+30)</f>
        <v>46316</v>
      </c>
      <c r="B35" s="11">
        <f>IF(A35="","",SUMIFS(CAJA!$D$6:$D$255,CAJA!$B$6:$B$255,"ENTRADA",CAJA!$A$6:$A$255,A35,CAJA!$F$6:$F$255,"OK"))</f>
        <v>0</v>
      </c>
      <c r="C35" s="11">
        <f>IF(A35="","",SUMIFS(CAJA!$D$6:$D$255,CAJA!$B$6:$B$255,"SALIDA",CAJA!$A$6:$A$255,A35,CAJA!$F$6:$F$255,"OK"))</f>
        <v>0</v>
      </c>
      <c r="D35" s="11">
        <f t="shared" si="0"/>
        <v>69000</v>
      </c>
      <c r="E35" s="11" t="str">
        <f>IF(OR(A35="",AUX_CALC_91D!$H$3&lt;&gt;"OK"),"",SUMIFS(STOCK!$R$6:$R$105,STOCK!$J$6:$J$105,A35))</f>
        <v/>
      </c>
      <c r="F35" s="11" t="str">
        <f t="shared" si="1"/>
        <v/>
      </c>
    </row>
    <row r="36" spans="1:6" x14ac:dyDescent="0.45">
      <c r="A36" s="16">
        <f>IF(CONFIG!$B$5="","",CONFIG!$B$5+31)</f>
        <v>46317</v>
      </c>
      <c r="B36" s="11">
        <f>IF(A36="","",SUMIFS(CAJA!$D$6:$D$255,CAJA!$B$6:$B$255,"ENTRADA",CAJA!$A$6:$A$255,A36,CAJA!$F$6:$F$255,"OK"))</f>
        <v>9000</v>
      </c>
      <c r="C36" s="11">
        <f>IF(A36="","",SUMIFS(CAJA!$D$6:$D$255,CAJA!$B$6:$B$255,"SALIDA",CAJA!$A$6:$A$255,A36,CAJA!$F$6:$F$255,"OK"))</f>
        <v>0</v>
      </c>
      <c r="D36" s="11">
        <f t="shared" si="0"/>
        <v>78000</v>
      </c>
      <c r="E36" s="11" t="str">
        <f>IF(OR(A36="",AUX_CALC_91D!$H$3&lt;&gt;"OK"),"",SUMIFS(STOCK!$R$6:$R$105,STOCK!$J$6:$J$105,A36))</f>
        <v/>
      </c>
      <c r="F36" s="11" t="str">
        <f t="shared" si="1"/>
        <v/>
      </c>
    </row>
    <row r="37" spans="1:6" x14ac:dyDescent="0.45">
      <c r="A37" s="16">
        <f>IF(CONFIG!$B$5="","",CONFIG!$B$5+32)</f>
        <v>46318</v>
      </c>
      <c r="B37" s="11">
        <f>IF(A37="","",SUMIFS(CAJA!$D$6:$D$255,CAJA!$B$6:$B$255,"ENTRADA",CAJA!$A$6:$A$255,A37,CAJA!$F$6:$F$255,"OK"))</f>
        <v>0</v>
      </c>
      <c r="C37" s="11">
        <f>IF(A37="","",SUMIFS(CAJA!$D$6:$D$255,CAJA!$B$6:$B$255,"SALIDA",CAJA!$A$6:$A$255,A37,CAJA!$F$6:$F$255,"OK"))</f>
        <v>0</v>
      </c>
      <c r="D37" s="11">
        <f t="shared" si="0"/>
        <v>78000</v>
      </c>
      <c r="E37" s="11" t="str">
        <f>IF(OR(A37="",AUX_CALC_91D!$H$3&lt;&gt;"OK"),"",SUMIFS(STOCK!$R$6:$R$105,STOCK!$J$6:$J$105,A37))</f>
        <v/>
      </c>
      <c r="F37" s="11" t="str">
        <f t="shared" si="1"/>
        <v/>
      </c>
    </row>
    <row r="38" spans="1:6" x14ac:dyDescent="0.45">
      <c r="A38" s="16">
        <f>IF(CONFIG!$B$5="","",CONFIG!$B$5+33)</f>
        <v>46319</v>
      </c>
      <c r="B38" s="11">
        <f>IF(A38="","",SUMIFS(CAJA!$D$6:$D$255,CAJA!$B$6:$B$255,"ENTRADA",CAJA!$A$6:$A$255,A38,CAJA!$F$6:$F$255,"OK"))</f>
        <v>0</v>
      </c>
      <c r="C38" s="11">
        <f>IF(A38="","",SUMIFS(CAJA!$D$6:$D$255,CAJA!$B$6:$B$255,"SALIDA",CAJA!$A$6:$A$255,A38,CAJA!$F$6:$F$255,"OK"))</f>
        <v>0</v>
      </c>
      <c r="D38" s="11">
        <f t="shared" si="0"/>
        <v>78000</v>
      </c>
      <c r="E38" s="11" t="str">
        <f>IF(OR(A38="",AUX_CALC_91D!$H$3&lt;&gt;"OK"),"",SUMIFS(STOCK!$R$6:$R$105,STOCK!$J$6:$J$105,A38))</f>
        <v/>
      </c>
      <c r="F38" s="11" t="str">
        <f t="shared" si="1"/>
        <v/>
      </c>
    </row>
    <row r="39" spans="1:6" x14ac:dyDescent="0.45">
      <c r="A39" s="16">
        <f>IF(CONFIG!$B$5="","",CONFIG!$B$5+34)</f>
        <v>46320</v>
      </c>
      <c r="B39" s="11">
        <f>IF(A39="","",SUMIFS(CAJA!$D$6:$D$255,CAJA!$B$6:$B$255,"ENTRADA",CAJA!$A$6:$A$255,A39,CAJA!$F$6:$F$255,"OK"))</f>
        <v>0</v>
      </c>
      <c r="C39" s="11">
        <f>IF(A39="","",SUMIFS(CAJA!$D$6:$D$255,CAJA!$B$6:$B$255,"SALIDA",CAJA!$A$6:$A$255,A39,CAJA!$F$6:$F$255,"OK"))</f>
        <v>0</v>
      </c>
      <c r="D39" s="11">
        <f t="shared" ref="D39:D70" si="2">IFERROR(IF(OR(D38="",A39=""),"",D38+B39-C39),"")</f>
        <v>78000</v>
      </c>
      <c r="E39" s="11" t="str">
        <f>IF(OR(A39="",AUX_CALC_91D!$H$3&lt;&gt;"OK"),"",SUMIFS(STOCK!$R$6:$R$105,STOCK!$J$6:$J$105,A39))</f>
        <v/>
      </c>
      <c r="F39" s="11" t="str">
        <f t="shared" ref="F39:F70" si="3">IFERROR(IF(OR(F38="",A39="",E39=""),"",F38+B39-C39-E39),"")</f>
        <v/>
      </c>
    </row>
    <row r="40" spans="1:6" x14ac:dyDescent="0.45">
      <c r="A40" s="16">
        <f>IF(CONFIG!$B$5="","",CONFIG!$B$5+35)</f>
        <v>46321</v>
      </c>
      <c r="B40" s="11">
        <f>IF(A40="","",SUMIFS(CAJA!$D$6:$D$255,CAJA!$B$6:$B$255,"ENTRADA",CAJA!$A$6:$A$255,A40,CAJA!$F$6:$F$255,"OK"))</f>
        <v>0</v>
      </c>
      <c r="C40" s="11">
        <f>IF(A40="","",SUMIFS(CAJA!$D$6:$D$255,CAJA!$B$6:$B$255,"SALIDA",CAJA!$A$6:$A$255,A40,CAJA!$F$6:$F$255,"OK"))</f>
        <v>0</v>
      </c>
      <c r="D40" s="11">
        <f t="shared" si="2"/>
        <v>78000</v>
      </c>
      <c r="E40" s="11" t="str">
        <f>IF(OR(A40="",AUX_CALC_91D!$H$3&lt;&gt;"OK"),"",SUMIFS(STOCK!$R$6:$R$105,STOCK!$J$6:$J$105,A40))</f>
        <v/>
      </c>
      <c r="F40" s="11" t="str">
        <f t="shared" si="3"/>
        <v/>
      </c>
    </row>
    <row r="41" spans="1:6" x14ac:dyDescent="0.45">
      <c r="A41" s="16">
        <f>IF(CONFIG!$B$5="","",CONFIG!$B$5+36)</f>
        <v>46322</v>
      </c>
      <c r="B41" s="11">
        <f>IF(A41="","",SUMIFS(CAJA!$D$6:$D$255,CAJA!$B$6:$B$255,"ENTRADA",CAJA!$A$6:$A$255,A41,CAJA!$F$6:$F$255,"OK"))</f>
        <v>0</v>
      </c>
      <c r="C41" s="11">
        <f>IF(A41="","",SUMIFS(CAJA!$D$6:$D$255,CAJA!$B$6:$B$255,"SALIDA",CAJA!$A$6:$A$255,A41,CAJA!$F$6:$F$255,"OK"))</f>
        <v>0</v>
      </c>
      <c r="D41" s="11">
        <f t="shared" si="2"/>
        <v>78000</v>
      </c>
      <c r="E41" s="11" t="str">
        <f>IF(OR(A41="",AUX_CALC_91D!$H$3&lt;&gt;"OK"),"",SUMIFS(STOCK!$R$6:$R$105,STOCK!$J$6:$J$105,A41))</f>
        <v/>
      </c>
      <c r="F41" s="11" t="str">
        <f t="shared" si="3"/>
        <v/>
      </c>
    </row>
    <row r="42" spans="1:6" x14ac:dyDescent="0.45">
      <c r="A42" s="16">
        <f>IF(CONFIG!$B$5="","",CONFIG!$B$5+37)</f>
        <v>46323</v>
      </c>
      <c r="B42" s="11">
        <f>IF(A42="","",SUMIFS(CAJA!$D$6:$D$255,CAJA!$B$6:$B$255,"ENTRADA",CAJA!$A$6:$A$255,A42,CAJA!$F$6:$F$255,"OK"))</f>
        <v>0</v>
      </c>
      <c r="C42" s="11">
        <f>IF(A42="","",SUMIFS(CAJA!$D$6:$D$255,CAJA!$B$6:$B$255,"SALIDA",CAJA!$A$6:$A$255,A42,CAJA!$F$6:$F$255,"OK"))</f>
        <v>0</v>
      </c>
      <c r="D42" s="11">
        <f t="shared" si="2"/>
        <v>78000</v>
      </c>
      <c r="E42" s="11" t="str">
        <f>IF(OR(A42="",AUX_CALC_91D!$H$3&lt;&gt;"OK"),"",SUMIFS(STOCK!$R$6:$R$105,STOCK!$J$6:$J$105,A42))</f>
        <v/>
      </c>
      <c r="F42" s="11" t="str">
        <f t="shared" si="3"/>
        <v/>
      </c>
    </row>
    <row r="43" spans="1:6" x14ac:dyDescent="0.45">
      <c r="A43" s="16">
        <f>IF(CONFIG!$B$5="","",CONFIG!$B$5+38)</f>
        <v>46324</v>
      </c>
      <c r="B43" s="11">
        <f>IF(A43="","",SUMIFS(CAJA!$D$6:$D$255,CAJA!$B$6:$B$255,"ENTRADA",CAJA!$A$6:$A$255,A43,CAJA!$F$6:$F$255,"OK"))</f>
        <v>0</v>
      </c>
      <c r="C43" s="11">
        <f>IF(A43="","",SUMIFS(CAJA!$D$6:$D$255,CAJA!$B$6:$B$255,"SALIDA",CAJA!$A$6:$A$255,A43,CAJA!$F$6:$F$255,"OK"))</f>
        <v>11000</v>
      </c>
      <c r="D43" s="11">
        <f t="shared" si="2"/>
        <v>67000</v>
      </c>
      <c r="E43" s="11" t="str">
        <f>IF(OR(A43="",AUX_CALC_91D!$H$3&lt;&gt;"OK"),"",SUMIFS(STOCK!$R$6:$R$105,STOCK!$J$6:$J$105,A43))</f>
        <v/>
      </c>
      <c r="F43" s="11" t="str">
        <f t="shared" si="3"/>
        <v/>
      </c>
    </row>
    <row r="44" spans="1:6" x14ac:dyDescent="0.45">
      <c r="A44" s="16">
        <f>IF(CONFIG!$B$5="","",CONFIG!$B$5+39)</f>
        <v>46325</v>
      </c>
      <c r="B44" s="11">
        <f>IF(A44="","",SUMIFS(CAJA!$D$6:$D$255,CAJA!$B$6:$B$255,"ENTRADA",CAJA!$A$6:$A$255,A44,CAJA!$F$6:$F$255,"OK"))</f>
        <v>0</v>
      </c>
      <c r="C44" s="11">
        <f>IF(A44="","",SUMIFS(CAJA!$D$6:$D$255,CAJA!$B$6:$B$255,"SALIDA",CAJA!$A$6:$A$255,A44,CAJA!$F$6:$F$255,"OK"))</f>
        <v>0</v>
      </c>
      <c r="D44" s="11">
        <f t="shared" si="2"/>
        <v>67000</v>
      </c>
      <c r="E44" s="11" t="str">
        <f>IF(OR(A44="",AUX_CALC_91D!$H$3&lt;&gt;"OK"),"",SUMIFS(STOCK!$R$6:$R$105,STOCK!$J$6:$J$105,A44))</f>
        <v/>
      </c>
      <c r="F44" s="11" t="str">
        <f t="shared" si="3"/>
        <v/>
      </c>
    </row>
    <row r="45" spans="1:6" x14ac:dyDescent="0.45">
      <c r="A45" s="16">
        <f>IF(CONFIG!$B$5="","",CONFIG!$B$5+40)</f>
        <v>46326</v>
      </c>
      <c r="B45" s="11">
        <f>IF(A45="","",SUMIFS(CAJA!$D$6:$D$255,CAJA!$B$6:$B$255,"ENTRADA",CAJA!$A$6:$A$255,A45,CAJA!$F$6:$F$255,"OK"))</f>
        <v>0</v>
      </c>
      <c r="C45" s="11">
        <f>IF(A45="","",SUMIFS(CAJA!$D$6:$D$255,CAJA!$B$6:$B$255,"SALIDA",CAJA!$A$6:$A$255,A45,CAJA!$F$6:$F$255,"OK"))</f>
        <v>0</v>
      </c>
      <c r="D45" s="11">
        <f t="shared" si="2"/>
        <v>67000</v>
      </c>
      <c r="E45" s="11" t="str">
        <f>IF(OR(A45="",AUX_CALC_91D!$H$3&lt;&gt;"OK"),"",SUMIFS(STOCK!$R$6:$R$105,STOCK!$J$6:$J$105,A45))</f>
        <v/>
      </c>
      <c r="F45" s="11" t="str">
        <f t="shared" si="3"/>
        <v/>
      </c>
    </row>
    <row r="46" spans="1:6" x14ac:dyDescent="0.45">
      <c r="A46" s="16">
        <f>IF(CONFIG!$B$5="","",CONFIG!$B$5+41)</f>
        <v>46327</v>
      </c>
      <c r="B46" s="11">
        <f>IF(A46="","",SUMIFS(CAJA!$D$6:$D$255,CAJA!$B$6:$B$255,"ENTRADA",CAJA!$A$6:$A$255,A46,CAJA!$F$6:$F$255,"OK"))</f>
        <v>0</v>
      </c>
      <c r="C46" s="11">
        <f>IF(A46="","",SUMIFS(CAJA!$D$6:$D$255,CAJA!$B$6:$B$255,"SALIDA",CAJA!$A$6:$A$255,A46,CAJA!$F$6:$F$255,"OK"))</f>
        <v>0</v>
      </c>
      <c r="D46" s="11">
        <f t="shared" si="2"/>
        <v>67000</v>
      </c>
      <c r="E46" s="11" t="str">
        <f>IF(OR(A46="",AUX_CALC_91D!$H$3&lt;&gt;"OK"),"",SUMIFS(STOCK!$R$6:$R$105,STOCK!$J$6:$J$105,A46))</f>
        <v/>
      </c>
      <c r="F46" s="11" t="str">
        <f t="shared" si="3"/>
        <v/>
      </c>
    </row>
    <row r="47" spans="1:6" x14ac:dyDescent="0.45">
      <c r="A47" s="16">
        <f>IF(CONFIG!$B$5="","",CONFIG!$B$5+42)</f>
        <v>46328</v>
      </c>
      <c r="B47" s="11">
        <f>IF(A47="","",SUMIFS(CAJA!$D$6:$D$255,CAJA!$B$6:$B$255,"ENTRADA",CAJA!$A$6:$A$255,A47,CAJA!$F$6:$F$255,"OK"))</f>
        <v>0</v>
      </c>
      <c r="C47" s="11">
        <f>IF(A47="","",SUMIFS(CAJA!$D$6:$D$255,CAJA!$B$6:$B$255,"SALIDA",CAJA!$A$6:$A$255,A47,CAJA!$F$6:$F$255,"OK"))</f>
        <v>0</v>
      </c>
      <c r="D47" s="11">
        <f t="shared" si="2"/>
        <v>67000</v>
      </c>
      <c r="E47" s="11" t="str">
        <f>IF(OR(A47="",AUX_CALC_91D!$H$3&lt;&gt;"OK"),"",SUMIFS(STOCK!$R$6:$R$105,STOCK!$J$6:$J$105,A47))</f>
        <v/>
      </c>
      <c r="F47" s="11" t="str">
        <f t="shared" si="3"/>
        <v/>
      </c>
    </row>
    <row r="48" spans="1:6" x14ac:dyDescent="0.45">
      <c r="A48" s="16">
        <f>IF(CONFIG!$B$5="","",CONFIG!$B$5+43)</f>
        <v>46329</v>
      </c>
      <c r="B48" s="11">
        <f>IF(A48="","",SUMIFS(CAJA!$D$6:$D$255,CAJA!$B$6:$B$255,"ENTRADA",CAJA!$A$6:$A$255,A48,CAJA!$F$6:$F$255,"OK"))</f>
        <v>0</v>
      </c>
      <c r="C48" s="11">
        <f>IF(A48="","",SUMIFS(CAJA!$D$6:$D$255,CAJA!$B$6:$B$255,"SALIDA",CAJA!$A$6:$A$255,A48,CAJA!$F$6:$F$255,"OK"))</f>
        <v>0</v>
      </c>
      <c r="D48" s="11">
        <f t="shared" si="2"/>
        <v>67000</v>
      </c>
      <c r="E48" s="11" t="str">
        <f>IF(OR(A48="",AUX_CALC_91D!$H$3&lt;&gt;"OK"),"",SUMIFS(STOCK!$R$6:$R$105,STOCK!$J$6:$J$105,A48))</f>
        <v/>
      </c>
      <c r="F48" s="11" t="str">
        <f t="shared" si="3"/>
        <v/>
      </c>
    </row>
    <row r="49" spans="1:6" x14ac:dyDescent="0.45">
      <c r="A49" s="16">
        <f>IF(CONFIG!$B$5="","",CONFIG!$B$5+44)</f>
        <v>46330</v>
      </c>
      <c r="B49" s="11">
        <f>IF(A49="","",SUMIFS(CAJA!$D$6:$D$255,CAJA!$B$6:$B$255,"ENTRADA",CAJA!$A$6:$A$255,A49,CAJA!$F$6:$F$255,"OK"))</f>
        <v>0</v>
      </c>
      <c r="C49" s="11">
        <f>IF(A49="","",SUMIFS(CAJA!$D$6:$D$255,CAJA!$B$6:$B$255,"SALIDA",CAJA!$A$6:$A$255,A49,CAJA!$F$6:$F$255,"OK"))</f>
        <v>0</v>
      </c>
      <c r="D49" s="11">
        <f t="shared" si="2"/>
        <v>67000</v>
      </c>
      <c r="E49" s="11" t="str">
        <f>IF(OR(A49="",AUX_CALC_91D!$H$3&lt;&gt;"OK"),"",SUMIFS(STOCK!$R$6:$R$105,STOCK!$J$6:$J$105,A49))</f>
        <v/>
      </c>
      <c r="F49" s="11" t="str">
        <f t="shared" si="3"/>
        <v/>
      </c>
    </row>
    <row r="50" spans="1:6" x14ac:dyDescent="0.45">
      <c r="A50" s="16">
        <f>IF(CONFIG!$B$5="","",CONFIG!$B$5+45)</f>
        <v>46331</v>
      </c>
      <c r="B50" s="11">
        <f>IF(A50="","",SUMIFS(CAJA!$D$6:$D$255,CAJA!$B$6:$B$255,"ENTRADA",CAJA!$A$6:$A$255,A50,CAJA!$F$6:$F$255,"OK"))</f>
        <v>0</v>
      </c>
      <c r="C50" s="11">
        <f>IF(A50="","",SUMIFS(CAJA!$D$6:$D$255,CAJA!$B$6:$B$255,"SALIDA",CAJA!$A$6:$A$255,A50,CAJA!$F$6:$F$255,"OK"))</f>
        <v>0</v>
      </c>
      <c r="D50" s="11">
        <f t="shared" si="2"/>
        <v>67000</v>
      </c>
      <c r="E50" s="11" t="str">
        <f>IF(OR(A50="",AUX_CALC_91D!$H$3&lt;&gt;"OK"),"",SUMIFS(STOCK!$R$6:$R$105,STOCK!$J$6:$J$105,A50))</f>
        <v/>
      </c>
      <c r="F50" s="11" t="str">
        <f t="shared" si="3"/>
        <v/>
      </c>
    </row>
    <row r="51" spans="1:6" x14ac:dyDescent="0.45">
      <c r="A51" s="16">
        <f>IF(CONFIG!$B$5="","",CONFIG!$B$5+46)</f>
        <v>46332</v>
      </c>
      <c r="B51" s="11">
        <f>IF(A51="","",SUMIFS(CAJA!$D$6:$D$255,CAJA!$B$6:$B$255,"ENTRADA",CAJA!$A$6:$A$255,A51,CAJA!$F$6:$F$255,"OK"))</f>
        <v>0</v>
      </c>
      <c r="C51" s="11">
        <f>IF(A51="","",SUMIFS(CAJA!$D$6:$D$255,CAJA!$B$6:$B$255,"SALIDA",CAJA!$A$6:$A$255,A51,CAJA!$F$6:$F$255,"OK"))</f>
        <v>0</v>
      </c>
      <c r="D51" s="11">
        <f t="shared" si="2"/>
        <v>67000</v>
      </c>
      <c r="E51" s="11" t="str">
        <f>IF(OR(A51="",AUX_CALC_91D!$H$3&lt;&gt;"OK"),"",SUMIFS(STOCK!$R$6:$R$105,STOCK!$J$6:$J$105,A51))</f>
        <v/>
      </c>
      <c r="F51" s="11" t="str">
        <f t="shared" si="3"/>
        <v/>
      </c>
    </row>
    <row r="52" spans="1:6" x14ac:dyDescent="0.45">
      <c r="A52" s="16">
        <f>IF(CONFIG!$B$5="","",CONFIG!$B$5+47)</f>
        <v>46333</v>
      </c>
      <c r="B52" s="11">
        <f>IF(A52="","",SUMIFS(CAJA!$D$6:$D$255,CAJA!$B$6:$B$255,"ENTRADA",CAJA!$A$6:$A$255,A52,CAJA!$F$6:$F$255,"OK"))</f>
        <v>0</v>
      </c>
      <c r="C52" s="11">
        <f>IF(A52="","",SUMIFS(CAJA!$D$6:$D$255,CAJA!$B$6:$B$255,"SALIDA",CAJA!$A$6:$A$255,A52,CAJA!$F$6:$F$255,"OK"))</f>
        <v>0</v>
      </c>
      <c r="D52" s="11">
        <f t="shared" si="2"/>
        <v>67000</v>
      </c>
      <c r="E52" s="11" t="str">
        <f>IF(OR(A52="",AUX_CALC_91D!$H$3&lt;&gt;"OK"),"",SUMIFS(STOCK!$R$6:$R$105,STOCK!$J$6:$J$105,A52))</f>
        <v/>
      </c>
      <c r="F52" s="11" t="str">
        <f t="shared" si="3"/>
        <v/>
      </c>
    </row>
    <row r="53" spans="1:6" x14ac:dyDescent="0.45">
      <c r="A53" s="16">
        <f>IF(CONFIG!$B$5="","",CONFIG!$B$5+48)</f>
        <v>46334</v>
      </c>
      <c r="B53" s="11">
        <f>IF(A53="","",SUMIFS(CAJA!$D$6:$D$255,CAJA!$B$6:$B$255,"ENTRADA",CAJA!$A$6:$A$255,A53,CAJA!$F$6:$F$255,"OK"))</f>
        <v>0</v>
      </c>
      <c r="C53" s="11">
        <f>IF(A53="","",SUMIFS(CAJA!$D$6:$D$255,CAJA!$B$6:$B$255,"SALIDA",CAJA!$A$6:$A$255,A53,CAJA!$F$6:$F$255,"OK"))</f>
        <v>0</v>
      </c>
      <c r="D53" s="11">
        <f t="shared" si="2"/>
        <v>67000</v>
      </c>
      <c r="E53" s="11" t="str">
        <f>IF(OR(A53="",AUX_CALC_91D!$H$3&lt;&gt;"OK"),"",SUMIFS(STOCK!$R$6:$R$105,STOCK!$J$6:$J$105,A53))</f>
        <v/>
      </c>
      <c r="F53" s="11" t="str">
        <f t="shared" si="3"/>
        <v/>
      </c>
    </row>
    <row r="54" spans="1:6" x14ac:dyDescent="0.45">
      <c r="A54" s="16">
        <f>IF(CONFIG!$B$5="","",CONFIG!$B$5+49)</f>
        <v>46335</v>
      </c>
      <c r="B54" s="11">
        <f>IF(A54="","",SUMIFS(CAJA!$D$6:$D$255,CAJA!$B$6:$B$255,"ENTRADA",CAJA!$A$6:$A$255,A54,CAJA!$F$6:$F$255,"OK"))</f>
        <v>0</v>
      </c>
      <c r="C54" s="11">
        <f>IF(A54="","",SUMIFS(CAJA!$D$6:$D$255,CAJA!$B$6:$B$255,"SALIDA",CAJA!$A$6:$A$255,A54,CAJA!$F$6:$F$255,"OK"))</f>
        <v>0</v>
      </c>
      <c r="D54" s="11">
        <f t="shared" si="2"/>
        <v>67000</v>
      </c>
      <c r="E54" s="11" t="str">
        <f>IF(OR(A54="",AUX_CALC_91D!$H$3&lt;&gt;"OK"),"",SUMIFS(STOCK!$R$6:$R$105,STOCK!$J$6:$J$105,A54))</f>
        <v/>
      </c>
      <c r="F54" s="11" t="str">
        <f t="shared" si="3"/>
        <v/>
      </c>
    </row>
    <row r="55" spans="1:6" x14ac:dyDescent="0.45">
      <c r="A55" s="16">
        <f>IF(CONFIG!$B$5="","",CONFIG!$B$5+50)</f>
        <v>46336</v>
      </c>
      <c r="B55" s="11">
        <f>IF(A55="","",SUMIFS(CAJA!$D$6:$D$255,CAJA!$B$6:$B$255,"ENTRADA",CAJA!$A$6:$A$255,A55,CAJA!$F$6:$F$255,"OK"))</f>
        <v>0</v>
      </c>
      <c r="C55" s="11">
        <f>IF(A55="","",SUMIFS(CAJA!$D$6:$D$255,CAJA!$B$6:$B$255,"SALIDA",CAJA!$A$6:$A$255,A55,CAJA!$F$6:$F$255,"OK"))</f>
        <v>0</v>
      </c>
      <c r="D55" s="11">
        <f t="shared" si="2"/>
        <v>67000</v>
      </c>
      <c r="E55" s="11" t="str">
        <f>IF(OR(A55="",AUX_CALC_91D!$H$3&lt;&gt;"OK"),"",SUMIFS(STOCK!$R$6:$R$105,STOCK!$J$6:$J$105,A55))</f>
        <v/>
      </c>
      <c r="F55" s="11" t="str">
        <f t="shared" si="3"/>
        <v/>
      </c>
    </row>
    <row r="56" spans="1:6" x14ac:dyDescent="0.45">
      <c r="A56" s="16">
        <f>IF(CONFIG!$B$5="","",CONFIG!$B$5+51)</f>
        <v>46337</v>
      </c>
      <c r="B56" s="11">
        <f>IF(A56="","",SUMIFS(CAJA!$D$6:$D$255,CAJA!$B$6:$B$255,"ENTRADA",CAJA!$A$6:$A$255,A56,CAJA!$F$6:$F$255,"OK"))</f>
        <v>0</v>
      </c>
      <c r="C56" s="11">
        <f>IF(A56="","",SUMIFS(CAJA!$D$6:$D$255,CAJA!$B$6:$B$255,"SALIDA",CAJA!$A$6:$A$255,A56,CAJA!$F$6:$F$255,"OK"))</f>
        <v>0</v>
      </c>
      <c r="D56" s="11">
        <f t="shared" si="2"/>
        <v>67000</v>
      </c>
      <c r="E56" s="11" t="str">
        <f>IF(OR(A56="",AUX_CALC_91D!$H$3&lt;&gt;"OK"),"",SUMIFS(STOCK!$R$6:$R$105,STOCK!$J$6:$J$105,A56))</f>
        <v/>
      </c>
      <c r="F56" s="11" t="str">
        <f t="shared" si="3"/>
        <v/>
      </c>
    </row>
    <row r="57" spans="1:6" x14ac:dyDescent="0.45">
      <c r="A57" s="16">
        <f>IF(CONFIG!$B$5="","",CONFIG!$B$5+52)</f>
        <v>46338</v>
      </c>
      <c r="B57" s="11">
        <f>IF(A57="","",SUMIFS(CAJA!$D$6:$D$255,CAJA!$B$6:$B$255,"ENTRADA",CAJA!$A$6:$A$255,A57,CAJA!$F$6:$F$255,"OK"))</f>
        <v>0</v>
      </c>
      <c r="C57" s="11">
        <f>IF(A57="","",SUMIFS(CAJA!$D$6:$D$255,CAJA!$B$6:$B$255,"SALIDA",CAJA!$A$6:$A$255,A57,CAJA!$F$6:$F$255,"OK"))</f>
        <v>0</v>
      </c>
      <c r="D57" s="11">
        <f t="shared" si="2"/>
        <v>67000</v>
      </c>
      <c r="E57" s="11" t="str">
        <f>IF(OR(A57="",AUX_CALC_91D!$H$3&lt;&gt;"OK"),"",SUMIFS(STOCK!$R$6:$R$105,STOCK!$J$6:$J$105,A57))</f>
        <v/>
      </c>
      <c r="F57" s="11" t="str">
        <f t="shared" si="3"/>
        <v/>
      </c>
    </row>
    <row r="58" spans="1:6" x14ac:dyDescent="0.45">
      <c r="A58" s="16">
        <f>IF(CONFIG!$B$5="","",CONFIG!$B$5+53)</f>
        <v>46339</v>
      </c>
      <c r="B58" s="11">
        <f>IF(A58="","",SUMIFS(CAJA!$D$6:$D$255,CAJA!$B$6:$B$255,"ENTRADA",CAJA!$A$6:$A$255,A58,CAJA!$F$6:$F$255,"OK"))</f>
        <v>0</v>
      </c>
      <c r="C58" s="11">
        <f>IF(A58="","",SUMIFS(CAJA!$D$6:$D$255,CAJA!$B$6:$B$255,"SALIDA",CAJA!$A$6:$A$255,A58,CAJA!$F$6:$F$255,"OK"))</f>
        <v>0</v>
      </c>
      <c r="D58" s="11">
        <f t="shared" si="2"/>
        <v>67000</v>
      </c>
      <c r="E58" s="11" t="str">
        <f>IF(OR(A58="",AUX_CALC_91D!$H$3&lt;&gt;"OK"),"",SUMIFS(STOCK!$R$6:$R$105,STOCK!$J$6:$J$105,A58))</f>
        <v/>
      </c>
      <c r="F58" s="11" t="str">
        <f t="shared" si="3"/>
        <v/>
      </c>
    </row>
    <row r="59" spans="1:6" x14ac:dyDescent="0.45">
      <c r="A59" s="16">
        <f>IF(CONFIG!$B$5="","",CONFIG!$B$5+54)</f>
        <v>46340</v>
      </c>
      <c r="B59" s="11">
        <f>IF(A59="","",SUMIFS(CAJA!$D$6:$D$255,CAJA!$B$6:$B$255,"ENTRADA",CAJA!$A$6:$A$255,A59,CAJA!$F$6:$F$255,"OK"))</f>
        <v>0</v>
      </c>
      <c r="C59" s="11">
        <f>IF(A59="","",SUMIFS(CAJA!$D$6:$D$255,CAJA!$B$6:$B$255,"SALIDA",CAJA!$A$6:$A$255,A59,CAJA!$F$6:$F$255,"OK"))</f>
        <v>8000</v>
      </c>
      <c r="D59" s="11">
        <f t="shared" si="2"/>
        <v>59000</v>
      </c>
      <c r="E59" s="11" t="str">
        <f>IF(OR(A59="",AUX_CALC_91D!$H$3&lt;&gt;"OK"),"",SUMIFS(STOCK!$R$6:$R$105,STOCK!$J$6:$J$105,A59))</f>
        <v/>
      </c>
      <c r="F59" s="11" t="str">
        <f t="shared" si="3"/>
        <v/>
      </c>
    </row>
    <row r="60" spans="1:6" x14ac:dyDescent="0.45">
      <c r="A60" s="16">
        <f>IF(CONFIG!$B$5="","",CONFIG!$B$5+55)</f>
        <v>46341</v>
      </c>
      <c r="B60" s="11">
        <f>IF(A60="","",SUMIFS(CAJA!$D$6:$D$255,CAJA!$B$6:$B$255,"ENTRADA",CAJA!$A$6:$A$255,A60,CAJA!$F$6:$F$255,"OK"))</f>
        <v>0</v>
      </c>
      <c r="C60" s="11">
        <f>IF(A60="","",SUMIFS(CAJA!$D$6:$D$255,CAJA!$B$6:$B$255,"SALIDA",CAJA!$A$6:$A$255,A60,CAJA!$F$6:$F$255,"OK"))</f>
        <v>0</v>
      </c>
      <c r="D60" s="11">
        <f t="shared" si="2"/>
        <v>59000</v>
      </c>
      <c r="E60" s="11" t="str">
        <f>IF(OR(A60="",AUX_CALC_91D!$H$3&lt;&gt;"OK"),"",SUMIFS(STOCK!$R$6:$R$105,STOCK!$J$6:$J$105,A60))</f>
        <v/>
      </c>
      <c r="F60" s="11" t="str">
        <f t="shared" si="3"/>
        <v/>
      </c>
    </row>
    <row r="61" spans="1:6" x14ac:dyDescent="0.45">
      <c r="A61" s="16">
        <f>IF(CONFIG!$B$5="","",CONFIG!$B$5+56)</f>
        <v>46342</v>
      </c>
      <c r="B61" s="11">
        <f>IF(A61="","",SUMIFS(CAJA!$D$6:$D$255,CAJA!$B$6:$B$255,"ENTRADA",CAJA!$A$6:$A$255,A61,CAJA!$F$6:$F$255,"OK"))</f>
        <v>0</v>
      </c>
      <c r="C61" s="11">
        <f>IF(A61="","",SUMIFS(CAJA!$D$6:$D$255,CAJA!$B$6:$B$255,"SALIDA",CAJA!$A$6:$A$255,A61,CAJA!$F$6:$F$255,"OK"))</f>
        <v>0</v>
      </c>
      <c r="D61" s="11">
        <f t="shared" si="2"/>
        <v>59000</v>
      </c>
      <c r="E61" s="11" t="str">
        <f>IF(OR(A61="",AUX_CALC_91D!$H$3&lt;&gt;"OK"),"",SUMIFS(STOCK!$R$6:$R$105,STOCK!$J$6:$J$105,A61))</f>
        <v/>
      </c>
      <c r="F61" s="11" t="str">
        <f t="shared" si="3"/>
        <v/>
      </c>
    </row>
    <row r="62" spans="1:6" x14ac:dyDescent="0.45">
      <c r="A62" s="16">
        <f>IF(CONFIG!$B$5="","",CONFIG!$B$5+57)</f>
        <v>46343</v>
      </c>
      <c r="B62" s="11">
        <f>IF(A62="","",SUMIFS(CAJA!$D$6:$D$255,CAJA!$B$6:$B$255,"ENTRADA",CAJA!$A$6:$A$255,A62,CAJA!$F$6:$F$255,"OK"))</f>
        <v>0</v>
      </c>
      <c r="C62" s="11">
        <f>IF(A62="","",SUMIFS(CAJA!$D$6:$D$255,CAJA!$B$6:$B$255,"SALIDA",CAJA!$A$6:$A$255,A62,CAJA!$F$6:$F$255,"OK"))</f>
        <v>0</v>
      </c>
      <c r="D62" s="11">
        <f t="shared" si="2"/>
        <v>59000</v>
      </c>
      <c r="E62" s="11" t="str">
        <f>IF(OR(A62="",AUX_CALC_91D!$H$3&lt;&gt;"OK"),"",SUMIFS(STOCK!$R$6:$R$105,STOCK!$J$6:$J$105,A62))</f>
        <v/>
      </c>
      <c r="F62" s="11" t="str">
        <f t="shared" si="3"/>
        <v/>
      </c>
    </row>
    <row r="63" spans="1:6" x14ac:dyDescent="0.45">
      <c r="A63" s="16">
        <f>IF(CONFIG!$B$5="","",CONFIG!$B$5+58)</f>
        <v>46344</v>
      </c>
      <c r="B63" s="11">
        <f>IF(A63="","",SUMIFS(CAJA!$D$6:$D$255,CAJA!$B$6:$B$255,"ENTRADA",CAJA!$A$6:$A$255,A63,CAJA!$F$6:$F$255,"OK"))</f>
        <v>0</v>
      </c>
      <c r="C63" s="11">
        <f>IF(A63="","",SUMIFS(CAJA!$D$6:$D$255,CAJA!$B$6:$B$255,"SALIDA",CAJA!$A$6:$A$255,A63,CAJA!$F$6:$F$255,"OK"))</f>
        <v>0</v>
      </c>
      <c r="D63" s="11">
        <f t="shared" si="2"/>
        <v>59000</v>
      </c>
      <c r="E63" s="11" t="str">
        <f>IF(OR(A63="",AUX_CALC_91D!$H$3&lt;&gt;"OK"),"",SUMIFS(STOCK!$R$6:$R$105,STOCK!$J$6:$J$105,A63))</f>
        <v/>
      </c>
      <c r="F63" s="11" t="str">
        <f t="shared" si="3"/>
        <v/>
      </c>
    </row>
    <row r="64" spans="1:6" x14ac:dyDescent="0.45">
      <c r="A64" s="16">
        <f>IF(CONFIG!$B$5="","",CONFIG!$B$5+59)</f>
        <v>46345</v>
      </c>
      <c r="B64" s="11">
        <f>IF(A64="","",SUMIFS(CAJA!$D$6:$D$255,CAJA!$B$6:$B$255,"ENTRADA",CAJA!$A$6:$A$255,A64,CAJA!$F$6:$F$255,"OK"))</f>
        <v>0</v>
      </c>
      <c r="C64" s="11">
        <f>IF(A64="","",SUMIFS(CAJA!$D$6:$D$255,CAJA!$B$6:$B$255,"SALIDA",CAJA!$A$6:$A$255,A64,CAJA!$F$6:$F$255,"OK"))</f>
        <v>0</v>
      </c>
      <c r="D64" s="11">
        <f t="shared" si="2"/>
        <v>59000</v>
      </c>
      <c r="E64" s="11" t="str">
        <f>IF(OR(A64="",AUX_CALC_91D!$H$3&lt;&gt;"OK"),"",SUMIFS(STOCK!$R$6:$R$105,STOCK!$J$6:$J$105,A64))</f>
        <v/>
      </c>
      <c r="F64" s="11" t="str">
        <f t="shared" si="3"/>
        <v/>
      </c>
    </row>
    <row r="65" spans="1:6" x14ac:dyDescent="0.45">
      <c r="A65" s="16">
        <f>IF(CONFIG!$B$5="","",CONFIG!$B$5+60)</f>
        <v>46346</v>
      </c>
      <c r="B65" s="11">
        <f>IF(A65="","",SUMIFS(CAJA!$D$6:$D$255,CAJA!$B$6:$B$255,"ENTRADA",CAJA!$A$6:$A$255,A65,CAJA!$F$6:$F$255,"OK"))</f>
        <v>0</v>
      </c>
      <c r="C65" s="11">
        <f>IF(A65="","",SUMIFS(CAJA!$D$6:$D$255,CAJA!$B$6:$B$255,"SALIDA",CAJA!$A$6:$A$255,A65,CAJA!$F$6:$F$255,"OK"))</f>
        <v>0</v>
      </c>
      <c r="D65" s="11">
        <f t="shared" si="2"/>
        <v>59000</v>
      </c>
      <c r="E65" s="11" t="str">
        <f>IF(OR(A65="",AUX_CALC_91D!$H$3&lt;&gt;"OK"),"",SUMIFS(STOCK!$R$6:$R$105,STOCK!$J$6:$J$105,A65))</f>
        <v/>
      </c>
      <c r="F65" s="11" t="str">
        <f t="shared" si="3"/>
        <v/>
      </c>
    </row>
    <row r="66" spans="1:6" x14ac:dyDescent="0.45">
      <c r="A66" s="16">
        <f>IF(CONFIG!$B$5="","",CONFIG!$B$5+61)</f>
        <v>46347</v>
      </c>
      <c r="B66" s="11">
        <f>IF(A66="","",SUMIFS(CAJA!$D$6:$D$255,CAJA!$B$6:$B$255,"ENTRADA",CAJA!$A$6:$A$255,A66,CAJA!$F$6:$F$255,"OK"))</f>
        <v>0</v>
      </c>
      <c r="C66" s="11">
        <f>IF(A66="","",SUMIFS(CAJA!$D$6:$D$255,CAJA!$B$6:$B$255,"SALIDA",CAJA!$A$6:$A$255,A66,CAJA!$F$6:$F$255,"OK"))</f>
        <v>0</v>
      </c>
      <c r="D66" s="11">
        <f t="shared" si="2"/>
        <v>59000</v>
      </c>
      <c r="E66" s="11" t="str">
        <f>IF(OR(A66="",AUX_CALC_91D!$H$3&lt;&gt;"OK"),"",SUMIFS(STOCK!$R$6:$R$105,STOCK!$J$6:$J$105,A66))</f>
        <v/>
      </c>
      <c r="F66" s="11" t="str">
        <f t="shared" si="3"/>
        <v/>
      </c>
    </row>
    <row r="67" spans="1:6" x14ac:dyDescent="0.45">
      <c r="A67" s="16">
        <f>IF(CONFIG!$B$5="","",CONFIG!$B$5+62)</f>
        <v>46348</v>
      </c>
      <c r="B67" s="11">
        <f>IF(A67="","",SUMIFS(CAJA!$D$6:$D$255,CAJA!$B$6:$B$255,"ENTRADA",CAJA!$A$6:$A$255,A67,CAJA!$F$6:$F$255,"OK"))</f>
        <v>0</v>
      </c>
      <c r="C67" s="11">
        <f>IF(A67="","",SUMIFS(CAJA!$D$6:$D$255,CAJA!$B$6:$B$255,"SALIDA",CAJA!$A$6:$A$255,A67,CAJA!$F$6:$F$255,"OK"))</f>
        <v>0</v>
      </c>
      <c r="D67" s="11">
        <f t="shared" si="2"/>
        <v>59000</v>
      </c>
      <c r="E67" s="11" t="str">
        <f>IF(OR(A67="",AUX_CALC_91D!$H$3&lt;&gt;"OK"),"",SUMIFS(STOCK!$R$6:$R$105,STOCK!$J$6:$J$105,A67))</f>
        <v/>
      </c>
      <c r="F67" s="11" t="str">
        <f t="shared" si="3"/>
        <v/>
      </c>
    </row>
    <row r="68" spans="1:6" x14ac:dyDescent="0.45">
      <c r="A68" s="16">
        <f>IF(CONFIG!$B$5="","",CONFIG!$B$5+63)</f>
        <v>46349</v>
      </c>
      <c r="B68" s="11">
        <f>IF(A68="","",SUMIFS(CAJA!$D$6:$D$255,CAJA!$B$6:$B$255,"ENTRADA",CAJA!$A$6:$A$255,A68,CAJA!$F$6:$F$255,"OK"))</f>
        <v>0</v>
      </c>
      <c r="C68" s="11">
        <f>IF(A68="","",SUMIFS(CAJA!$D$6:$D$255,CAJA!$B$6:$B$255,"SALIDA",CAJA!$A$6:$A$255,A68,CAJA!$F$6:$F$255,"OK"))</f>
        <v>0</v>
      </c>
      <c r="D68" s="11">
        <f t="shared" si="2"/>
        <v>59000</v>
      </c>
      <c r="E68" s="11" t="str">
        <f>IF(OR(A68="",AUX_CALC_91D!$H$3&lt;&gt;"OK"),"",SUMIFS(STOCK!$R$6:$R$105,STOCK!$J$6:$J$105,A68))</f>
        <v/>
      </c>
      <c r="F68" s="11" t="str">
        <f t="shared" si="3"/>
        <v/>
      </c>
    </row>
    <row r="69" spans="1:6" x14ac:dyDescent="0.45">
      <c r="A69" s="16">
        <f>IF(CONFIG!$B$5="","",CONFIG!$B$5+64)</f>
        <v>46350</v>
      </c>
      <c r="B69" s="11">
        <f>IF(A69="","",SUMIFS(CAJA!$D$6:$D$255,CAJA!$B$6:$B$255,"ENTRADA",CAJA!$A$6:$A$255,A69,CAJA!$F$6:$F$255,"OK"))</f>
        <v>0</v>
      </c>
      <c r="C69" s="11">
        <f>IF(A69="","",SUMIFS(CAJA!$D$6:$D$255,CAJA!$B$6:$B$255,"SALIDA",CAJA!$A$6:$A$255,A69,CAJA!$F$6:$F$255,"OK"))</f>
        <v>0</v>
      </c>
      <c r="D69" s="11">
        <f t="shared" si="2"/>
        <v>59000</v>
      </c>
      <c r="E69" s="11" t="str">
        <f>IF(OR(A69="",AUX_CALC_91D!$H$3&lt;&gt;"OK"),"",SUMIFS(STOCK!$R$6:$R$105,STOCK!$J$6:$J$105,A69))</f>
        <v/>
      </c>
      <c r="F69" s="11" t="str">
        <f t="shared" si="3"/>
        <v/>
      </c>
    </row>
    <row r="70" spans="1:6" x14ac:dyDescent="0.45">
      <c r="A70" s="16">
        <f>IF(CONFIG!$B$5="","",CONFIG!$B$5+65)</f>
        <v>46351</v>
      </c>
      <c r="B70" s="11">
        <f>IF(A70="","",SUMIFS(CAJA!$D$6:$D$255,CAJA!$B$6:$B$255,"ENTRADA",CAJA!$A$6:$A$255,A70,CAJA!$F$6:$F$255,"OK"))</f>
        <v>0</v>
      </c>
      <c r="C70" s="11">
        <f>IF(A70="","",SUMIFS(CAJA!$D$6:$D$255,CAJA!$B$6:$B$255,"SALIDA",CAJA!$A$6:$A$255,A70,CAJA!$F$6:$F$255,"OK"))</f>
        <v>0</v>
      </c>
      <c r="D70" s="11">
        <f t="shared" si="2"/>
        <v>59000</v>
      </c>
      <c r="E70" s="11" t="str">
        <f>IF(OR(A70="",AUX_CALC_91D!$H$3&lt;&gt;"OK"),"",SUMIFS(STOCK!$R$6:$R$105,STOCK!$J$6:$J$105,A70))</f>
        <v/>
      </c>
      <c r="F70" s="11" t="str">
        <f t="shared" si="3"/>
        <v/>
      </c>
    </row>
    <row r="71" spans="1:6" x14ac:dyDescent="0.45">
      <c r="A71" s="16">
        <f>IF(CONFIG!$B$5="","",CONFIG!$B$5+66)</f>
        <v>46352</v>
      </c>
      <c r="B71" s="11">
        <f>IF(A71="","",SUMIFS(CAJA!$D$6:$D$255,CAJA!$B$6:$B$255,"ENTRADA",CAJA!$A$6:$A$255,A71,CAJA!$F$6:$F$255,"OK"))</f>
        <v>0</v>
      </c>
      <c r="C71" s="11">
        <f>IF(A71="","",SUMIFS(CAJA!$D$6:$D$255,CAJA!$B$6:$B$255,"SALIDA",CAJA!$A$6:$A$255,A71,CAJA!$F$6:$F$255,"OK"))</f>
        <v>0</v>
      </c>
      <c r="D71" s="11">
        <f t="shared" ref="D71:D102" si="4">IFERROR(IF(OR(D70="",A71=""),"",D70+B71-C71),"")</f>
        <v>59000</v>
      </c>
      <c r="E71" s="11" t="str">
        <f>IF(OR(A71="",AUX_CALC_91D!$H$3&lt;&gt;"OK"),"",SUMIFS(STOCK!$R$6:$R$105,STOCK!$J$6:$J$105,A71))</f>
        <v/>
      </c>
      <c r="F71" s="11" t="str">
        <f t="shared" ref="F71:F102" si="5">IFERROR(IF(OR(F70="",A71="",E71=""),"",F70+B71-C71-E71),"")</f>
        <v/>
      </c>
    </row>
    <row r="72" spans="1:6" x14ac:dyDescent="0.45">
      <c r="A72" s="16">
        <f>IF(CONFIG!$B$5="","",CONFIG!$B$5+67)</f>
        <v>46353</v>
      </c>
      <c r="B72" s="11">
        <f>IF(A72="","",SUMIFS(CAJA!$D$6:$D$255,CAJA!$B$6:$B$255,"ENTRADA",CAJA!$A$6:$A$255,A72,CAJA!$F$6:$F$255,"OK"))</f>
        <v>0</v>
      </c>
      <c r="C72" s="11">
        <f>IF(A72="","",SUMIFS(CAJA!$D$6:$D$255,CAJA!$B$6:$B$255,"SALIDA",CAJA!$A$6:$A$255,A72,CAJA!$F$6:$F$255,"OK"))</f>
        <v>0</v>
      </c>
      <c r="D72" s="11">
        <f t="shared" si="4"/>
        <v>59000</v>
      </c>
      <c r="E72" s="11" t="str">
        <f>IF(OR(A72="",AUX_CALC_91D!$H$3&lt;&gt;"OK"),"",SUMIFS(STOCK!$R$6:$R$105,STOCK!$J$6:$J$105,A72))</f>
        <v/>
      </c>
      <c r="F72" s="11" t="str">
        <f t="shared" si="5"/>
        <v/>
      </c>
    </row>
    <row r="73" spans="1:6" x14ac:dyDescent="0.45">
      <c r="A73" s="16">
        <f>IF(CONFIG!$B$5="","",CONFIG!$B$5+68)</f>
        <v>46354</v>
      </c>
      <c r="B73" s="11">
        <f>IF(A73="","",SUMIFS(CAJA!$D$6:$D$255,CAJA!$B$6:$B$255,"ENTRADA",CAJA!$A$6:$A$255,A73,CAJA!$F$6:$F$255,"OK"))</f>
        <v>0</v>
      </c>
      <c r="C73" s="11">
        <f>IF(A73="","",SUMIFS(CAJA!$D$6:$D$255,CAJA!$B$6:$B$255,"SALIDA",CAJA!$A$6:$A$255,A73,CAJA!$F$6:$F$255,"OK"))</f>
        <v>0</v>
      </c>
      <c r="D73" s="11">
        <f t="shared" si="4"/>
        <v>59000</v>
      </c>
      <c r="E73" s="11" t="str">
        <f>IF(OR(A73="",AUX_CALC_91D!$H$3&lt;&gt;"OK"),"",SUMIFS(STOCK!$R$6:$R$105,STOCK!$J$6:$J$105,A73))</f>
        <v/>
      </c>
      <c r="F73" s="11" t="str">
        <f t="shared" si="5"/>
        <v/>
      </c>
    </row>
    <row r="74" spans="1:6" x14ac:dyDescent="0.45">
      <c r="A74" s="16">
        <f>IF(CONFIG!$B$5="","",CONFIG!$B$5+69)</f>
        <v>46355</v>
      </c>
      <c r="B74" s="11">
        <f>IF(A74="","",SUMIFS(CAJA!$D$6:$D$255,CAJA!$B$6:$B$255,"ENTRADA",CAJA!$A$6:$A$255,A74,CAJA!$F$6:$F$255,"OK"))</f>
        <v>0</v>
      </c>
      <c r="C74" s="11">
        <f>IF(A74="","",SUMIFS(CAJA!$D$6:$D$255,CAJA!$B$6:$B$255,"SALIDA",CAJA!$A$6:$A$255,A74,CAJA!$F$6:$F$255,"OK"))</f>
        <v>0</v>
      </c>
      <c r="D74" s="11">
        <f t="shared" si="4"/>
        <v>59000</v>
      </c>
      <c r="E74" s="11" t="str">
        <f>IF(OR(A74="",AUX_CALC_91D!$H$3&lt;&gt;"OK"),"",SUMIFS(STOCK!$R$6:$R$105,STOCK!$J$6:$J$105,A74))</f>
        <v/>
      </c>
      <c r="F74" s="11" t="str">
        <f t="shared" si="5"/>
        <v/>
      </c>
    </row>
    <row r="75" spans="1:6" x14ac:dyDescent="0.45">
      <c r="A75" s="16">
        <f>IF(CONFIG!$B$5="","",CONFIG!$B$5+70)</f>
        <v>46356</v>
      </c>
      <c r="B75" s="11">
        <f>IF(A75="","",SUMIFS(CAJA!$D$6:$D$255,CAJA!$B$6:$B$255,"ENTRADA",CAJA!$A$6:$A$255,A75,CAJA!$F$6:$F$255,"OK"))</f>
        <v>0</v>
      </c>
      <c r="C75" s="11">
        <f>IF(A75="","",SUMIFS(CAJA!$D$6:$D$255,CAJA!$B$6:$B$255,"SALIDA",CAJA!$A$6:$A$255,A75,CAJA!$F$6:$F$255,"OK"))</f>
        <v>0</v>
      </c>
      <c r="D75" s="11">
        <f t="shared" si="4"/>
        <v>59000</v>
      </c>
      <c r="E75" s="11" t="str">
        <f>IF(OR(A75="",AUX_CALC_91D!$H$3&lt;&gt;"OK"),"",SUMIFS(STOCK!$R$6:$R$105,STOCK!$J$6:$J$105,A75))</f>
        <v/>
      </c>
      <c r="F75" s="11" t="str">
        <f t="shared" si="5"/>
        <v/>
      </c>
    </row>
    <row r="76" spans="1:6" x14ac:dyDescent="0.45">
      <c r="A76" s="16">
        <f>IF(CONFIG!$B$5="","",CONFIG!$B$5+71)</f>
        <v>46357</v>
      </c>
      <c r="B76" s="11">
        <f>IF(A76="","",SUMIFS(CAJA!$D$6:$D$255,CAJA!$B$6:$B$255,"ENTRADA",CAJA!$A$6:$A$255,A76,CAJA!$F$6:$F$255,"OK"))</f>
        <v>0</v>
      </c>
      <c r="C76" s="11">
        <f>IF(A76="","",SUMIFS(CAJA!$D$6:$D$255,CAJA!$B$6:$B$255,"SALIDA",CAJA!$A$6:$A$255,A76,CAJA!$F$6:$F$255,"OK"))</f>
        <v>0</v>
      </c>
      <c r="D76" s="11">
        <f t="shared" si="4"/>
        <v>59000</v>
      </c>
      <c r="E76" s="11" t="str">
        <f>IF(OR(A76="",AUX_CALC_91D!$H$3&lt;&gt;"OK"),"",SUMIFS(STOCK!$R$6:$R$105,STOCK!$J$6:$J$105,A76))</f>
        <v/>
      </c>
      <c r="F76" s="11" t="str">
        <f t="shared" si="5"/>
        <v/>
      </c>
    </row>
    <row r="77" spans="1:6" x14ac:dyDescent="0.45">
      <c r="A77" s="16">
        <f>IF(CONFIG!$B$5="","",CONFIG!$B$5+72)</f>
        <v>46358</v>
      </c>
      <c r="B77" s="11">
        <f>IF(A77="","",SUMIFS(CAJA!$D$6:$D$255,CAJA!$B$6:$B$255,"ENTRADA",CAJA!$A$6:$A$255,A77,CAJA!$F$6:$F$255,"OK"))</f>
        <v>0</v>
      </c>
      <c r="C77" s="11">
        <f>IF(A77="","",SUMIFS(CAJA!$D$6:$D$255,CAJA!$B$6:$B$255,"SALIDA",CAJA!$A$6:$A$255,A77,CAJA!$F$6:$F$255,"OK"))</f>
        <v>0</v>
      </c>
      <c r="D77" s="11">
        <f t="shared" si="4"/>
        <v>59000</v>
      </c>
      <c r="E77" s="11" t="str">
        <f>IF(OR(A77="",AUX_CALC_91D!$H$3&lt;&gt;"OK"),"",SUMIFS(STOCK!$R$6:$R$105,STOCK!$J$6:$J$105,A77))</f>
        <v/>
      </c>
      <c r="F77" s="11" t="str">
        <f t="shared" si="5"/>
        <v/>
      </c>
    </row>
    <row r="78" spans="1:6" x14ac:dyDescent="0.45">
      <c r="A78" s="16">
        <f>IF(CONFIG!$B$5="","",CONFIG!$B$5+73)</f>
        <v>46359</v>
      </c>
      <c r="B78" s="11">
        <f>IF(A78="","",SUMIFS(CAJA!$D$6:$D$255,CAJA!$B$6:$B$255,"ENTRADA",CAJA!$A$6:$A$255,A78,CAJA!$F$6:$F$255,"OK"))</f>
        <v>0</v>
      </c>
      <c r="C78" s="11">
        <f>IF(A78="","",SUMIFS(CAJA!$D$6:$D$255,CAJA!$B$6:$B$255,"SALIDA",CAJA!$A$6:$A$255,A78,CAJA!$F$6:$F$255,"OK"))</f>
        <v>0</v>
      </c>
      <c r="D78" s="11">
        <f t="shared" si="4"/>
        <v>59000</v>
      </c>
      <c r="E78" s="11" t="str">
        <f>IF(OR(A78="",AUX_CALC_91D!$H$3&lt;&gt;"OK"),"",SUMIFS(STOCK!$R$6:$R$105,STOCK!$J$6:$J$105,A78))</f>
        <v/>
      </c>
      <c r="F78" s="11" t="str">
        <f t="shared" si="5"/>
        <v/>
      </c>
    </row>
    <row r="79" spans="1:6" x14ac:dyDescent="0.45">
      <c r="A79" s="16">
        <f>IF(CONFIG!$B$5="","",CONFIG!$B$5+74)</f>
        <v>46360</v>
      </c>
      <c r="B79" s="11">
        <f>IF(A79="","",SUMIFS(CAJA!$D$6:$D$255,CAJA!$B$6:$B$255,"ENTRADA",CAJA!$A$6:$A$255,A79,CAJA!$F$6:$F$255,"OK"))</f>
        <v>0</v>
      </c>
      <c r="C79" s="11">
        <f>IF(A79="","",SUMIFS(CAJA!$D$6:$D$255,CAJA!$B$6:$B$255,"SALIDA",CAJA!$A$6:$A$255,A79,CAJA!$F$6:$F$255,"OK"))</f>
        <v>0</v>
      </c>
      <c r="D79" s="11">
        <f t="shared" si="4"/>
        <v>59000</v>
      </c>
      <c r="E79" s="11" t="str">
        <f>IF(OR(A79="",AUX_CALC_91D!$H$3&lt;&gt;"OK"),"",SUMIFS(STOCK!$R$6:$R$105,STOCK!$J$6:$J$105,A79))</f>
        <v/>
      </c>
      <c r="F79" s="11" t="str">
        <f t="shared" si="5"/>
        <v/>
      </c>
    </row>
    <row r="80" spans="1:6" x14ac:dyDescent="0.45">
      <c r="A80" s="16">
        <f>IF(CONFIG!$B$5="","",CONFIG!$B$5+75)</f>
        <v>46361</v>
      </c>
      <c r="B80" s="11">
        <f>IF(A80="","",SUMIFS(CAJA!$D$6:$D$255,CAJA!$B$6:$B$255,"ENTRADA",CAJA!$A$6:$A$255,A80,CAJA!$F$6:$F$255,"OK"))</f>
        <v>0</v>
      </c>
      <c r="C80" s="11">
        <f>IF(A80="","",SUMIFS(CAJA!$D$6:$D$255,CAJA!$B$6:$B$255,"SALIDA",CAJA!$A$6:$A$255,A80,CAJA!$F$6:$F$255,"OK"))</f>
        <v>0</v>
      </c>
      <c r="D80" s="11">
        <f t="shared" si="4"/>
        <v>59000</v>
      </c>
      <c r="E80" s="11" t="str">
        <f>IF(OR(A80="",AUX_CALC_91D!$H$3&lt;&gt;"OK"),"",SUMIFS(STOCK!$R$6:$R$105,STOCK!$J$6:$J$105,A80))</f>
        <v/>
      </c>
      <c r="F80" s="11" t="str">
        <f t="shared" si="5"/>
        <v/>
      </c>
    </row>
    <row r="81" spans="1:6" x14ac:dyDescent="0.45">
      <c r="A81" s="16">
        <f>IF(CONFIG!$B$5="","",CONFIG!$B$5+76)</f>
        <v>46362</v>
      </c>
      <c r="B81" s="11">
        <f>IF(A81="","",SUMIFS(CAJA!$D$6:$D$255,CAJA!$B$6:$B$255,"ENTRADA",CAJA!$A$6:$A$255,A81,CAJA!$F$6:$F$255,"OK"))</f>
        <v>0</v>
      </c>
      <c r="C81" s="11">
        <f>IF(A81="","",SUMIFS(CAJA!$D$6:$D$255,CAJA!$B$6:$B$255,"SALIDA",CAJA!$A$6:$A$255,A81,CAJA!$F$6:$F$255,"OK"))</f>
        <v>0</v>
      </c>
      <c r="D81" s="11">
        <f t="shared" si="4"/>
        <v>59000</v>
      </c>
      <c r="E81" s="11" t="str">
        <f>IF(OR(A81="",AUX_CALC_91D!$H$3&lt;&gt;"OK"),"",SUMIFS(STOCK!$R$6:$R$105,STOCK!$J$6:$J$105,A81))</f>
        <v/>
      </c>
      <c r="F81" s="11" t="str">
        <f t="shared" si="5"/>
        <v/>
      </c>
    </row>
    <row r="82" spans="1:6" x14ac:dyDescent="0.45">
      <c r="A82" s="16">
        <f>IF(CONFIG!$B$5="","",CONFIG!$B$5+77)</f>
        <v>46363</v>
      </c>
      <c r="B82" s="11">
        <f>IF(A82="","",SUMIFS(CAJA!$D$6:$D$255,CAJA!$B$6:$B$255,"ENTRADA",CAJA!$A$6:$A$255,A82,CAJA!$F$6:$F$255,"OK"))</f>
        <v>0</v>
      </c>
      <c r="C82" s="11">
        <f>IF(A82="","",SUMIFS(CAJA!$D$6:$D$255,CAJA!$B$6:$B$255,"SALIDA",CAJA!$A$6:$A$255,A82,CAJA!$F$6:$F$255,"OK"))</f>
        <v>0</v>
      </c>
      <c r="D82" s="11">
        <f t="shared" si="4"/>
        <v>59000</v>
      </c>
      <c r="E82" s="11" t="str">
        <f>IF(OR(A82="",AUX_CALC_91D!$H$3&lt;&gt;"OK"),"",SUMIFS(STOCK!$R$6:$R$105,STOCK!$J$6:$J$105,A82))</f>
        <v/>
      </c>
      <c r="F82" s="11" t="str">
        <f t="shared" si="5"/>
        <v/>
      </c>
    </row>
    <row r="83" spans="1:6" x14ac:dyDescent="0.45">
      <c r="A83" s="16">
        <f>IF(CONFIG!$B$5="","",CONFIG!$B$5+78)</f>
        <v>46364</v>
      </c>
      <c r="B83" s="11">
        <f>IF(A83="","",SUMIFS(CAJA!$D$6:$D$255,CAJA!$B$6:$B$255,"ENTRADA",CAJA!$A$6:$A$255,A83,CAJA!$F$6:$F$255,"OK"))</f>
        <v>0</v>
      </c>
      <c r="C83" s="11">
        <f>IF(A83="","",SUMIFS(CAJA!$D$6:$D$255,CAJA!$B$6:$B$255,"SALIDA",CAJA!$A$6:$A$255,A83,CAJA!$F$6:$F$255,"OK"))</f>
        <v>2000</v>
      </c>
      <c r="D83" s="11">
        <f t="shared" si="4"/>
        <v>57000</v>
      </c>
      <c r="E83" s="11" t="str">
        <f>IF(OR(A83="",AUX_CALC_91D!$H$3&lt;&gt;"OK"),"",SUMIFS(STOCK!$R$6:$R$105,STOCK!$J$6:$J$105,A83))</f>
        <v/>
      </c>
      <c r="F83" s="11" t="str">
        <f t="shared" si="5"/>
        <v/>
      </c>
    </row>
    <row r="84" spans="1:6" x14ac:dyDescent="0.45">
      <c r="A84" s="16">
        <f>IF(CONFIG!$B$5="","",CONFIG!$B$5+79)</f>
        <v>46365</v>
      </c>
      <c r="B84" s="11">
        <f>IF(A84="","",SUMIFS(CAJA!$D$6:$D$255,CAJA!$B$6:$B$255,"ENTRADA",CAJA!$A$6:$A$255,A84,CAJA!$F$6:$F$255,"OK"))</f>
        <v>0</v>
      </c>
      <c r="C84" s="11">
        <f>IF(A84="","",SUMIFS(CAJA!$D$6:$D$255,CAJA!$B$6:$B$255,"SALIDA",CAJA!$A$6:$A$255,A84,CAJA!$F$6:$F$255,"OK"))</f>
        <v>0</v>
      </c>
      <c r="D84" s="11">
        <f t="shared" si="4"/>
        <v>57000</v>
      </c>
      <c r="E84" s="11" t="str">
        <f>IF(OR(A84="",AUX_CALC_91D!$H$3&lt;&gt;"OK"),"",SUMIFS(STOCK!$R$6:$R$105,STOCK!$J$6:$J$105,A84))</f>
        <v/>
      </c>
      <c r="F84" s="11" t="str">
        <f t="shared" si="5"/>
        <v/>
      </c>
    </row>
    <row r="85" spans="1:6" x14ac:dyDescent="0.45">
      <c r="A85" s="16">
        <f>IF(CONFIG!$B$5="","",CONFIG!$B$5+80)</f>
        <v>46366</v>
      </c>
      <c r="B85" s="11">
        <f>IF(A85="","",SUMIFS(CAJA!$D$6:$D$255,CAJA!$B$6:$B$255,"ENTRADA",CAJA!$A$6:$A$255,A85,CAJA!$F$6:$F$255,"OK"))</f>
        <v>0</v>
      </c>
      <c r="C85" s="11">
        <f>IF(A85="","",SUMIFS(CAJA!$D$6:$D$255,CAJA!$B$6:$B$255,"SALIDA",CAJA!$A$6:$A$255,A85,CAJA!$F$6:$F$255,"OK"))</f>
        <v>0</v>
      </c>
      <c r="D85" s="11">
        <f t="shared" si="4"/>
        <v>57000</v>
      </c>
      <c r="E85" s="11" t="str">
        <f>IF(OR(A85="",AUX_CALC_91D!$H$3&lt;&gt;"OK"),"",SUMIFS(STOCK!$R$6:$R$105,STOCK!$J$6:$J$105,A85))</f>
        <v/>
      </c>
      <c r="F85" s="11" t="str">
        <f t="shared" si="5"/>
        <v/>
      </c>
    </row>
    <row r="86" spans="1:6" x14ac:dyDescent="0.45">
      <c r="A86" s="16">
        <f>IF(CONFIG!$B$5="","",CONFIG!$B$5+81)</f>
        <v>46367</v>
      </c>
      <c r="B86" s="11">
        <f>IF(A86="","",SUMIFS(CAJA!$D$6:$D$255,CAJA!$B$6:$B$255,"ENTRADA",CAJA!$A$6:$A$255,A86,CAJA!$F$6:$F$255,"OK"))</f>
        <v>0</v>
      </c>
      <c r="C86" s="11">
        <f>IF(A86="","",SUMIFS(CAJA!$D$6:$D$255,CAJA!$B$6:$B$255,"SALIDA",CAJA!$A$6:$A$255,A86,CAJA!$F$6:$F$255,"OK"))</f>
        <v>0</v>
      </c>
      <c r="D86" s="11">
        <f t="shared" si="4"/>
        <v>57000</v>
      </c>
      <c r="E86" s="11" t="str">
        <f>IF(OR(A86="",AUX_CALC_91D!$H$3&lt;&gt;"OK"),"",SUMIFS(STOCK!$R$6:$R$105,STOCK!$J$6:$J$105,A86))</f>
        <v/>
      </c>
      <c r="F86" s="11" t="str">
        <f t="shared" si="5"/>
        <v/>
      </c>
    </row>
    <row r="87" spans="1:6" x14ac:dyDescent="0.45">
      <c r="A87" s="16">
        <f>IF(CONFIG!$B$5="","",CONFIG!$B$5+82)</f>
        <v>46368</v>
      </c>
      <c r="B87" s="11">
        <f>IF(A87="","",SUMIFS(CAJA!$D$6:$D$255,CAJA!$B$6:$B$255,"ENTRADA",CAJA!$A$6:$A$255,A87,CAJA!$F$6:$F$255,"OK"))</f>
        <v>0</v>
      </c>
      <c r="C87" s="11">
        <f>IF(A87="","",SUMIFS(CAJA!$D$6:$D$255,CAJA!$B$6:$B$255,"SALIDA",CAJA!$A$6:$A$255,A87,CAJA!$F$6:$F$255,"OK"))</f>
        <v>0</v>
      </c>
      <c r="D87" s="11">
        <f t="shared" si="4"/>
        <v>57000</v>
      </c>
      <c r="E87" s="11" t="str">
        <f>IF(OR(A87="",AUX_CALC_91D!$H$3&lt;&gt;"OK"),"",SUMIFS(STOCK!$R$6:$R$105,STOCK!$J$6:$J$105,A87))</f>
        <v/>
      </c>
      <c r="F87" s="11" t="str">
        <f t="shared" si="5"/>
        <v/>
      </c>
    </row>
    <row r="88" spans="1:6" x14ac:dyDescent="0.45">
      <c r="A88" s="16">
        <f>IF(CONFIG!$B$5="","",CONFIG!$B$5+83)</f>
        <v>46369</v>
      </c>
      <c r="B88" s="11">
        <f>IF(A88="","",SUMIFS(CAJA!$D$6:$D$255,CAJA!$B$6:$B$255,"ENTRADA",CAJA!$A$6:$A$255,A88,CAJA!$F$6:$F$255,"OK"))</f>
        <v>0</v>
      </c>
      <c r="C88" s="11">
        <f>IF(A88="","",SUMIFS(CAJA!$D$6:$D$255,CAJA!$B$6:$B$255,"SALIDA",CAJA!$A$6:$A$255,A88,CAJA!$F$6:$F$255,"OK"))</f>
        <v>0</v>
      </c>
      <c r="D88" s="11">
        <f t="shared" si="4"/>
        <v>57000</v>
      </c>
      <c r="E88" s="11" t="str">
        <f>IF(OR(A88="",AUX_CALC_91D!$H$3&lt;&gt;"OK"),"",SUMIFS(STOCK!$R$6:$R$105,STOCK!$J$6:$J$105,A88))</f>
        <v/>
      </c>
      <c r="F88" s="11" t="str">
        <f t="shared" si="5"/>
        <v/>
      </c>
    </row>
    <row r="89" spans="1:6" x14ac:dyDescent="0.45">
      <c r="A89" s="16">
        <f>IF(CONFIG!$B$5="","",CONFIG!$B$5+84)</f>
        <v>46370</v>
      </c>
      <c r="B89" s="11">
        <f>IF(A89="","",SUMIFS(CAJA!$D$6:$D$255,CAJA!$B$6:$B$255,"ENTRADA",CAJA!$A$6:$A$255,A89,CAJA!$F$6:$F$255,"OK"))</f>
        <v>0</v>
      </c>
      <c r="C89" s="11">
        <f>IF(A89="","",SUMIFS(CAJA!$D$6:$D$255,CAJA!$B$6:$B$255,"SALIDA",CAJA!$A$6:$A$255,A89,CAJA!$F$6:$F$255,"OK"))</f>
        <v>0</v>
      </c>
      <c r="D89" s="11">
        <f t="shared" si="4"/>
        <v>57000</v>
      </c>
      <c r="E89" s="11" t="str">
        <f>IF(OR(A89="",AUX_CALC_91D!$H$3&lt;&gt;"OK"),"",SUMIFS(STOCK!$R$6:$R$105,STOCK!$J$6:$J$105,A89))</f>
        <v/>
      </c>
      <c r="F89" s="11" t="str">
        <f t="shared" si="5"/>
        <v/>
      </c>
    </row>
    <row r="90" spans="1:6" x14ac:dyDescent="0.45">
      <c r="A90" s="16">
        <f>IF(CONFIG!$B$5="","",CONFIG!$B$5+85)</f>
        <v>46371</v>
      </c>
      <c r="B90" s="11">
        <f>IF(A90="","",SUMIFS(CAJA!$D$6:$D$255,CAJA!$B$6:$B$255,"ENTRADA",CAJA!$A$6:$A$255,A90,CAJA!$F$6:$F$255,"OK"))</f>
        <v>0</v>
      </c>
      <c r="C90" s="11">
        <f>IF(A90="","",SUMIFS(CAJA!$D$6:$D$255,CAJA!$B$6:$B$255,"SALIDA",CAJA!$A$6:$A$255,A90,CAJA!$F$6:$F$255,"OK"))</f>
        <v>0</v>
      </c>
      <c r="D90" s="11">
        <f t="shared" si="4"/>
        <v>57000</v>
      </c>
      <c r="E90" s="11" t="str">
        <f>IF(OR(A90="",AUX_CALC_91D!$H$3&lt;&gt;"OK"),"",SUMIFS(STOCK!$R$6:$R$105,STOCK!$J$6:$J$105,A90))</f>
        <v/>
      </c>
      <c r="F90" s="11" t="str">
        <f t="shared" si="5"/>
        <v/>
      </c>
    </row>
    <row r="91" spans="1:6" x14ac:dyDescent="0.45">
      <c r="A91" s="16">
        <f>IF(CONFIG!$B$5="","",CONFIG!$B$5+86)</f>
        <v>46372</v>
      </c>
      <c r="B91" s="11">
        <f>IF(A91="","",SUMIFS(CAJA!$D$6:$D$255,CAJA!$B$6:$B$255,"ENTRADA",CAJA!$A$6:$A$255,A91,CAJA!$F$6:$F$255,"OK"))</f>
        <v>0</v>
      </c>
      <c r="C91" s="11">
        <f>IF(A91="","",SUMIFS(CAJA!$D$6:$D$255,CAJA!$B$6:$B$255,"SALIDA",CAJA!$A$6:$A$255,A91,CAJA!$F$6:$F$255,"OK"))</f>
        <v>0</v>
      </c>
      <c r="D91" s="11">
        <f t="shared" si="4"/>
        <v>57000</v>
      </c>
      <c r="E91" s="11" t="str">
        <f>IF(OR(A91="",AUX_CALC_91D!$H$3&lt;&gt;"OK"),"",SUMIFS(STOCK!$R$6:$R$105,STOCK!$J$6:$J$105,A91))</f>
        <v/>
      </c>
      <c r="F91" s="11" t="str">
        <f t="shared" si="5"/>
        <v/>
      </c>
    </row>
    <row r="92" spans="1:6" x14ac:dyDescent="0.45">
      <c r="A92" s="16">
        <f>IF(CONFIG!$B$5="","",CONFIG!$B$5+87)</f>
        <v>46373</v>
      </c>
      <c r="B92" s="11">
        <f>IF(A92="","",SUMIFS(CAJA!$D$6:$D$255,CAJA!$B$6:$B$255,"ENTRADA",CAJA!$A$6:$A$255,A92,CAJA!$F$6:$F$255,"OK"))</f>
        <v>0</v>
      </c>
      <c r="C92" s="11">
        <f>IF(A92="","",SUMIFS(CAJA!$D$6:$D$255,CAJA!$B$6:$B$255,"SALIDA",CAJA!$A$6:$A$255,A92,CAJA!$F$6:$F$255,"OK"))</f>
        <v>0</v>
      </c>
      <c r="D92" s="11">
        <f t="shared" si="4"/>
        <v>57000</v>
      </c>
      <c r="E92" s="11" t="str">
        <f>IF(OR(A92="",AUX_CALC_91D!$H$3&lt;&gt;"OK"),"",SUMIFS(STOCK!$R$6:$R$105,STOCK!$J$6:$J$105,A92))</f>
        <v/>
      </c>
      <c r="F92" s="11" t="str">
        <f t="shared" si="5"/>
        <v/>
      </c>
    </row>
    <row r="93" spans="1:6" x14ac:dyDescent="0.45">
      <c r="A93" s="16">
        <f>IF(CONFIG!$B$5="","",CONFIG!$B$5+88)</f>
        <v>46374</v>
      </c>
      <c r="B93" s="11">
        <f>IF(A93="","",SUMIFS(CAJA!$D$6:$D$255,CAJA!$B$6:$B$255,"ENTRADA",CAJA!$A$6:$A$255,A93,CAJA!$F$6:$F$255,"OK"))</f>
        <v>0</v>
      </c>
      <c r="C93" s="11">
        <f>IF(A93="","",SUMIFS(CAJA!$D$6:$D$255,CAJA!$B$6:$B$255,"SALIDA",CAJA!$A$6:$A$255,A93,CAJA!$F$6:$F$255,"OK"))</f>
        <v>0</v>
      </c>
      <c r="D93" s="11">
        <f t="shared" si="4"/>
        <v>57000</v>
      </c>
      <c r="E93" s="11" t="str">
        <f>IF(OR(A93="",AUX_CALC_91D!$H$3&lt;&gt;"OK"),"",SUMIFS(STOCK!$R$6:$R$105,STOCK!$J$6:$J$105,A93))</f>
        <v/>
      </c>
      <c r="F93" s="11" t="str">
        <f t="shared" si="5"/>
        <v/>
      </c>
    </row>
    <row r="94" spans="1:6" x14ac:dyDescent="0.45">
      <c r="A94" s="16">
        <f>IF(CONFIG!$B$5="","",CONFIG!$B$5+89)</f>
        <v>46375</v>
      </c>
      <c r="B94" s="11">
        <f>IF(A94="","",SUMIFS(CAJA!$D$6:$D$255,CAJA!$B$6:$B$255,"ENTRADA",CAJA!$A$6:$A$255,A94,CAJA!$F$6:$F$255,"OK"))</f>
        <v>0</v>
      </c>
      <c r="C94" s="11">
        <f>IF(A94="","",SUMIFS(CAJA!$D$6:$D$255,CAJA!$B$6:$B$255,"SALIDA",CAJA!$A$6:$A$255,A94,CAJA!$F$6:$F$255,"OK"))</f>
        <v>0</v>
      </c>
      <c r="D94" s="11">
        <f t="shared" si="4"/>
        <v>57000</v>
      </c>
      <c r="E94" s="11" t="str">
        <f>IF(OR(A94="",AUX_CALC_91D!$H$3&lt;&gt;"OK"),"",SUMIFS(STOCK!$R$6:$R$105,STOCK!$J$6:$J$105,A94))</f>
        <v/>
      </c>
      <c r="F94" s="11" t="str">
        <f t="shared" si="5"/>
        <v/>
      </c>
    </row>
    <row r="95" spans="1:6" x14ac:dyDescent="0.45">
      <c r="A95" s="16">
        <f>IF(CONFIG!$B$5="","",CONFIG!$B$5+90)</f>
        <v>46376</v>
      </c>
      <c r="B95" s="11">
        <f>IF(A95="","",SUMIFS(CAJA!$D$6:$D$255,CAJA!$B$6:$B$255,"ENTRADA",CAJA!$A$6:$A$255,A95,CAJA!$F$6:$F$255,"OK"))</f>
        <v>0</v>
      </c>
      <c r="C95" s="11">
        <f>IF(A95="","",SUMIFS(CAJA!$D$6:$D$255,CAJA!$B$6:$B$255,"SALIDA",CAJA!$A$6:$A$255,A95,CAJA!$F$6:$F$255,"OK"))</f>
        <v>0</v>
      </c>
      <c r="D95" s="11">
        <f t="shared" si="4"/>
        <v>57000</v>
      </c>
      <c r="E95" s="11" t="str">
        <f>IF(OR(A95="",AUX_CALC_91D!$H$3&lt;&gt;"OK"),"",SUMIFS(STOCK!$R$6:$R$105,STOCK!$J$6:$J$105,A95))</f>
        <v/>
      </c>
      <c r="F95" s="11" t="str">
        <f t="shared" si="5"/>
        <v/>
      </c>
    </row>
    <row r="96" spans="1:6" x14ac:dyDescent="0.45">
      <c r="A96" s="16">
        <f>IF(CONFIG!$B$5="","",CONFIG!$B$5+91)</f>
        <v>46377</v>
      </c>
      <c r="B96" s="11">
        <f>IF(A96="","",SUMIFS(CAJA!$D$6:$D$255,CAJA!$B$6:$B$255,"ENTRADA",CAJA!$A$6:$A$255,A96,CAJA!$F$6:$F$255,"OK"))</f>
        <v>0</v>
      </c>
      <c r="C96" s="11">
        <f>IF(A96="","",SUMIFS(CAJA!$D$6:$D$255,CAJA!$B$6:$B$255,"SALIDA",CAJA!$A$6:$A$255,A96,CAJA!$F$6:$F$255,"OK"))</f>
        <v>0</v>
      </c>
      <c r="D96" s="11">
        <f t="shared" si="4"/>
        <v>57000</v>
      </c>
      <c r="E96" s="11" t="str">
        <f>IF(OR(A96="",AUX_CALC_91D!$H$3&lt;&gt;"OK"),"",SUMIFS(STOCK!$R$6:$R$105,STOCK!$J$6:$J$105,A96))</f>
        <v/>
      </c>
      <c r="F96" s="11" t="str">
        <f t="shared" si="5"/>
        <v/>
      </c>
    </row>
  </sheetData>
  <sheetProtection sheet="1" objects="1" scenarios="1" formatColumns="0" sort="0" autoFilter="0"/>
  <mergeCells count="2">
    <mergeCell ref="A1:F1"/>
    <mergeCell ref="A2:F2"/>
  </mergeCell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6B68"/>
    <pageSetUpPr fitToPage="1"/>
  </sheetPr>
  <dimension ref="A1:P18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0.73046875" customWidth="1"/>
    <col min="2" max="3" width="15.73046875" customWidth="1"/>
    <col min="4" max="6" width="20.73046875" customWidth="1"/>
    <col min="7" max="9" width="22.73046875" customWidth="1"/>
    <col min="10" max="10" width="24.73046875" customWidth="1"/>
    <col min="11" max="11" width="18.73046875" customWidth="1"/>
    <col min="12" max="12" width="24.73046875" customWidth="1"/>
    <col min="13" max="13" width="32.73046875" customWidth="1"/>
    <col min="14" max="14" width="25.73046875" customWidth="1"/>
  </cols>
  <sheetData>
    <row r="1" spans="1:16" ht="30" customHeight="1" x14ac:dyDescent="0.45">
      <c r="A1" s="21" t="s">
        <v>183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32" customHeight="1" x14ac:dyDescent="0.45">
      <c r="A2" s="22" t="s">
        <v>184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45">
      <c r="M3" s="18" t="s">
        <v>191</v>
      </c>
      <c r="N3" s="19" t="str">
        <f>IFERROR(IF(OR(CONFIG!$B$13&lt;&gt;"SI",COUNT(CONFIG!$B$9:$B$11)&lt;3),"PLAN CAJA INCOMPLETO",IF(OR(CONFIG!$B$10&lt;0,CONFIG!$B$11&lt;0,ABS(CONFIG!$B$9)&gt;1000000000,ABS(CONFIG!$B$10)&gt;1000000000,ABS(CONFIG!$B$11)&gt;1000000000,ROUND(CONFIG!$B$9,2)&lt;&gt;CONFIG!$B$9,ROUND(CONFIG!$B$10,2)&lt;&gt;CONFIG!$B$10,ROUND(CONFIG!$B$11,2)&lt;&gt;CONFIG!$B$11),"CONFIG INVALIDA",IF(SUMPRODUCT(--(CAJA!$F$6:$F$255&lt;&gt;""),--(CAJA!$F$6:$F$255&lt;&gt;"OK"))&gt;0,"REVISAR CAJA",IF(AUX_CALC_91D!$H$3&lt;&gt;"OK","PLAN DE COMPRA PENDIENTE",IF(N6&gt;CONFIG!$B$11,"EXCEDE TOPE DE COMPRA",IF(MIN(CONFIG!$B$9,MIN(AUX_CALC_91D!$F$6:$F$96))&lt;CONFIG!$B$10,"BRECHA DE PISO","PLAN SOBRE PISO")))))),"CONFIG INVALIDA")</f>
        <v>PLAN DE COMPRA PENDIENTE</v>
      </c>
    </row>
    <row r="4" spans="1:16" ht="15.4" x14ac:dyDescent="0.45">
      <c r="M4" s="18" t="s">
        <v>192</v>
      </c>
      <c r="N4" s="20">
        <f>IF(COUNT(AUX_CALC_91D!$D$6:$D$96)&lt;91,"",MIN(CONFIG!$B$9,MIN(AUX_CALC_91D!$D$6:$D$96)))</f>
        <v>57000</v>
      </c>
    </row>
    <row r="5" spans="1:16" ht="15.4" x14ac:dyDescent="0.45">
      <c r="A5" t="s">
        <v>185</v>
      </c>
      <c r="B5" t="s">
        <v>186</v>
      </c>
      <c r="C5" t="s">
        <v>187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188</v>
      </c>
      <c r="J5" t="s">
        <v>189</v>
      </c>
      <c r="K5" t="s">
        <v>190</v>
      </c>
      <c r="L5" t="s">
        <v>48</v>
      </c>
      <c r="M5" s="18" t="s">
        <v>193</v>
      </c>
      <c r="N5" s="20">
        <f>IFERROR(IF(OR(CONFIG!$B$13&lt;&gt;"SI",COUNT(CONFIG!$B$9:$B$11)&lt;3,CONFIG!$B$10&lt;0,CONFIG!$B$11&lt;0,ABS(CONFIG!$B$9)&gt;1000000000,ABS(CONFIG!$B$10)&gt;1000000000,ABS(CONFIG!$B$11)&gt;1000000000,ROUND(CONFIG!$B$9,2)&lt;&gt;CONFIG!$B$9,ROUND(CONFIG!$B$10,2)&lt;&gt;CONFIG!$B$10,ROUND(CONFIG!$B$11,2)&lt;&gt;CONFIG!$B$11,SUMPRODUCT(--(CAJA!$F$6:$F$255&lt;&gt;""),--(CAJA!$F$6:$F$255&lt;&gt;"OK"))&gt;0),"",MAX(0,MIN(CONFIG!$B$11,N4-CONFIG!$B$10))),"")</f>
        <v>17000</v>
      </c>
    </row>
    <row r="6" spans="1:16" ht="15.4" x14ac:dyDescent="0.45">
      <c r="A6" s="13">
        <v>1</v>
      </c>
      <c r="B6" s="16">
        <f>IF(CONFIG!$B$5="","",CONFIG!$B$5+1)</f>
        <v>46287</v>
      </c>
      <c r="C6" s="3">
        <f t="shared" ref="C6:C18" si="0">IF(B6="","",B6+6)</f>
        <v>46293</v>
      </c>
      <c r="D6" s="11">
        <f>IF(B6="","",SUM(AUX_CALC_91D!B6:B12))</f>
        <v>15000</v>
      </c>
      <c r="E6" s="11">
        <f>IF(B6="","",SUM(AUX_CALC_91D!C6:C12))</f>
        <v>18000</v>
      </c>
      <c r="F6" s="11">
        <f>IF(B6="","",AUX_CALC_91D!D12)</f>
        <v>77000</v>
      </c>
      <c r="G6" s="11" t="str">
        <f>IF(COUNT(AUX_CALC_91D!E6:E12)&lt;7,"",SUM(AUX_CALC_91D!E6:E12))</f>
        <v/>
      </c>
      <c r="H6" s="11" t="str">
        <f>IF(B6="","",AUX_CALC_91D!F12)</f>
        <v/>
      </c>
      <c r="I6" s="11">
        <f>IF(COUNT(AUX_CALC_91D!D6:D12)&lt;7,"",MIN(AUX_CALC_91D!D6:D12))</f>
        <v>77000</v>
      </c>
      <c r="J6" s="11" t="str">
        <f>IF(COUNT(AUX_CALC_91D!F6:F12)&lt;7,"",MIN(AUX_CALC_91D!F6:F12))</f>
        <v/>
      </c>
      <c r="K6" s="11">
        <f>IF(CONFIG!$B$10="","",CONFIG!$B$10)</f>
        <v>40000</v>
      </c>
      <c r="L6" s="12" t="str">
        <f>IF(J6="","SIN BASE",IF(CONFIG!$B$13&lt;&gt;"SI","PLAN CAJA INCOMPLETO",IF(J6&lt;K6,"BRECHA PISO","SOBRE PISO")))</f>
        <v>SIN BASE</v>
      </c>
      <c r="M6" s="18" t="s">
        <v>194</v>
      </c>
      <c r="N6" s="20" t="str">
        <f>IF(AUX_CALC_91D!$H$4&lt;&gt;"OK","",SUMIFS(STOCK!$R$6:$R$105,STOCK!$S$6:$S$105,"EN MODELO*"))</f>
        <v/>
      </c>
    </row>
    <row r="7" spans="1:16" ht="15.4" x14ac:dyDescent="0.45">
      <c r="A7" s="13">
        <v>2</v>
      </c>
      <c r="B7" s="16">
        <f>IF(CONFIG!$B$5="","",CONFIG!$B$5+8)</f>
        <v>46294</v>
      </c>
      <c r="C7" s="3">
        <f t="shared" si="0"/>
        <v>46300</v>
      </c>
      <c r="D7" s="11">
        <f>IF(B7="","",SUM(AUX_CALC_91D!B13:B19))</f>
        <v>12000</v>
      </c>
      <c r="E7" s="11">
        <f>IF(B7="","",SUM(AUX_CALC_91D!C13:C19))</f>
        <v>14000</v>
      </c>
      <c r="F7" s="11">
        <f>IF(B7="","",AUX_CALC_91D!D19)</f>
        <v>75000</v>
      </c>
      <c r="G7" s="11" t="str">
        <f>IF(COUNT(AUX_CALC_91D!E13:E19)&lt;7,"",SUM(AUX_CALC_91D!E13:E19))</f>
        <v/>
      </c>
      <c r="H7" s="11" t="str">
        <f>IF(B7="","",AUX_CALC_91D!F19)</f>
        <v/>
      </c>
      <c r="I7" s="11">
        <f>IF(COUNT(AUX_CALC_91D!D13:D19)&lt;7,"",MIN(AUX_CALC_91D!D13:D19))</f>
        <v>75000</v>
      </c>
      <c r="J7" s="11" t="str">
        <f>IF(COUNT(AUX_CALC_91D!F13:F19)&lt;7,"",MIN(AUX_CALC_91D!F13:F19))</f>
        <v/>
      </c>
      <c r="K7" s="11">
        <f>IF(CONFIG!$B$10="","",CONFIG!$B$10)</f>
        <v>40000</v>
      </c>
      <c r="L7" s="12" t="str">
        <f>IF(J7="","SIN BASE",IF(CONFIG!$B$13&lt;&gt;"SI","PLAN CAJA INCOMPLETO",IF(J7&lt;K7,"BRECHA PISO","SOBRE PISO")))</f>
        <v>SIN BASE</v>
      </c>
      <c r="M7" s="18" t="s">
        <v>195</v>
      </c>
      <c r="N7" s="20" t="str">
        <f>IF(OR(N5="",N6=""),"",N5-N6)</f>
        <v/>
      </c>
    </row>
    <row r="8" spans="1:16" ht="15.4" x14ac:dyDescent="0.45">
      <c r="A8" s="13">
        <v>3</v>
      </c>
      <c r="B8" s="16">
        <f>IF(CONFIG!$B$5="","",CONFIG!$B$5+15)</f>
        <v>46301</v>
      </c>
      <c r="C8" s="3">
        <f t="shared" si="0"/>
        <v>46307</v>
      </c>
      <c r="D8" s="11">
        <f>IF(B8="","",SUM(AUX_CALC_91D!B20:B26))</f>
        <v>0</v>
      </c>
      <c r="E8" s="11">
        <f>IF(B8="","",SUM(AUX_CALC_91D!C20:C26))</f>
        <v>6000</v>
      </c>
      <c r="F8" s="11">
        <f>IF(B8="","",AUX_CALC_91D!D26)</f>
        <v>69000</v>
      </c>
      <c r="G8" s="11" t="str">
        <f>IF(COUNT(AUX_CALC_91D!E20:E26)&lt;7,"",SUM(AUX_CALC_91D!E20:E26))</f>
        <v/>
      </c>
      <c r="H8" s="11" t="str">
        <f>IF(B8="","",AUX_CALC_91D!F26)</f>
        <v/>
      </c>
      <c r="I8" s="11">
        <f>IF(COUNT(AUX_CALC_91D!D20:D26)&lt;7,"",MIN(AUX_CALC_91D!D20:D26))</f>
        <v>69000</v>
      </c>
      <c r="J8" s="11" t="str">
        <f>IF(COUNT(AUX_CALC_91D!F20:F26)&lt;7,"",MIN(AUX_CALC_91D!F20:F26))</f>
        <v/>
      </c>
      <c r="K8" s="11">
        <f>IF(CONFIG!$B$10="","",CONFIG!$B$10)</f>
        <v>40000</v>
      </c>
      <c r="L8" s="12" t="str">
        <f>IF(J8="","SIN BASE",IF(CONFIG!$B$13&lt;&gt;"SI","PLAN CAJA INCOMPLETO",IF(J8&lt;K8,"BRECHA PISO","SOBRE PISO")))</f>
        <v>SIN BASE</v>
      </c>
      <c r="M8" s="18" t="s">
        <v>196</v>
      </c>
      <c r="N8" s="20" t="str">
        <f>IF(COUNT(AUX_CALC_91D!$F$6:$F$96)&lt;91,"",MIN(CONFIG!$B$9,MIN(AUX_CALC_91D!$F$6:$F$96)))</f>
        <v/>
      </c>
    </row>
    <row r="9" spans="1:16" x14ac:dyDescent="0.45">
      <c r="A9" s="13">
        <v>4</v>
      </c>
      <c r="B9" s="16">
        <f>IF(CONFIG!$B$5="","",CONFIG!$B$5+22)</f>
        <v>46308</v>
      </c>
      <c r="C9" s="3">
        <f t="shared" si="0"/>
        <v>46314</v>
      </c>
      <c r="D9" s="11">
        <f>IF(B9="","",SUM(AUX_CALC_91D!B27:B33))</f>
        <v>0</v>
      </c>
      <c r="E9" s="11">
        <f>IF(B9="","",SUM(AUX_CALC_91D!C27:C33))</f>
        <v>0</v>
      </c>
      <c r="F9" s="11">
        <f>IF(B9="","",AUX_CALC_91D!D33)</f>
        <v>69000</v>
      </c>
      <c r="G9" s="11" t="str">
        <f>IF(COUNT(AUX_CALC_91D!E27:E33)&lt;7,"",SUM(AUX_CALC_91D!E27:E33))</f>
        <v/>
      </c>
      <c r="H9" s="11" t="str">
        <f>IF(B9="","",AUX_CALC_91D!F33)</f>
        <v/>
      </c>
      <c r="I9" s="11">
        <f>IF(COUNT(AUX_CALC_91D!D27:D33)&lt;7,"",MIN(AUX_CALC_91D!D27:D33))</f>
        <v>69000</v>
      </c>
      <c r="J9" s="11" t="str">
        <f>IF(COUNT(AUX_CALC_91D!F27:F33)&lt;7,"",MIN(AUX_CALC_91D!F27:F33))</f>
        <v/>
      </c>
      <c r="K9" s="11">
        <f>IF(CONFIG!$B$10="","",CONFIG!$B$10)</f>
        <v>40000</v>
      </c>
      <c r="L9" s="12" t="str">
        <f>IF(J9="","SIN BASE",IF(CONFIG!$B$13&lt;&gt;"SI","PLAN CAJA INCOMPLETO",IF(J9&lt;K9,"BRECHA PISO","SOBRE PISO")))</f>
        <v>SIN BASE</v>
      </c>
    </row>
    <row r="10" spans="1:16" x14ac:dyDescent="0.45">
      <c r="A10" s="13">
        <v>5</v>
      </c>
      <c r="B10" s="16">
        <f>IF(CONFIG!$B$5="","",CONFIG!$B$5+29)</f>
        <v>46315</v>
      </c>
      <c r="C10" s="3">
        <f t="shared" si="0"/>
        <v>46321</v>
      </c>
      <c r="D10" s="11">
        <f>IF(B10="","",SUM(AUX_CALC_91D!B34:B40))</f>
        <v>9000</v>
      </c>
      <c r="E10" s="11">
        <f>IF(B10="","",SUM(AUX_CALC_91D!C34:C40))</f>
        <v>0</v>
      </c>
      <c r="F10" s="11">
        <f>IF(B10="","",AUX_CALC_91D!D40)</f>
        <v>78000</v>
      </c>
      <c r="G10" s="11" t="str">
        <f>IF(COUNT(AUX_CALC_91D!E34:E40)&lt;7,"",SUM(AUX_CALC_91D!E34:E40))</f>
        <v/>
      </c>
      <c r="H10" s="11" t="str">
        <f>IF(B10="","",AUX_CALC_91D!F40)</f>
        <v/>
      </c>
      <c r="I10" s="11">
        <f>IF(COUNT(AUX_CALC_91D!D34:D40)&lt;7,"",MIN(AUX_CALC_91D!D34:D40))</f>
        <v>69000</v>
      </c>
      <c r="J10" s="11" t="str">
        <f>IF(COUNT(AUX_CALC_91D!F34:F40)&lt;7,"",MIN(AUX_CALC_91D!F34:F40))</f>
        <v/>
      </c>
      <c r="K10" s="11">
        <f>IF(CONFIG!$B$10="","",CONFIG!$B$10)</f>
        <v>40000</v>
      </c>
      <c r="L10" s="12" t="str">
        <f>IF(J10="","SIN BASE",IF(CONFIG!$B$13&lt;&gt;"SI","PLAN CAJA INCOMPLETO",IF(J10&lt;K10,"BRECHA PISO","SOBRE PISO")))</f>
        <v>SIN BASE</v>
      </c>
      <c r="M10" s="23" t="s">
        <v>197</v>
      </c>
      <c r="N10" s="23"/>
    </row>
    <row r="11" spans="1:16" x14ac:dyDescent="0.45">
      <c r="A11" s="13">
        <v>6</v>
      </c>
      <c r="B11" s="16">
        <f>IF(CONFIG!$B$5="","",CONFIG!$B$5+36)</f>
        <v>46322</v>
      </c>
      <c r="C11" s="3">
        <f t="shared" si="0"/>
        <v>46328</v>
      </c>
      <c r="D11" s="11">
        <f>IF(B11="","",SUM(AUX_CALC_91D!B41:B47))</f>
        <v>0</v>
      </c>
      <c r="E11" s="11">
        <f>IF(B11="","",SUM(AUX_CALC_91D!C41:C47))</f>
        <v>11000</v>
      </c>
      <c r="F11" s="11">
        <f>IF(B11="","",AUX_CALC_91D!D47)</f>
        <v>67000</v>
      </c>
      <c r="G11" s="11" t="str">
        <f>IF(COUNT(AUX_CALC_91D!E41:E47)&lt;7,"",SUM(AUX_CALC_91D!E41:E47))</f>
        <v/>
      </c>
      <c r="H11" s="11" t="str">
        <f>IF(B11="","",AUX_CALC_91D!F47)</f>
        <v/>
      </c>
      <c r="I11" s="11">
        <f>IF(COUNT(AUX_CALC_91D!D41:D47)&lt;7,"",MIN(AUX_CALC_91D!D41:D47))</f>
        <v>67000</v>
      </c>
      <c r="J11" s="11" t="str">
        <f>IF(COUNT(AUX_CALC_91D!F41:F47)&lt;7,"",MIN(AUX_CALC_91D!F41:F47))</f>
        <v/>
      </c>
      <c r="K11" s="11">
        <f>IF(CONFIG!$B$10="","",CONFIG!$B$10)</f>
        <v>40000</v>
      </c>
      <c r="L11" s="12" t="str">
        <f>IF(J11="","SIN BASE",IF(CONFIG!$B$13&lt;&gt;"SI","PLAN CAJA INCOMPLETO",IF(J11&lt;K11,"BRECHA PISO","SOBRE PISO")))</f>
        <v>SIN BASE</v>
      </c>
      <c r="M11" s="23"/>
      <c r="N11" s="23"/>
    </row>
    <row r="12" spans="1:16" x14ac:dyDescent="0.45">
      <c r="A12" s="13">
        <v>7</v>
      </c>
      <c r="B12" s="16">
        <f>IF(CONFIG!$B$5="","",CONFIG!$B$5+43)</f>
        <v>46329</v>
      </c>
      <c r="C12" s="3">
        <f t="shared" si="0"/>
        <v>46335</v>
      </c>
      <c r="D12" s="11">
        <f>IF(B12="","",SUM(AUX_CALC_91D!B48:B54))</f>
        <v>0</v>
      </c>
      <c r="E12" s="11">
        <f>IF(B12="","",SUM(AUX_CALC_91D!C48:C54))</f>
        <v>0</v>
      </c>
      <c r="F12" s="11">
        <f>IF(B12="","",AUX_CALC_91D!D54)</f>
        <v>67000</v>
      </c>
      <c r="G12" s="11" t="str">
        <f>IF(COUNT(AUX_CALC_91D!E48:E54)&lt;7,"",SUM(AUX_CALC_91D!E48:E54))</f>
        <v/>
      </c>
      <c r="H12" s="11" t="str">
        <f>IF(B12="","",AUX_CALC_91D!F54)</f>
        <v/>
      </c>
      <c r="I12" s="11">
        <f>IF(COUNT(AUX_CALC_91D!D48:D54)&lt;7,"",MIN(AUX_CALC_91D!D48:D54))</f>
        <v>67000</v>
      </c>
      <c r="J12" s="11" t="str">
        <f>IF(COUNT(AUX_CALC_91D!F48:F54)&lt;7,"",MIN(AUX_CALC_91D!F48:F54))</f>
        <v/>
      </c>
      <c r="K12" s="11">
        <f>IF(CONFIG!$B$10="","",CONFIG!$B$10)</f>
        <v>40000</v>
      </c>
      <c r="L12" s="12" t="str">
        <f>IF(J12="","SIN BASE",IF(CONFIG!$B$13&lt;&gt;"SI","PLAN CAJA INCOMPLETO",IF(J12&lt;K12,"BRECHA PISO","SOBRE PISO")))</f>
        <v>SIN BASE</v>
      </c>
      <c r="M12" s="23"/>
      <c r="N12" s="23"/>
    </row>
    <row r="13" spans="1:16" x14ac:dyDescent="0.45">
      <c r="A13" s="13">
        <v>8</v>
      </c>
      <c r="B13" s="16">
        <f>IF(CONFIG!$B$5="","",CONFIG!$B$5+50)</f>
        <v>46336</v>
      </c>
      <c r="C13" s="3">
        <f t="shared" si="0"/>
        <v>46342</v>
      </c>
      <c r="D13" s="11">
        <f>IF(B13="","",SUM(AUX_CALC_91D!B55:B61))</f>
        <v>0</v>
      </c>
      <c r="E13" s="11">
        <f>IF(B13="","",SUM(AUX_CALC_91D!C55:C61))</f>
        <v>8000</v>
      </c>
      <c r="F13" s="11">
        <f>IF(B13="","",AUX_CALC_91D!D61)</f>
        <v>59000</v>
      </c>
      <c r="G13" s="11" t="str">
        <f>IF(COUNT(AUX_CALC_91D!E55:E61)&lt;7,"",SUM(AUX_CALC_91D!E55:E61))</f>
        <v/>
      </c>
      <c r="H13" s="11" t="str">
        <f>IF(B13="","",AUX_CALC_91D!F61)</f>
        <v/>
      </c>
      <c r="I13" s="11">
        <f>IF(COUNT(AUX_CALC_91D!D55:D61)&lt;7,"",MIN(AUX_CALC_91D!D55:D61))</f>
        <v>59000</v>
      </c>
      <c r="J13" s="11" t="str">
        <f>IF(COUNT(AUX_CALC_91D!F55:F61)&lt;7,"",MIN(AUX_CALC_91D!F55:F61))</f>
        <v/>
      </c>
      <c r="K13" s="11">
        <f>IF(CONFIG!$B$10="","",CONFIG!$B$10)</f>
        <v>40000</v>
      </c>
      <c r="L13" s="12" t="str">
        <f>IF(J13="","SIN BASE",IF(CONFIG!$B$13&lt;&gt;"SI","PLAN CAJA INCOMPLETO",IF(J13&lt;K13,"BRECHA PISO","SOBRE PISO")))</f>
        <v>SIN BASE</v>
      </c>
    </row>
    <row r="14" spans="1:16" x14ac:dyDescent="0.45">
      <c r="A14" s="13">
        <v>9</v>
      </c>
      <c r="B14" s="16">
        <f>IF(CONFIG!$B$5="","",CONFIG!$B$5+57)</f>
        <v>46343</v>
      </c>
      <c r="C14" s="3">
        <f t="shared" si="0"/>
        <v>46349</v>
      </c>
      <c r="D14" s="11">
        <f>IF(B14="","",SUM(AUX_CALC_91D!B62:B68))</f>
        <v>0</v>
      </c>
      <c r="E14" s="11">
        <f>IF(B14="","",SUM(AUX_CALC_91D!C62:C68))</f>
        <v>0</v>
      </c>
      <c r="F14" s="11">
        <f>IF(B14="","",AUX_CALC_91D!D68)</f>
        <v>59000</v>
      </c>
      <c r="G14" s="11" t="str">
        <f>IF(COUNT(AUX_CALC_91D!E62:E68)&lt;7,"",SUM(AUX_CALC_91D!E62:E68))</f>
        <v/>
      </c>
      <c r="H14" s="11" t="str">
        <f>IF(B14="","",AUX_CALC_91D!F68)</f>
        <v/>
      </c>
      <c r="I14" s="11">
        <f>IF(COUNT(AUX_CALC_91D!D62:D68)&lt;7,"",MIN(AUX_CALC_91D!D62:D68))</f>
        <v>59000</v>
      </c>
      <c r="J14" s="11" t="str">
        <f>IF(COUNT(AUX_CALC_91D!F62:F68)&lt;7,"",MIN(AUX_CALC_91D!F62:F68))</f>
        <v/>
      </c>
      <c r="K14" s="11">
        <f>IF(CONFIG!$B$10="","",CONFIG!$B$10)</f>
        <v>40000</v>
      </c>
      <c r="L14" s="12" t="str">
        <f>IF(J14="","SIN BASE",IF(CONFIG!$B$13&lt;&gt;"SI","PLAN CAJA INCOMPLETO",IF(J14&lt;K14,"BRECHA PISO","SOBRE PISO")))</f>
        <v>SIN BASE</v>
      </c>
    </row>
    <row r="15" spans="1:16" x14ac:dyDescent="0.45">
      <c r="A15" s="13">
        <v>10</v>
      </c>
      <c r="B15" s="16">
        <f>IF(CONFIG!$B$5="","",CONFIG!$B$5+64)</f>
        <v>46350</v>
      </c>
      <c r="C15" s="3">
        <f t="shared" si="0"/>
        <v>46356</v>
      </c>
      <c r="D15" s="11">
        <f>IF(B15="","",SUM(AUX_CALC_91D!B69:B75))</f>
        <v>0</v>
      </c>
      <c r="E15" s="11">
        <f>IF(B15="","",SUM(AUX_CALC_91D!C69:C75))</f>
        <v>0</v>
      </c>
      <c r="F15" s="11">
        <f>IF(B15="","",AUX_CALC_91D!D75)</f>
        <v>59000</v>
      </c>
      <c r="G15" s="11" t="str">
        <f>IF(COUNT(AUX_CALC_91D!E69:E75)&lt;7,"",SUM(AUX_CALC_91D!E69:E75))</f>
        <v/>
      </c>
      <c r="H15" s="11" t="str">
        <f>IF(B15="","",AUX_CALC_91D!F75)</f>
        <v/>
      </c>
      <c r="I15" s="11">
        <f>IF(COUNT(AUX_CALC_91D!D69:D75)&lt;7,"",MIN(AUX_CALC_91D!D69:D75))</f>
        <v>59000</v>
      </c>
      <c r="J15" s="11" t="str">
        <f>IF(COUNT(AUX_CALC_91D!F69:F75)&lt;7,"",MIN(AUX_CALC_91D!F69:F75))</f>
        <v/>
      </c>
      <c r="K15" s="11">
        <f>IF(CONFIG!$B$10="","",CONFIG!$B$10)</f>
        <v>40000</v>
      </c>
      <c r="L15" s="12" t="str">
        <f>IF(J15="","SIN BASE",IF(CONFIG!$B$13&lt;&gt;"SI","PLAN CAJA INCOMPLETO",IF(J15&lt;K15,"BRECHA PISO","SOBRE PISO")))</f>
        <v>SIN BASE</v>
      </c>
    </row>
    <row r="16" spans="1:16" x14ac:dyDescent="0.45">
      <c r="A16" s="13">
        <v>11</v>
      </c>
      <c r="B16" s="16">
        <f>IF(CONFIG!$B$5="","",CONFIG!$B$5+71)</f>
        <v>46357</v>
      </c>
      <c r="C16" s="3">
        <f t="shared" si="0"/>
        <v>46363</v>
      </c>
      <c r="D16" s="11">
        <f>IF(B16="","",SUM(AUX_CALC_91D!B76:B82))</f>
        <v>0</v>
      </c>
      <c r="E16" s="11">
        <f>IF(B16="","",SUM(AUX_CALC_91D!C76:C82))</f>
        <v>0</v>
      </c>
      <c r="F16" s="11">
        <f>IF(B16="","",AUX_CALC_91D!D82)</f>
        <v>59000</v>
      </c>
      <c r="G16" s="11" t="str">
        <f>IF(COUNT(AUX_CALC_91D!E76:E82)&lt;7,"",SUM(AUX_CALC_91D!E76:E82))</f>
        <v/>
      </c>
      <c r="H16" s="11" t="str">
        <f>IF(B16="","",AUX_CALC_91D!F82)</f>
        <v/>
      </c>
      <c r="I16" s="11">
        <f>IF(COUNT(AUX_CALC_91D!D76:D82)&lt;7,"",MIN(AUX_CALC_91D!D76:D82))</f>
        <v>59000</v>
      </c>
      <c r="J16" s="11" t="str">
        <f>IF(COUNT(AUX_CALC_91D!F76:F82)&lt;7,"",MIN(AUX_CALC_91D!F76:F82))</f>
        <v/>
      </c>
      <c r="K16" s="11">
        <f>IF(CONFIG!$B$10="","",CONFIG!$B$10)</f>
        <v>40000</v>
      </c>
      <c r="L16" s="12" t="str">
        <f>IF(J16="","SIN BASE",IF(CONFIG!$B$13&lt;&gt;"SI","PLAN CAJA INCOMPLETO",IF(J16&lt;K16,"BRECHA PISO","SOBRE PISO")))</f>
        <v>SIN BASE</v>
      </c>
    </row>
    <row r="17" spans="1:12" x14ac:dyDescent="0.45">
      <c r="A17" s="13">
        <v>12</v>
      </c>
      <c r="B17" s="16">
        <f>IF(CONFIG!$B$5="","",CONFIG!$B$5+78)</f>
        <v>46364</v>
      </c>
      <c r="C17" s="3">
        <f t="shared" si="0"/>
        <v>46370</v>
      </c>
      <c r="D17" s="11">
        <f>IF(B17="","",SUM(AUX_CALC_91D!B83:B89))</f>
        <v>0</v>
      </c>
      <c r="E17" s="11">
        <f>IF(B17="","",SUM(AUX_CALC_91D!C83:C89))</f>
        <v>2000</v>
      </c>
      <c r="F17" s="11">
        <f>IF(B17="","",AUX_CALC_91D!D89)</f>
        <v>57000</v>
      </c>
      <c r="G17" s="11" t="str">
        <f>IF(COUNT(AUX_CALC_91D!E83:E89)&lt;7,"",SUM(AUX_CALC_91D!E83:E89))</f>
        <v/>
      </c>
      <c r="H17" s="11" t="str">
        <f>IF(B17="","",AUX_CALC_91D!F89)</f>
        <v/>
      </c>
      <c r="I17" s="11">
        <f>IF(COUNT(AUX_CALC_91D!D83:D89)&lt;7,"",MIN(AUX_CALC_91D!D83:D89))</f>
        <v>57000</v>
      </c>
      <c r="J17" s="11" t="str">
        <f>IF(COUNT(AUX_CALC_91D!F83:F89)&lt;7,"",MIN(AUX_CALC_91D!F83:F89))</f>
        <v/>
      </c>
      <c r="K17" s="11">
        <f>IF(CONFIG!$B$10="","",CONFIG!$B$10)</f>
        <v>40000</v>
      </c>
      <c r="L17" s="12" t="str">
        <f>IF(J17="","SIN BASE",IF(CONFIG!$B$13&lt;&gt;"SI","PLAN CAJA INCOMPLETO",IF(J17&lt;K17,"BRECHA PISO","SOBRE PISO")))</f>
        <v>SIN BASE</v>
      </c>
    </row>
    <row r="18" spans="1:12" x14ac:dyDescent="0.45">
      <c r="A18" s="13">
        <v>13</v>
      </c>
      <c r="B18" s="16">
        <f>IF(CONFIG!$B$5="","",CONFIG!$B$5+85)</f>
        <v>46371</v>
      </c>
      <c r="C18" s="3">
        <f t="shared" si="0"/>
        <v>46377</v>
      </c>
      <c r="D18" s="11">
        <f>IF(B18="","",SUM(AUX_CALC_91D!B90:B96))</f>
        <v>0</v>
      </c>
      <c r="E18" s="11">
        <f>IF(B18="","",SUM(AUX_CALC_91D!C90:C96))</f>
        <v>0</v>
      </c>
      <c r="F18" s="11">
        <f>IF(B18="","",AUX_CALC_91D!D96)</f>
        <v>57000</v>
      </c>
      <c r="G18" s="11" t="str">
        <f>IF(COUNT(AUX_CALC_91D!E90:E96)&lt;7,"",SUM(AUX_CALC_91D!E90:E96))</f>
        <v/>
      </c>
      <c r="H18" s="11" t="str">
        <f>IF(B18="","",AUX_CALC_91D!F96)</f>
        <v/>
      </c>
      <c r="I18" s="11">
        <f>IF(COUNT(AUX_CALC_91D!D90:D96)&lt;7,"",MIN(AUX_CALC_91D!D90:D96))</f>
        <v>57000</v>
      </c>
      <c r="J18" s="11" t="str">
        <f>IF(COUNT(AUX_CALC_91D!F90:F96)&lt;7,"",MIN(AUX_CALC_91D!F90:F96))</f>
        <v/>
      </c>
      <c r="K18" s="11">
        <f>IF(CONFIG!$B$10="","",CONFIG!$B$10)</f>
        <v>40000</v>
      </c>
      <c r="L18" s="12" t="str">
        <f>IF(J18="","SIN BASE",IF(CONFIG!$B$13&lt;&gt;"SI","PLAN CAJA INCOMPLETO",IF(J18&lt;K18,"BRECHA PISO","SOBRE PISO")))</f>
        <v>SIN BASE</v>
      </c>
    </row>
  </sheetData>
  <sheetProtection sheet="1" objects="1" scenarios="1" formatColumns="0" sort="0" autoFilter="0"/>
  <mergeCells count="3">
    <mergeCell ref="A1:P1"/>
    <mergeCell ref="A2:P2"/>
    <mergeCell ref="M10:N12"/>
  </mergeCells>
  <conditionalFormatting sqref="L6:L18">
    <cfRule type="containsText" dxfId="0" priority="1" operator="containsText" text="BRECHA">
      <formula>NOT(ISERROR(SEARCH("BRECHA",L6)))</formula>
    </cfRule>
  </conditionalFormatting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17</vt:i4>
      </vt:variant>
    </vt:vector>
  </HeadingPairs>
  <TitlesOfParts>
    <vt:vector size="26" baseType="lpstr">
      <vt:lpstr>INICIO</vt:lpstr>
      <vt:lpstr>CONFIG</vt:lpstr>
      <vt:lpstr>CATALOGO</vt:lpstr>
      <vt:lpstr>VENTAS</vt:lpstr>
      <vt:lpstr>STOCK</vt:lpstr>
      <vt:lpstr>CAJA</vt:lpstr>
      <vt:lpstr>DECISIONES</vt:lpstr>
      <vt:lpstr>AUX_CALC_91D</vt:lpstr>
      <vt:lpstr>FLUJO_13_SEMANAS</vt:lpstr>
      <vt:lpstr>AUX_CALC_91D!Área_de_impresión</vt:lpstr>
      <vt:lpstr>CAJA!Área_de_impresión</vt:lpstr>
      <vt:lpstr>CATALOGO!Área_de_impresión</vt:lpstr>
      <vt:lpstr>CONFIG!Área_de_impresión</vt:lpstr>
      <vt:lpstr>DECISIONES!Área_de_impresión</vt:lpstr>
      <vt:lpstr>FLUJO_13_SEMANAS!Área_de_impresión</vt:lpstr>
      <vt:lpstr>INICIO!Área_de_impresión</vt:lpstr>
      <vt:lpstr>STOCK!Área_de_impresión</vt:lpstr>
      <vt:lpstr>VENTAS!Área_de_impresión</vt:lpstr>
      <vt:lpstr>SKU_LIST</vt:lpstr>
      <vt:lpstr>AUX_CALC_91D!Títulos_a_imprimir</vt:lpstr>
      <vt:lpstr>CAJA!Títulos_a_imprimir</vt:lpstr>
      <vt:lpstr>CATALOGO!Títulos_a_imprimir</vt:lpstr>
      <vt:lpstr>DECISIONES!Títulos_a_imprimir</vt:lpstr>
      <vt:lpstr>FLUJO_13_SEMANAS!Títulos_a_imprimir</vt:lpstr>
      <vt:lpstr>STOCK!Títulos_a_imprimir</vt:lpstr>
      <vt:lpstr>VENTAS!Títulos_a_imprimir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Alma de Lujo · Kit de decisiones v0.3</dc:title>
  <dc:subject>Inventario, precios y flujo de caja</dc:subject>
  <dc:creator>Alma de Lujo</dc:creator>
  <dc:description>Modelo local sin macros ni vínculos externos.</dc:description>
  <ns0:lastModifiedBy>Alma de Lujo</ns0:lastModifiedBy>
  <ns2:created xsi:type="dcterms:W3CDTF">2026-09-23T01:16:48Z</ns2:created>
  <ns2:modified xsi:type="dcterms:W3CDTF">2026-09-23T01:17:08Z</ns2:modified>
</ns0:coreProperties>
</file>